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ewilliamruiz/Desktop/PPTO 26/"/>
    </mc:Choice>
  </mc:AlternateContent>
  <xr:revisionPtr revIDLastSave="0" documentId="13_ncr:1_{5DD8D13E-F0A3-9F4B-BEC4-0B8241D814CF}" xr6:coauthVersionLast="47" xr6:coauthVersionMax="47" xr10:uidLastSave="{00000000-0000-0000-0000-000000000000}"/>
  <bookViews>
    <workbookView xWindow="0" yWindow="600" windowWidth="38400" windowHeight="19680" activeTab="1" xr2:uid="{00000000-000D-0000-FFFF-FFFF00000000}"/>
  </bookViews>
  <sheets>
    <sheet name="2024" sheetId="4" r:id="rId1"/>
    <sheet name="2025" sheetId="1" r:id="rId2"/>
    <sheet name="Detalle Vendedores" sheetId="5" r:id="rId3"/>
  </sheets>
  <definedNames>
    <definedName name="_xlnm._FilterDatabase" localSheetId="0" hidden="1">'2024'!$A$1:$Q$2034</definedName>
    <definedName name="_xlnm._FilterDatabase" localSheetId="1" hidden="1">'2025'!$A$1:$R$1757</definedName>
    <definedName name="_xlnm._FilterDatabase" localSheetId="2" hidden="1">'Detalle Vendedores'!$L$3:$Q$45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5" l="1"/>
  <c r="I7" i="5"/>
  <c r="I6" i="5"/>
  <c r="I5" i="5"/>
  <c r="I4" i="5"/>
  <c r="H16" i="5"/>
  <c r="C16" i="5"/>
  <c r="D16" i="5"/>
  <c r="I12" i="5"/>
  <c r="P23" i="5" l="1"/>
  <c r="P22" i="5"/>
  <c r="E1757" i="1" l="1"/>
  <c r="P27" i="5"/>
  <c r="C24" i="5"/>
  <c r="S31" i="1" l="1"/>
  <c r="C23" i="5" l="1"/>
  <c r="S418" i="1" l="1"/>
  <c r="S279" i="1"/>
  <c r="S88" i="1"/>
  <c r="S136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C25" i="5" l="1"/>
  <c r="P4" i="5"/>
  <c r="P5" i="5"/>
  <c r="P6" i="5"/>
  <c r="P7" i="5"/>
  <c r="I8" i="5"/>
  <c r="P8" i="5"/>
  <c r="I9" i="5"/>
  <c r="P9" i="5"/>
  <c r="I10" i="5"/>
  <c r="P10" i="5"/>
  <c r="I11" i="5"/>
  <c r="P11" i="5"/>
  <c r="P12" i="5"/>
  <c r="I13" i="5"/>
  <c r="P13" i="5"/>
  <c r="P14" i="5"/>
  <c r="I15" i="5"/>
  <c r="P15" i="5"/>
  <c r="G16" i="5"/>
  <c r="P16" i="5"/>
  <c r="P17" i="5"/>
  <c r="P18" i="5"/>
  <c r="P19" i="5"/>
  <c r="P20" i="5"/>
  <c r="P21" i="5"/>
  <c r="P24" i="5"/>
  <c r="P25" i="5"/>
  <c r="P26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E2034" i="4" l="1"/>
  <c r="R1471" i="4" s="1"/>
  <c r="R3" i="4" l="1"/>
  <c r="R4" i="4"/>
  <c r="R12" i="4"/>
  <c r="R20" i="4"/>
  <c r="R28" i="4"/>
  <c r="R36" i="4"/>
  <c r="R44" i="4"/>
  <c r="R52" i="4"/>
  <c r="R60" i="4"/>
  <c r="R68" i="4"/>
  <c r="R76" i="4"/>
  <c r="R5" i="4"/>
  <c r="R6" i="4"/>
  <c r="R14" i="4"/>
  <c r="R22" i="4"/>
  <c r="R30" i="4"/>
  <c r="R38" i="4"/>
  <c r="R46" i="4"/>
  <c r="R54" i="4"/>
  <c r="R62" i="4"/>
  <c r="R70" i="4"/>
  <c r="R78" i="4"/>
  <c r="R86" i="4"/>
  <c r="R94" i="4"/>
  <c r="R102" i="4"/>
  <c r="R110" i="4"/>
  <c r="R118" i="4"/>
  <c r="R126" i="4"/>
  <c r="R134" i="4"/>
  <c r="R142" i="4"/>
  <c r="R150" i="4"/>
  <c r="R158" i="4"/>
  <c r="R166" i="4"/>
  <c r="R174" i="4"/>
  <c r="R182" i="4"/>
  <c r="R190" i="4"/>
  <c r="R198" i="4"/>
  <c r="R206" i="4"/>
  <c r="R214" i="4"/>
  <c r="R222" i="4"/>
  <c r="R230" i="4"/>
  <c r="R238" i="4"/>
  <c r="R246" i="4"/>
  <c r="R254" i="4"/>
  <c r="R262" i="4"/>
  <c r="R270" i="4"/>
  <c r="R278" i="4"/>
  <c r="R286" i="4"/>
  <c r="R294" i="4"/>
  <c r="R302" i="4"/>
  <c r="R310" i="4"/>
  <c r="R318" i="4"/>
  <c r="R326" i="4"/>
  <c r="R334" i="4"/>
  <c r="R342" i="4"/>
  <c r="R350" i="4"/>
  <c r="R358" i="4"/>
  <c r="R366" i="4"/>
  <c r="R374" i="4"/>
  <c r="R382" i="4"/>
  <c r="R390" i="4"/>
  <c r="R398" i="4"/>
  <c r="R406" i="4"/>
  <c r="R414" i="4"/>
  <c r="R422" i="4"/>
  <c r="R430" i="4"/>
  <c r="R438" i="4"/>
  <c r="R446" i="4"/>
  <c r="R454" i="4"/>
  <c r="R462" i="4"/>
  <c r="R470" i="4"/>
  <c r="R478" i="4"/>
  <c r="R486" i="4"/>
  <c r="R494" i="4"/>
  <c r="R502" i="4"/>
  <c r="R510" i="4"/>
  <c r="R518" i="4"/>
  <c r="R526" i="4"/>
  <c r="R534" i="4"/>
  <c r="R542" i="4"/>
  <c r="R550" i="4"/>
  <c r="R558" i="4"/>
  <c r="R566" i="4"/>
  <c r="R574" i="4"/>
  <c r="R582" i="4"/>
  <c r="R590" i="4"/>
  <c r="R598" i="4"/>
  <c r="R606" i="4"/>
  <c r="R614" i="4"/>
  <c r="R622" i="4"/>
  <c r="R630" i="4"/>
  <c r="R638" i="4"/>
  <c r="R646" i="4"/>
  <c r="R654" i="4"/>
  <c r="R662" i="4"/>
  <c r="R670" i="4"/>
  <c r="R678" i="4"/>
  <c r="R7" i="4"/>
  <c r="R8" i="4"/>
  <c r="R16" i="4"/>
  <c r="R24" i="4"/>
  <c r="R32" i="4"/>
  <c r="R40" i="4"/>
  <c r="R48" i="4"/>
  <c r="R56" i="4"/>
  <c r="R64" i="4"/>
  <c r="R72" i="4"/>
  <c r="R80" i="4"/>
  <c r="R88" i="4"/>
  <c r="R96" i="4"/>
  <c r="R104" i="4"/>
  <c r="R112" i="4"/>
  <c r="R120" i="4"/>
  <c r="R128" i="4"/>
  <c r="R136" i="4"/>
  <c r="R144" i="4"/>
  <c r="R152" i="4"/>
  <c r="R160" i="4"/>
  <c r="R168" i="4"/>
  <c r="R176" i="4"/>
  <c r="R184" i="4"/>
  <c r="R192" i="4"/>
  <c r="R200" i="4"/>
  <c r="R208" i="4"/>
  <c r="R216" i="4"/>
  <c r="R224" i="4"/>
  <c r="R232" i="4"/>
  <c r="R240" i="4"/>
  <c r="R248" i="4"/>
  <c r="R256" i="4"/>
  <c r="R264" i="4"/>
  <c r="R272" i="4"/>
  <c r="R280" i="4"/>
  <c r="R288" i="4"/>
  <c r="R296" i="4"/>
  <c r="R304" i="4"/>
  <c r="R312" i="4"/>
  <c r="R320" i="4"/>
  <c r="R328" i="4"/>
  <c r="R336" i="4"/>
  <c r="R344" i="4"/>
  <c r="R352" i="4"/>
  <c r="R360" i="4"/>
  <c r="R368" i="4"/>
  <c r="R376" i="4"/>
  <c r="R384" i="4"/>
  <c r="R392" i="4"/>
  <c r="R400" i="4"/>
  <c r="R408" i="4"/>
  <c r="R416" i="4"/>
  <c r="R424" i="4"/>
  <c r="R432" i="4"/>
  <c r="R9" i="4"/>
  <c r="R17" i="4"/>
  <c r="R25" i="4"/>
  <c r="R10" i="4"/>
  <c r="R18" i="4"/>
  <c r="R26" i="4"/>
  <c r="R34" i="4"/>
  <c r="R42" i="4"/>
  <c r="R50" i="4"/>
  <c r="R58" i="4"/>
  <c r="R66" i="4"/>
  <c r="R74" i="4"/>
  <c r="R82" i="4"/>
  <c r="R90" i="4"/>
  <c r="R98" i="4"/>
  <c r="R106" i="4"/>
  <c r="R114" i="4"/>
  <c r="R122" i="4"/>
  <c r="R130" i="4"/>
  <c r="R138" i="4"/>
  <c r="R146" i="4"/>
  <c r="R154" i="4"/>
  <c r="R162" i="4"/>
  <c r="R170" i="4"/>
  <c r="R178" i="4"/>
  <c r="R186" i="4"/>
  <c r="R194" i="4"/>
  <c r="R11" i="4"/>
  <c r="R31" i="4"/>
  <c r="R47" i="4"/>
  <c r="R63" i="4"/>
  <c r="R79" i="4"/>
  <c r="R92" i="4"/>
  <c r="R105" i="4"/>
  <c r="R117" i="4"/>
  <c r="R131" i="4"/>
  <c r="R143" i="4"/>
  <c r="R156" i="4"/>
  <c r="R169" i="4"/>
  <c r="R181" i="4"/>
  <c r="R195" i="4"/>
  <c r="R205" i="4"/>
  <c r="R217" i="4"/>
  <c r="R227" i="4"/>
  <c r="R237" i="4"/>
  <c r="R249" i="4"/>
  <c r="R259" i="4"/>
  <c r="R269" i="4"/>
  <c r="R281" i="4"/>
  <c r="R291" i="4"/>
  <c r="R301" i="4"/>
  <c r="R313" i="4"/>
  <c r="R323" i="4"/>
  <c r="R333" i="4"/>
  <c r="R345" i="4"/>
  <c r="R355" i="4"/>
  <c r="R365" i="4"/>
  <c r="R377" i="4"/>
  <c r="R387" i="4"/>
  <c r="R397" i="4"/>
  <c r="R409" i="4"/>
  <c r="R419" i="4"/>
  <c r="R429" i="4"/>
  <c r="R440" i="4"/>
  <c r="R449" i="4"/>
  <c r="R458" i="4"/>
  <c r="R467" i="4"/>
  <c r="R476" i="4"/>
  <c r="R485" i="4"/>
  <c r="R495" i="4"/>
  <c r="R504" i="4"/>
  <c r="R513" i="4"/>
  <c r="R522" i="4"/>
  <c r="R531" i="4"/>
  <c r="R540" i="4"/>
  <c r="R549" i="4"/>
  <c r="R559" i="4"/>
  <c r="R568" i="4"/>
  <c r="R577" i="4"/>
  <c r="R586" i="4"/>
  <c r="R595" i="4"/>
  <c r="R604" i="4"/>
  <c r="R613" i="4"/>
  <c r="R623" i="4"/>
  <c r="R632" i="4"/>
  <c r="R641" i="4"/>
  <c r="R650" i="4"/>
  <c r="R659" i="4"/>
  <c r="R668" i="4"/>
  <c r="R677" i="4"/>
  <c r="R686" i="4"/>
  <c r="R694" i="4"/>
  <c r="R702" i="4"/>
  <c r="R710" i="4"/>
  <c r="R718" i="4"/>
  <c r="R726" i="4"/>
  <c r="R734" i="4"/>
  <c r="R742" i="4"/>
  <c r="R750" i="4"/>
  <c r="R758" i="4"/>
  <c r="R766" i="4"/>
  <c r="R774" i="4"/>
  <c r="R782" i="4"/>
  <c r="R790" i="4"/>
  <c r="R798" i="4"/>
  <c r="R806" i="4"/>
  <c r="R814" i="4"/>
  <c r="R822" i="4"/>
  <c r="R830" i="4"/>
  <c r="R838" i="4"/>
  <c r="R846" i="4"/>
  <c r="R854" i="4"/>
  <c r="R13" i="4"/>
  <c r="R33" i="4"/>
  <c r="R49" i="4"/>
  <c r="R65" i="4"/>
  <c r="R81" i="4"/>
  <c r="R93" i="4"/>
  <c r="R107" i="4"/>
  <c r="R119" i="4"/>
  <c r="R132" i="4"/>
  <c r="R145" i="4"/>
  <c r="R157" i="4"/>
  <c r="R171" i="4"/>
  <c r="R183" i="4"/>
  <c r="R196" i="4"/>
  <c r="R207" i="4"/>
  <c r="R218" i="4"/>
  <c r="R228" i="4"/>
  <c r="R239" i="4"/>
  <c r="R250" i="4"/>
  <c r="R260" i="4"/>
  <c r="R271" i="4"/>
  <c r="R282" i="4"/>
  <c r="R292" i="4"/>
  <c r="R303" i="4"/>
  <c r="R314" i="4"/>
  <c r="R324" i="4"/>
  <c r="R335" i="4"/>
  <c r="R346" i="4"/>
  <c r="R356" i="4"/>
  <c r="R367" i="4"/>
  <c r="R378" i="4"/>
  <c r="R388" i="4"/>
  <c r="R399" i="4"/>
  <c r="R410" i="4"/>
  <c r="R420" i="4"/>
  <c r="R431" i="4"/>
  <c r="R441" i="4"/>
  <c r="R450" i="4"/>
  <c r="R459" i="4"/>
  <c r="R468" i="4"/>
  <c r="R477" i="4"/>
  <c r="R487" i="4"/>
  <c r="R496" i="4"/>
  <c r="R505" i="4"/>
  <c r="R514" i="4"/>
  <c r="R523" i="4"/>
  <c r="R532" i="4"/>
  <c r="R541" i="4"/>
  <c r="R551" i="4"/>
  <c r="R560" i="4"/>
  <c r="R569" i="4"/>
  <c r="R578" i="4"/>
  <c r="R587" i="4"/>
  <c r="R596" i="4"/>
  <c r="R605" i="4"/>
  <c r="R615" i="4"/>
  <c r="R624" i="4"/>
  <c r="R633" i="4"/>
  <c r="R642" i="4"/>
  <c r="R651" i="4"/>
  <c r="R660" i="4"/>
  <c r="R669" i="4"/>
  <c r="R679" i="4"/>
  <c r="R687" i="4"/>
  <c r="R15" i="4"/>
  <c r="R35" i="4"/>
  <c r="R51" i="4"/>
  <c r="R67" i="4"/>
  <c r="R83" i="4"/>
  <c r="R95" i="4"/>
  <c r="R108" i="4"/>
  <c r="R121" i="4"/>
  <c r="R133" i="4"/>
  <c r="R147" i="4"/>
  <c r="R159" i="4"/>
  <c r="R172" i="4"/>
  <c r="R185" i="4"/>
  <c r="R197" i="4"/>
  <c r="R209" i="4"/>
  <c r="R219" i="4"/>
  <c r="R229" i="4"/>
  <c r="R241" i="4"/>
  <c r="R251" i="4"/>
  <c r="R261" i="4"/>
  <c r="R273" i="4"/>
  <c r="R283" i="4"/>
  <c r="R293" i="4"/>
  <c r="R305" i="4"/>
  <c r="R315" i="4"/>
  <c r="R325" i="4"/>
  <c r="R337" i="4"/>
  <c r="R347" i="4"/>
  <c r="R357" i="4"/>
  <c r="R369" i="4"/>
  <c r="R379" i="4"/>
  <c r="R389" i="4"/>
  <c r="R401" i="4"/>
  <c r="R411" i="4"/>
  <c r="R421" i="4"/>
  <c r="R433" i="4"/>
  <c r="R442" i="4"/>
  <c r="R451" i="4"/>
  <c r="R460" i="4"/>
  <c r="R469" i="4"/>
  <c r="R479" i="4"/>
  <c r="R488" i="4"/>
  <c r="R497" i="4"/>
  <c r="R506" i="4"/>
  <c r="R515" i="4"/>
  <c r="R524" i="4"/>
  <c r="R533" i="4"/>
  <c r="R543" i="4"/>
  <c r="R552" i="4"/>
  <c r="R561" i="4"/>
  <c r="R570" i="4"/>
  <c r="R579" i="4"/>
  <c r="R29" i="4"/>
  <c r="R45" i="4"/>
  <c r="R61" i="4"/>
  <c r="R77" i="4"/>
  <c r="R91" i="4"/>
  <c r="R103" i="4"/>
  <c r="R116" i="4"/>
  <c r="R129" i="4"/>
  <c r="R141" i="4"/>
  <c r="R155" i="4"/>
  <c r="R167" i="4"/>
  <c r="R180" i="4"/>
  <c r="R193" i="4"/>
  <c r="R204" i="4"/>
  <c r="R215" i="4"/>
  <c r="R226" i="4"/>
  <c r="R236" i="4"/>
  <c r="R247" i="4"/>
  <c r="R258" i="4"/>
  <c r="R268" i="4"/>
  <c r="R279" i="4"/>
  <c r="R290" i="4"/>
  <c r="R300" i="4"/>
  <c r="R311" i="4"/>
  <c r="R322" i="4"/>
  <c r="R332" i="4"/>
  <c r="R343" i="4"/>
  <c r="R354" i="4"/>
  <c r="R19" i="4"/>
  <c r="R53" i="4"/>
  <c r="R84" i="4"/>
  <c r="R109" i="4"/>
  <c r="R135" i="4"/>
  <c r="R161" i="4"/>
  <c r="R187" i="4"/>
  <c r="R210" i="4"/>
  <c r="R231" i="4"/>
  <c r="R252" i="4"/>
  <c r="R274" i="4"/>
  <c r="R295" i="4"/>
  <c r="R316" i="4"/>
  <c r="R338" i="4"/>
  <c r="R359" i="4"/>
  <c r="R373" i="4"/>
  <c r="R393" i="4"/>
  <c r="R407" i="4"/>
  <c r="R426" i="4"/>
  <c r="R443" i="4"/>
  <c r="R456" i="4"/>
  <c r="R472" i="4"/>
  <c r="R484" i="4"/>
  <c r="R500" i="4"/>
  <c r="R516" i="4"/>
  <c r="R529" i="4"/>
  <c r="R545" i="4"/>
  <c r="R557" i="4"/>
  <c r="R573" i="4"/>
  <c r="R588" i="4"/>
  <c r="R600" i="4"/>
  <c r="R611" i="4"/>
  <c r="R625" i="4"/>
  <c r="R636" i="4"/>
  <c r="R648" i="4"/>
  <c r="R661" i="4"/>
  <c r="R673" i="4"/>
  <c r="R684" i="4"/>
  <c r="R695" i="4"/>
  <c r="R704" i="4"/>
  <c r="R713" i="4"/>
  <c r="R722" i="4"/>
  <c r="R731" i="4"/>
  <c r="R740" i="4"/>
  <c r="R749" i="4"/>
  <c r="R759" i="4"/>
  <c r="R768" i="4"/>
  <c r="R777" i="4"/>
  <c r="R786" i="4"/>
  <c r="R795" i="4"/>
  <c r="R804" i="4"/>
  <c r="R813" i="4"/>
  <c r="R823" i="4"/>
  <c r="R832" i="4"/>
  <c r="R841" i="4"/>
  <c r="R850" i="4"/>
  <c r="R859" i="4"/>
  <c r="R867" i="4"/>
  <c r="R875" i="4"/>
  <c r="R883" i="4"/>
  <c r="R891" i="4"/>
  <c r="R899" i="4"/>
  <c r="R907" i="4"/>
  <c r="R915" i="4"/>
  <c r="R923" i="4"/>
  <c r="R931" i="4"/>
  <c r="R939" i="4"/>
  <c r="R947" i="4"/>
  <c r="R955" i="4"/>
  <c r="R963" i="4"/>
  <c r="R971" i="4"/>
  <c r="R979" i="4"/>
  <c r="R987" i="4"/>
  <c r="R995" i="4"/>
  <c r="R1003" i="4"/>
  <c r="R1011" i="4"/>
  <c r="R1019" i="4"/>
  <c r="R1027" i="4"/>
  <c r="R1035" i="4"/>
  <c r="R1043" i="4"/>
  <c r="R21" i="4"/>
  <c r="R55" i="4"/>
  <c r="R85" i="4"/>
  <c r="R111" i="4"/>
  <c r="R137" i="4"/>
  <c r="R163" i="4"/>
  <c r="R188" i="4"/>
  <c r="R211" i="4"/>
  <c r="R233" i="4"/>
  <c r="R253" i="4"/>
  <c r="R275" i="4"/>
  <c r="R297" i="4"/>
  <c r="R317" i="4"/>
  <c r="R339" i="4"/>
  <c r="R361" i="4"/>
  <c r="R375" i="4"/>
  <c r="R394" i="4"/>
  <c r="R412" i="4"/>
  <c r="R427" i="4"/>
  <c r="R444" i="4"/>
  <c r="R457" i="4"/>
  <c r="R473" i="4"/>
  <c r="R489" i="4"/>
  <c r="R501" i="4"/>
  <c r="R517" i="4"/>
  <c r="R530" i="4"/>
  <c r="R546" i="4"/>
  <c r="R562" i="4"/>
  <c r="R575" i="4"/>
  <c r="R589" i="4"/>
  <c r="R601" i="4"/>
  <c r="R612" i="4"/>
  <c r="R626" i="4"/>
  <c r="R637" i="4"/>
  <c r="R649" i="4"/>
  <c r="R663" i="4"/>
  <c r="R674" i="4"/>
  <c r="R685" i="4"/>
  <c r="R696" i="4"/>
  <c r="R705" i="4"/>
  <c r="R714" i="4"/>
  <c r="R723" i="4"/>
  <c r="R732" i="4"/>
  <c r="R741" i="4"/>
  <c r="R751" i="4"/>
  <c r="R760" i="4"/>
  <c r="R769" i="4"/>
  <c r="R778" i="4"/>
  <c r="R787" i="4"/>
  <c r="R796" i="4"/>
  <c r="R805" i="4"/>
  <c r="R815" i="4"/>
  <c r="R824" i="4"/>
  <c r="R833" i="4"/>
  <c r="R842" i="4"/>
  <c r="R851" i="4"/>
  <c r="R860" i="4"/>
  <c r="R868" i="4"/>
  <c r="R876" i="4"/>
  <c r="R884" i="4"/>
  <c r="R892" i="4"/>
  <c r="R900" i="4"/>
  <c r="R908" i="4"/>
  <c r="R916" i="4"/>
  <c r="R924" i="4"/>
  <c r="R932" i="4"/>
  <c r="R940" i="4"/>
  <c r="R948" i="4"/>
  <c r="R956" i="4"/>
  <c r="R964" i="4"/>
  <c r="R972" i="4"/>
  <c r="R980" i="4"/>
  <c r="R988" i="4"/>
  <c r="R996" i="4"/>
  <c r="R1004" i="4"/>
  <c r="R1012" i="4"/>
  <c r="R1020" i="4"/>
  <c r="R1028" i="4"/>
  <c r="R23" i="4"/>
  <c r="R57" i="4"/>
  <c r="R87" i="4"/>
  <c r="R113" i="4"/>
  <c r="R139" i="4"/>
  <c r="R164" i="4"/>
  <c r="R189" i="4"/>
  <c r="R212" i="4"/>
  <c r="R234" i="4"/>
  <c r="R255" i="4"/>
  <c r="R276" i="4"/>
  <c r="R298" i="4"/>
  <c r="R319" i="4"/>
  <c r="R340" i="4"/>
  <c r="R362" i="4"/>
  <c r="R380" i="4"/>
  <c r="R395" i="4"/>
  <c r="R413" i="4"/>
  <c r="R428" i="4"/>
  <c r="R445" i="4"/>
  <c r="R461" i="4"/>
  <c r="R474" i="4"/>
  <c r="R490" i="4"/>
  <c r="R503" i="4"/>
  <c r="R519" i="4"/>
  <c r="R535" i="4"/>
  <c r="R547" i="4"/>
  <c r="R563" i="4"/>
  <c r="R576" i="4"/>
  <c r="R591" i="4"/>
  <c r="R602" i="4"/>
  <c r="R616" i="4"/>
  <c r="R627" i="4"/>
  <c r="R639" i="4"/>
  <c r="R652" i="4"/>
  <c r="R664" i="4"/>
  <c r="R675" i="4"/>
  <c r="R688" i="4"/>
  <c r="R697" i="4"/>
  <c r="R706" i="4"/>
  <c r="R715" i="4"/>
  <c r="R724" i="4"/>
  <c r="R733" i="4"/>
  <c r="R743" i="4"/>
  <c r="R752" i="4"/>
  <c r="R761" i="4"/>
  <c r="R770" i="4"/>
  <c r="R779" i="4"/>
  <c r="R788" i="4"/>
  <c r="R797" i="4"/>
  <c r="R807" i="4"/>
  <c r="R816" i="4"/>
  <c r="R825" i="4"/>
  <c r="R834" i="4"/>
  <c r="R843" i="4"/>
  <c r="R852" i="4"/>
  <c r="R861" i="4"/>
  <c r="R869" i="4"/>
  <c r="R877" i="4"/>
  <c r="R885" i="4"/>
  <c r="R893" i="4"/>
  <c r="R901" i="4"/>
  <c r="R909" i="4"/>
  <c r="R917" i="4"/>
  <c r="R925" i="4"/>
  <c r="R933" i="4"/>
  <c r="R941" i="4"/>
  <c r="R949" i="4"/>
  <c r="R957" i="4"/>
  <c r="R965" i="4"/>
  <c r="R973" i="4"/>
  <c r="R981" i="4"/>
  <c r="R989" i="4"/>
  <c r="R997" i="4"/>
  <c r="R1005" i="4"/>
  <c r="R1013" i="4"/>
  <c r="R1021" i="4"/>
  <c r="R1029" i="4"/>
  <c r="R1037" i="4"/>
  <c r="R1045" i="4"/>
  <c r="R1053" i="4"/>
  <c r="R1061" i="4"/>
  <c r="R1069" i="4"/>
  <c r="R1077" i="4"/>
  <c r="R1085" i="4"/>
  <c r="R43" i="4"/>
  <c r="R75" i="4"/>
  <c r="R101" i="4"/>
  <c r="R127" i="4"/>
  <c r="R153" i="4"/>
  <c r="R179" i="4"/>
  <c r="R203" i="4"/>
  <c r="R225" i="4"/>
  <c r="R245" i="4"/>
  <c r="R267" i="4"/>
  <c r="R289" i="4"/>
  <c r="R309" i="4"/>
  <c r="R331" i="4"/>
  <c r="R353" i="4"/>
  <c r="R372" i="4"/>
  <c r="R391" i="4"/>
  <c r="R405" i="4"/>
  <c r="R425" i="4"/>
  <c r="R439" i="4"/>
  <c r="R455" i="4"/>
  <c r="R471" i="4"/>
  <c r="R483" i="4"/>
  <c r="R499" i="4"/>
  <c r="R512" i="4"/>
  <c r="R528" i="4"/>
  <c r="R544" i="4"/>
  <c r="R556" i="4"/>
  <c r="R572" i="4"/>
  <c r="R585" i="4"/>
  <c r="R599" i="4"/>
  <c r="R610" i="4"/>
  <c r="R621" i="4"/>
  <c r="R635" i="4"/>
  <c r="R647" i="4"/>
  <c r="R658" i="4"/>
  <c r="R672" i="4"/>
  <c r="R683" i="4"/>
  <c r="R693" i="4"/>
  <c r="R703" i="4"/>
  <c r="R712" i="4"/>
  <c r="R721" i="4"/>
  <c r="R730" i="4"/>
  <c r="R739" i="4"/>
  <c r="R748" i="4"/>
  <c r="R757" i="4"/>
  <c r="R767" i="4"/>
  <c r="R776" i="4"/>
  <c r="R785" i="4"/>
  <c r="R794" i="4"/>
  <c r="R803" i="4"/>
  <c r="R812" i="4"/>
  <c r="R821" i="4"/>
  <c r="R831" i="4"/>
  <c r="R840" i="4"/>
  <c r="R27" i="4"/>
  <c r="R89" i="4"/>
  <c r="R140" i="4"/>
  <c r="R191" i="4"/>
  <c r="R235" i="4"/>
  <c r="R277" i="4"/>
  <c r="R321" i="4"/>
  <c r="R363" i="4"/>
  <c r="R396" i="4"/>
  <c r="R434" i="4"/>
  <c r="R463" i="4"/>
  <c r="R491" i="4"/>
  <c r="R520" i="4"/>
  <c r="R548" i="4"/>
  <c r="R580" i="4"/>
  <c r="R603" i="4"/>
  <c r="R628" i="4"/>
  <c r="R653" i="4"/>
  <c r="R676" i="4"/>
  <c r="R698" i="4"/>
  <c r="R716" i="4"/>
  <c r="R735" i="4"/>
  <c r="R753" i="4"/>
  <c r="R771" i="4"/>
  <c r="R789" i="4"/>
  <c r="R808" i="4"/>
  <c r="R826" i="4"/>
  <c r="R844" i="4"/>
  <c r="R857" i="4"/>
  <c r="R871" i="4"/>
  <c r="R882" i="4"/>
  <c r="R896" i="4"/>
  <c r="R910" i="4"/>
  <c r="R921" i="4"/>
  <c r="R935" i="4"/>
  <c r="R946" i="4"/>
  <c r="R960" i="4"/>
  <c r="R974" i="4"/>
  <c r="R985" i="4"/>
  <c r="R999" i="4"/>
  <c r="R1010" i="4"/>
  <c r="R1024" i="4"/>
  <c r="R1036" i="4"/>
  <c r="R1047" i="4"/>
  <c r="R1056" i="4"/>
  <c r="R1065" i="4"/>
  <c r="R1074" i="4"/>
  <c r="R1083" i="4"/>
  <c r="R1092" i="4"/>
  <c r="R1100" i="4"/>
  <c r="R1108" i="4"/>
  <c r="R1116" i="4"/>
  <c r="R1124" i="4"/>
  <c r="R1132" i="4"/>
  <c r="R1140" i="4"/>
  <c r="R1148" i="4"/>
  <c r="R1156" i="4"/>
  <c r="R1164" i="4"/>
  <c r="R1172" i="4"/>
  <c r="R1180" i="4"/>
  <c r="R1188" i="4"/>
  <c r="R1196" i="4"/>
  <c r="R1204" i="4"/>
  <c r="R1212" i="4"/>
  <c r="R1220" i="4"/>
  <c r="R1228" i="4"/>
  <c r="R1236" i="4"/>
  <c r="R1244" i="4"/>
  <c r="R1252" i="4"/>
  <c r="R1260" i="4"/>
  <c r="R1268" i="4"/>
  <c r="R1276" i="4"/>
  <c r="R1284" i="4"/>
  <c r="R1292" i="4"/>
  <c r="R1300" i="4"/>
  <c r="R1308" i="4"/>
  <c r="R1316" i="4"/>
  <c r="R1324" i="4"/>
  <c r="R1332" i="4"/>
  <c r="R37" i="4"/>
  <c r="R97" i="4"/>
  <c r="R148" i="4"/>
  <c r="R199" i="4"/>
  <c r="R242" i="4"/>
  <c r="R284" i="4"/>
  <c r="R327" i="4"/>
  <c r="R364" i="4"/>
  <c r="R402" i="4"/>
  <c r="R435" i="4"/>
  <c r="R464" i="4"/>
  <c r="R492" i="4"/>
  <c r="R521" i="4"/>
  <c r="R553" i="4"/>
  <c r="R581" i="4"/>
  <c r="R607" i="4"/>
  <c r="R629" i="4"/>
  <c r="R655" i="4"/>
  <c r="R680" i="4"/>
  <c r="R699" i="4"/>
  <c r="R717" i="4"/>
  <c r="R736" i="4"/>
  <c r="R754" i="4"/>
  <c r="R772" i="4"/>
  <c r="R791" i="4"/>
  <c r="R809" i="4"/>
  <c r="R827" i="4"/>
  <c r="R845" i="4"/>
  <c r="R858" i="4"/>
  <c r="R872" i="4"/>
  <c r="R886" i="4"/>
  <c r="R897" i="4"/>
  <c r="R911" i="4"/>
  <c r="R922" i="4"/>
  <c r="R936" i="4"/>
  <c r="R950" i="4"/>
  <c r="R961" i="4"/>
  <c r="R975" i="4"/>
  <c r="R986" i="4"/>
  <c r="R1000" i="4"/>
  <c r="R1014" i="4"/>
  <c r="R1025" i="4"/>
  <c r="R1038" i="4"/>
  <c r="R1048" i="4"/>
  <c r="R1057" i="4"/>
  <c r="R1066" i="4"/>
  <c r="R1075" i="4"/>
  <c r="R1084" i="4"/>
  <c r="R1093" i="4"/>
  <c r="R1101" i="4"/>
  <c r="R1109" i="4"/>
  <c r="R1117" i="4"/>
  <c r="R1125" i="4"/>
  <c r="R1133" i="4"/>
  <c r="R1141" i="4"/>
  <c r="R1149" i="4"/>
  <c r="R1157" i="4"/>
  <c r="R1165" i="4"/>
  <c r="R1173" i="4"/>
  <c r="R1181" i="4"/>
  <c r="R1189" i="4"/>
  <c r="R1197" i="4"/>
  <c r="R1205" i="4"/>
  <c r="R1213" i="4"/>
  <c r="R1221" i="4"/>
  <c r="R1229" i="4"/>
  <c r="R1237" i="4"/>
  <c r="R1245" i="4"/>
  <c r="R1253" i="4"/>
  <c r="R1261" i="4"/>
  <c r="R1269" i="4"/>
  <c r="R1277" i="4"/>
  <c r="R1285" i="4"/>
  <c r="R1293" i="4"/>
  <c r="R1301" i="4"/>
  <c r="R1309" i="4"/>
  <c r="R1317" i="4"/>
  <c r="R1325" i="4"/>
  <c r="R1333" i="4"/>
  <c r="R1341" i="4"/>
  <c r="R1349" i="4"/>
  <c r="R1357" i="4"/>
  <c r="R1365" i="4"/>
  <c r="R1373" i="4"/>
  <c r="R1381" i="4"/>
  <c r="R39" i="4"/>
  <c r="R99" i="4"/>
  <c r="R149" i="4"/>
  <c r="R201" i="4"/>
  <c r="R243" i="4"/>
  <c r="R285" i="4"/>
  <c r="R329" i="4"/>
  <c r="R370" i="4"/>
  <c r="R403" i="4"/>
  <c r="R436" i="4"/>
  <c r="R465" i="4"/>
  <c r="R493" i="4"/>
  <c r="R525" i="4"/>
  <c r="R554" i="4"/>
  <c r="R583" i="4"/>
  <c r="R608" i="4"/>
  <c r="R631" i="4"/>
  <c r="R656" i="4"/>
  <c r="R681" i="4"/>
  <c r="R700" i="4"/>
  <c r="R719" i="4"/>
  <c r="R737" i="4"/>
  <c r="R755" i="4"/>
  <c r="R773" i="4"/>
  <c r="R792" i="4"/>
  <c r="R810" i="4"/>
  <c r="R828" i="4"/>
  <c r="R847" i="4"/>
  <c r="R862" i="4"/>
  <c r="R873" i="4"/>
  <c r="R887" i="4"/>
  <c r="R898" i="4"/>
  <c r="R912" i="4"/>
  <c r="R926" i="4"/>
  <c r="R937" i="4"/>
  <c r="R951" i="4"/>
  <c r="R962" i="4"/>
  <c r="R976" i="4"/>
  <c r="R990" i="4"/>
  <c r="R1001" i="4"/>
  <c r="R1015" i="4"/>
  <c r="R1026" i="4"/>
  <c r="R1039" i="4"/>
  <c r="R1049" i="4"/>
  <c r="R1058" i="4"/>
  <c r="R1067" i="4"/>
  <c r="R1076" i="4"/>
  <c r="R1086" i="4"/>
  <c r="R1094" i="4"/>
  <c r="R1102" i="4"/>
  <c r="R1110" i="4"/>
  <c r="R1118" i="4"/>
  <c r="R1126" i="4"/>
  <c r="R1134" i="4"/>
  <c r="R1142" i="4"/>
  <c r="R1150" i="4"/>
  <c r="R1158" i="4"/>
  <c r="R1166" i="4"/>
  <c r="R1174" i="4"/>
  <c r="R1182" i="4"/>
  <c r="R1190" i="4"/>
  <c r="R1198" i="4"/>
  <c r="R1206" i="4"/>
  <c r="R1214" i="4"/>
  <c r="R1222" i="4"/>
  <c r="R1230" i="4"/>
  <c r="R1238" i="4"/>
  <c r="R1246" i="4"/>
  <c r="R1254" i="4"/>
  <c r="R1262" i="4"/>
  <c r="R1270" i="4"/>
  <c r="R1278" i="4"/>
  <c r="R1286" i="4"/>
  <c r="R1294" i="4"/>
  <c r="R1302" i="4"/>
  <c r="R1310" i="4"/>
  <c r="R1318" i="4"/>
  <c r="R1326" i="4"/>
  <c r="R73" i="4"/>
  <c r="R125" i="4"/>
  <c r="R177" i="4"/>
  <c r="R223" i="4"/>
  <c r="R41" i="4"/>
  <c r="R151" i="4"/>
  <c r="R244" i="4"/>
  <c r="R307" i="4"/>
  <c r="R381" i="4"/>
  <c r="R423" i="4"/>
  <c r="R480" i="4"/>
  <c r="R527" i="4"/>
  <c r="R567" i="4"/>
  <c r="R617" i="4"/>
  <c r="R645" i="4"/>
  <c r="R690" i="4"/>
  <c r="R720" i="4"/>
  <c r="R746" i="4"/>
  <c r="R780" i="4"/>
  <c r="R802" i="4"/>
  <c r="R836" i="4"/>
  <c r="R863" i="4"/>
  <c r="R880" i="4"/>
  <c r="R903" i="4"/>
  <c r="R920" i="4"/>
  <c r="R943" i="4"/>
  <c r="R966" i="4"/>
  <c r="R983" i="4"/>
  <c r="R1006" i="4"/>
  <c r="R1023" i="4"/>
  <c r="R1042" i="4"/>
  <c r="R1059" i="4"/>
  <c r="R1072" i="4"/>
  <c r="R1088" i="4"/>
  <c r="R1099" i="4"/>
  <c r="R1113" i="4"/>
  <c r="R1127" i="4"/>
  <c r="R1138" i="4"/>
  <c r="R1152" i="4"/>
  <c r="R1163" i="4"/>
  <c r="R1177" i="4"/>
  <c r="R1191" i="4"/>
  <c r="R1202" i="4"/>
  <c r="R1216" i="4"/>
  <c r="R1227" i="4"/>
  <c r="R1241" i="4"/>
  <c r="R1255" i="4"/>
  <c r="R1266" i="4"/>
  <c r="R1280" i="4"/>
  <c r="R1291" i="4"/>
  <c r="R1305" i="4"/>
  <c r="R1319" i="4"/>
  <c r="R1330" i="4"/>
  <c r="R1340" i="4"/>
  <c r="R1350" i="4"/>
  <c r="R1359" i="4"/>
  <c r="R1368" i="4"/>
  <c r="R1377" i="4"/>
  <c r="R1386" i="4"/>
  <c r="R1394" i="4"/>
  <c r="R1402" i="4"/>
  <c r="R1410" i="4"/>
  <c r="R1418" i="4"/>
  <c r="R1426" i="4"/>
  <c r="R1434" i="4"/>
  <c r="R1442" i="4"/>
  <c r="R1450" i="4"/>
  <c r="R1458" i="4"/>
  <c r="R1466" i="4"/>
  <c r="R1474" i="4"/>
  <c r="R1482" i="4"/>
  <c r="R1490" i="4"/>
  <c r="R1498" i="4"/>
  <c r="R1506" i="4"/>
  <c r="R1514" i="4"/>
  <c r="R1522" i="4"/>
  <c r="R1530" i="4"/>
  <c r="R1538" i="4"/>
  <c r="R1546" i="4"/>
  <c r="R1554" i="4"/>
  <c r="R1562" i="4"/>
  <c r="R1570" i="4"/>
  <c r="R1578" i="4"/>
  <c r="R1586" i="4"/>
  <c r="R1594" i="4"/>
  <c r="R1602" i="4"/>
  <c r="R1610" i="4"/>
  <c r="R1618" i="4"/>
  <c r="R1626" i="4"/>
  <c r="R1634" i="4"/>
  <c r="R1642" i="4"/>
  <c r="R1650" i="4"/>
  <c r="R1658" i="4"/>
  <c r="R1666" i="4"/>
  <c r="R1674" i="4"/>
  <c r="R1682" i="4"/>
  <c r="R1690" i="4"/>
  <c r="R1698" i="4"/>
  <c r="R1706" i="4"/>
  <c r="R1714" i="4"/>
  <c r="R1722" i="4"/>
  <c r="R1730" i="4"/>
  <c r="R1738" i="4"/>
  <c r="R1746" i="4"/>
  <c r="R1754" i="4"/>
  <c r="R1755" i="4"/>
  <c r="R175" i="4"/>
  <c r="R341" i="4"/>
  <c r="R498" i="4"/>
  <c r="R620" i="4"/>
  <c r="R59" i="4"/>
  <c r="R165" i="4"/>
  <c r="R257" i="4"/>
  <c r="R308" i="4"/>
  <c r="R383" i="4"/>
  <c r="R437" i="4"/>
  <c r="R481" i="4"/>
  <c r="R536" i="4"/>
  <c r="R571" i="4"/>
  <c r="R618" i="4"/>
  <c r="R657" i="4"/>
  <c r="R691" i="4"/>
  <c r="R725" i="4"/>
  <c r="R747" i="4"/>
  <c r="R781" i="4"/>
  <c r="R811" i="4"/>
  <c r="R837" i="4"/>
  <c r="R864" i="4"/>
  <c r="R881" i="4"/>
  <c r="R904" i="4"/>
  <c r="R927" i="4"/>
  <c r="R944" i="4"/>
  <c r="R967" i="4"/>
  <c r="R984" i="4"/>
  <c r="R1007" i="4"/>
  <c r="R1030" i="4"/>
  <c r="R1044" i="4"/>
  <c r="R1060" i="4"/>
  <c r="R1073" i="4"/>
  <c r="R1089" i="4"/>
  <c r="R1103" i="4"/>
  <c r="R1114" i="4"/>
  <c r="R1128" i="4"/>
  <c r="R1139" i="4"/>
  <c r="R1153" i="4"/>
  <c r="R1167" i="4"/>
  <c r="R1178" i="4"/>
  <c r="R1192" i="4"/>
  <c r="R1203" i="4"/>
  <c r="R1217" i="4"/>
  <c r="R1231" i="4"/>
  <c r="R1242" i="4"/>
  <c r="R1256" i="4"/>
  <c r="R1267" i="4"/>
  <c r="R1281" i="4"/>
  <c r="R1295" i="4"/>
  <c r="R1306" i="4"/>
  <c r="R1320" i="4"/>
  <c r="R1331" i="4"/>
  <c r="R1342" i="4"/>
  <c r="R1351" i="4"/>
  <c r="R1360" i="4"/>
  <c r="R1369" i="4"/>
  <c r="R1378" i="4"/>
  <c r="R1387" i="4"/>
  <c r="R1395" i="4"/>
  <c r="R1403" i="4"/>
  <c r="R1411" i="4"/>
  <c r="R1419" i="4"/>
  <c r="R1427" i="4"/>
  <c r="R1435" i="4"/>
  <c r="R1443" i="4"/>
  <c r="R1451" i="4"/>
  <c r="R1459" i="4"/>
  <c r="R1467" i="4"/>
  <c r="R1475" i="4"/>
  <c r="R1483" i="4"/>
  <c r="R1491" i="4"/>
  <c r="R1499" i="4"/>
  <c r="R1507" i="4"/>
  <c r="R1515" i="4"/>
  <c r="R1523" i="4"/>
  <c r="R1531" i="4"/>
  <c r="R1539" i="4"/>
  <c r="R1547" i="4"/>
  <c r="R1555" i="4"/>
  <c r="R1563" i="4"/>
  <c r="R1571" i="4"/>
  <c r="R1579" i="4"/>
  <c r="R1587" i="4"/>
  <c r="R1595" i="4"/>
  <c r="R1603" i="4"/>
  <c r="R1611" i="4"/>
  <c r="R1619" i="4"/>
  <c r="R1627" i="4"/>
  <c r="R1635" i="4"/>
  <c r="R1643" i="4"/>
  <c r="R1651" i="4"/>
  <c r="R1659" i="4"/>
  <c r="R1667" i="4"/>
  <c r="R1675" i="4"/>
  <c r="R1683" i="4"/>
  <c r="R1691" i="4"/>
  <c r="R1699" i="4"/>
  <c r="R1707" i="4"/>
  <c r="R1715" i="4"/>
  <c r="R1723" i="4"/>
  <c r="R1731" i="4"/>
  <c r="R1739" i="4"/>
  <c r="R1747" i="4"/>
  <c r="R265" i="4"/>
  <c r="R386" i="4"/>
  <c r="R538" i="4"/>
  <c r="R666" i="4"/>
  <c r="R69" i="4"/>
  <c r="R173" i="4"/>
  <c r="R263" i="4"/>
  <c r="R330" i="4"/>
  <c r="R385" i="4"/>
  <c r="R447" i="4"/>
  <c r="R482" i="4"/>
  <c r="R537" i="4"/>
  <c r="R584" i="4"/>
  <c r="R619" i="4"/>
  <c r="R665" i="4"/>
  <c r="R692" i="4"/>
  <c r="R727" i="4"/>
  <c r="R756" i="4"/>
  <c r="R783" i="4"/>
  <c r="R817" i="4"/>
  <c r="R839" i="4"/>
  <c r="R865" i="4"/>
  <c r="R888" i="4"/>
  <c r="R905" i="4"/>
  <c r="R928" i="4"/>
  <c r="R945" i="4"/>
  <c r="R968" i="4"/>
  <c r="R991" i="4"/>
  <c r="R1008" i="4"/>
  <c r="R1031" i="4"/>
  <c r="R1046" i="4"/>
  <c r="R1062" i="4"/>
  <c r="R1078" i="4"/>
  <c r="R1090" i="4"/>
  <c r="R1104" i="4"/>
  <c r="R1115" i="4"/>
  <c r="R1129" i="4"/>
  <c r="R1143" i="4"/>
  <c r="R1154" i="4"/>
  <c r="R1168" i="4"/>
  <c r="R1179" i="4"/>
  <c r="R1193" i="4"/>
  <c r="R1207" i="4"/>
  <c r="R1218" i="4"/>
  <c r="R1232" i="4"/>
  <c r="R1243" i="4"/>
  <c r="R1257" i="4"/>
  <c r="R1271" i="4"/>
  <c r="R1282" i="4"/>
  <c r="R1296" i="4"/>
  <c r="R1307" i="4"/>
  <c r="R1321" i="4"/>
  <c r="R1334" i="4"/>
  <c r="R1343" i="4"/>
  <c r="R1352" i="4"/>
  <c r="R1361" i="4"/>
  <c r="R1370" i="4"/>
  <c r="R1379" i="4"/>
  <c r="R1388" i="4"/>
  <c r="R1396" i="4"/>
  <c r="R1404" i="4"/>
  <c r="R1412" i="4"/>
  <c r="R1420" i="4"/>
  <c r="R1428" i="4"/>
  <c r="R1436" i="4"/>
  <c r="R1444" i="4"/>
  <c r="R1452" i="4"/>
  <c r="R1460" i="4"/>
  <c r="R1468" i="4"/>
  <c r="R1476" i="4"/>
  <c r="R1484" i="4"/>
  <c r="R1492" i="4"/>
  <c r="R1500" i="4"/>
  <c r="R1508" i="4"/>
  <c r="R1516" i="4"/>
  <c r="R1524" i="4"/>
  <c r="R1532" i="4"/>
  <c r="R1540" i="4"/>
  <c r="R1548" i="4"/>
  <c r="R1556" i="4"/>
  <c r="R1564" i="4"/>
  <c r="R1572" i="4"/>
  <c r="R1580" i="4"/>
  <c r="R1588" i="4"/>
  <c r="R1596" i="4"/>
  <c r="R1604" i="4"/>
  <c r="R1612" i="4"/>
  <c r="R1620" i="4"/>
  <c r="R1628" i="4"/>
  <c r="R1636" i="4"/>
  <c r="R1644" i="4"/>
  <c r="R1652" i="4"/>
  <c r="R1660" i="4"/>
  <c r="R1668" i="4"/>
  <c r="R1676" i="4"/>
  <c r="R1684" i="4"/>
  <c r="R1692" i="4"/>
  <c r="R1700" i="4"/>
  <c r="R1708" i="4"/>
  <c r="R1716" i="4"/>
  <c r="R1724" i="4"/>
  <c r="R1732" i="4"/>
  <c r="R1740" i="4"/>
  <c r="R1748" i="4"/>
  <c r="R1756" i="4"/>
  <c r="R71" i="4"/>
  <c r="R448" i="4"/>
  <c r="R592" i="4"/>
  <c r="R100" i="4"/>
  <c r="R202" i="4"/>
  <c r="R123" i="4"/>
  <c r="R220" i="4"/>
  <c r="R299" i="4"/>
  <c r="R351" i="4"/>
  <c r="R417" i="4"/>
  <c r="R466" i="4"/>
  <c r="R509" i="4"/>
  <c r="R564" i="4"/>
  <c r="R597" i="4"/>
  <c r="R643" i="4"/>
  <c r="R682" i="4"/>
  <c r="R709" i="4"/>
  <c r="R744" i="4"/>
  <c r="R765" i="4"/>
  <c r="R800" i="4"/>
  <c r="R829" i="4"/>
  <c r="R855" i="4"/>
  <c r="R878" i="4"/>
  <c r="R895" i="4"/>
  <c r="R918" i="4"/>
  <c r="R938" i="4"/>
  <c r="R958" i="4"/>
  <c r="R978" i="4"/>
  <c r="R998" i="4"/>
  <c r="R1018" i="4"/>
  <c r="R1040" i="4"/>
  <c r="R1054" i="4"/>
  <c r="R1070" i="4"/>
  <c r="R1082" i="4"/>
  <c r="R1097" i="4"/>
  <c r="R1111" i="4"/>
  <c r="R1122" i="4"/>
  <c r="R1136" i="4"/>
  <c r="R1147" i="4"/>
  <c r="R1161" i="4"/>
  <c r="R1175" i="4"/>
  <c r="R1186" i="4"/>
  <c r="R1200" i="4"/>
  <c r="R1211" i="4"/>
  <c r="R1225" i="4"/>
  <c r="R1239" i="4"/>
  <c r="R1250" i="4"/>
  <c r="R1264" i="4"/>
  <c r="R1275" i="4"/>
  <c r="R1289" i="4"/>
  <c r="R1303" i="4"/>
  <c r="R1314" i="4"/>
  <c r="R1328" i="4"/>
  <c r="R1338" i="4"/>
  <c r="R1347" i="4"/>
  <c r="R1356" i="4"/>
  <c r="R1366" i="4"/>
  <c r="R1375" i="4"/>
  <c r="R1384" i="4"/>
  <c r="R1392" i="4"/>
  <c r="R1400" i="4"/>
  <c r="R1408" i="4"/>
  <c r="R1416" i="4"/>
  <c r="R1424" i="4"/>
  <c r="R1432" i="4"/>
  <c r="R1440" i="4"/>
  <c r="R1448" i="4"/>
  <c r="R1456" i="4"/>
  <c r="R1464" i="4"/>
  <c r="R1472" i="4"/>
  <c r="R1480" i="4"/>
  <c r="R1488" i="4"/>
  <c r="R1496" i="4"/>
  <c r="R1504" i="4"/>
  <c r="R1512" i="4"/>
  <c r="R1520" i="4"/>
  <c r="R1528" i="4"/>
  <c r="R1536" i="4"/>
  <c r="R1544" i="4"/>
  <c r="R1552" i="4"/>
  <c r="R1560" i="4"/>
  <c r="R1568" i="4"/>
  <c r="R1576" i="4"/>
  <c r="R1584" i="4"/>
  <c r="R1592" i="4"/>
  <c r="R1600" i="4"/>
  <c r="R1608" i="4"/>
  <c r="R1616" i="4"/>
  <c r="R1624" i="4"/>
  <c r="R1632" i="4"/>
  <c r="R1705" i="4"/>
  <c r="R1680" i="4"/>
  <c r="R1751" i="4"/>
  <c r="R1737" i="4"/>
  <c r="R1726" i="4"/>
  <c r="R1712" i="4"/>
  <c r="R1701" i="4"/>
  <c r="R1687" i="4"/>
  <c r="R1673" i="4"/>
  <c r="R1662" i="4"/>
  <c r="R1648" i="4"/>
  <c r="R1637" i="4"/>
  <c r="R1621" i="4"/>
  <c r="R1605" i="4"/>
  <c r="R1589" i="4"/>
  <c r="R1573" i="4"/>
  <c r="R1557" i="4"/>
  <c r="R1541" i="4"/>
  <c r="R1525" i="4"/>
  <c r="R1509" i="4"/>
  <c r="R1493" i="4"/>
  <c r="R1477" i="4"/>
  <c r="R1461" i="4"/>
  <c r="R1445" i="4"/>
  <c r="R1429" i="4"/>
  <c r="R1413" i="4"/>
  <c r="R1397" i="4"/>
  <c r="R1380" i="4"/>
  <c r="R1362" i="4"/>
  <c r="R1344" i="4"/>
  <c r="R1322" i="4"/>
  <c r="R1297" i="4"/>
  <c r="R1272" i="4"/>
  <c r="R1247" i="4"/>
  <c r="R1219" i="4"/>
  <c r="R1194" i="4"/>
  <c r="R1169" i="4"/>
  <c r="R1144" i="4"/>
  <c r="R1119" i="4"/>
  <c r="R1091" i="4"/>
  <c r="R1063" i="4"/>
  <c r="R1032" i="4"/>
  <c r="R992" i="4"/>
  <c r="R952" i="4"/>
  <c r="R906" i="4"/>
  <c r="R866" i="4"/>
  <c r="R818" i="4"/>
  <c r="R762" i="4"/>
  <c r="R701" i="4"/>
  <c r="R594" i="4"/>
  <c r="R475" i="4"/>
  <c r="R348" i="4"/>
  <c r="R1736" i="4"/>
  <c r="R1697" i="4"/>
  <c r="R1661" i="4"/>
  <c r="R1617" i="4"/>
  <c r="R1585" i="4"/>
  <c r="R1569" i="4"/>
  <c r="R1521" i="4"/>
  <c r="R1505" i="4"/>
  <c r="R1489" i="4"/>
  <c r="R1473" i="4"/>
  <c r="R1457" i="4"/>
  <c r="R1425" i="4"/>
  <c r="R1393" i="4"/>
  <c r="R1376" i="4"/>
  <c r="R1339" i="4"/>
  <c r="R1290" i="4"/>
  <c r="R593" i="4"/>
  <c r="R1735" i="4"/>
  <c r="R1710" i="4"/>
  <c r="R1646" i="4"/>
  <c r="R1615" i="4"/>
  <c r="R1551" i="4"/>
  <c r="R1503" i="4"/>
  <c r="R1439" i="4"/>
  <c r="R1288" i="4"/>
  <c r="R1160" i="4"/>
  <c r="R1107" i="4"/>
  <c r="R1052" i="4"/>
  <c r="R1017" i="4"/>
  <c r="R977" i="4"/>
  <c r="R934" i="4"/>
  <c r="R894" i="4"/>
  <c r="R853" i="4"/>
  <c r="R799" i="4"/>
  <c r="R738" i="4"/>
  <c r="R671" i="4"/>
  <c r="R287" i="4"/>
  <c r="R1734" i="4"/>
  <c r="R1656" i="4"/>
  <c r="R1614" i="4"/>
  <c r="R1566" i="4"/>
  <c r="R1518" i="4"/>
  <c r="R1486" i="4"/>
  <c r="R1422" i="4"/>
  <c r="R1336" i="4"/>
  <c r="R1259" i="4"/>
  <c r="R1184" i="4"/>
  <c r="R1080" i="4"/>
  <c r="R930" i="4"/>
  <c r="R849" i="4"/>
  <c r="R793" i="4"/>
  <c r="R729" i="4"/>
  <c r="R667" i="4"/>
  <c r="R266" i="4"/>
  <c r="R1744" i="4"/>
  <c r="R1669" i="4"/>
  <c r="R1597" i="4"/>
  <c r="R1549" i="4"/>
  <c r="R1501" i="4"/>
  <c r="R1485" i="4"/>
  <c r="R1437" i="4"/>
  <c r="R1405" i="4"/>
  <c r="R1389" i="4"/>
  <c r="R1353" i="4"/>
  <c r="R1283" i="4"/>
  <c r="R1233" i="4"/>
  <c r="R1155" i="4"/>
  <c r="R1079" i="4"/>
  <c r="R969" i="4"/>
  <c r="R848" i="4"/>
  <c r="R784" i="4"/>
  <c r="R728" i="4"/>
  <c r="R644" i="4"/>
  <c r="R221" i="4"/>
  <c r="R2" i="4"/>
  <c r="R1743" i="4"/>
  <c r="R1729" i="4"/>
  <c r="R1718" i="4"/>
  <c r="R1704" i="4"/>
  <c r="R1693" i="4"/>
  <c r="R1679" i="4"/>
  <c r="R1665" i="4"/>
  <c r="R1654" i="4"/>
  <c r="R1640" i="4"/>
  <c r="R1625" i="4"/>
  <c r="R1609" i="4"/>
  <c r="R1593" i="4"/>
  <c r="R1577" i="4"/>
  <c r="R1561" i="4"/>
  <c r="R1545" i="4"/>
  <c r="R1529" i="4"/>
  <c r="R1513" i="4"/>
  <c r="R1497" i="4"/>
  <c r="R1481" i="4"/>
  <c r="R1465" i="4"/>
  <c r="R1449" i="4"/>
  <c r="R1433" i="4"/>
  <c r="R1417" i="4"/>
  <c r="R1401" i="4"/>
  <c r="R1385" i="4"/>
  <c r="R1367" i="4"/>
  <c r="R1348" i="4"/>
  <c r="R1329" i="4"/>
  <c r="R1304" i="4"/>
  <c r="R1279" i="4"/>
  <c r="R1251" i="4"/>
  <c r="R1226" i="4"/>
  <c r="R1201" i="4"/>
  <c r="R1176" i="4"/>
  <c r="R1151" i="4"/>
  <c r="R1123" i="4"/>
  <c r="R1098" i="4"/>
  <c r="R1071" i="4"/>
  <c r="R1041" i="4"/>
  <c r="R1002" i="4"/>
  <c r="R959" i="4"/>
  <c r="R919" i="4"/>
  <c r="R879" i="4"/>
  <c r="R835" i="4"/>
  <c r="R775" i="4"/>
  <c r="R711" i="4"/>
  <c r="R640" i="4"/>
  <c r="R511" i="4"/>
  <c r="R404" i="4"/>
  <c r="R213" i="4"/>
  <c r="R1725" i="4"/>
  <c r="R1686" i="4"/>
  <c r="R1647" i="4"/>
  <c r="R1537" i="4"/>
  <c r="R1441" i="4"/>
  <c r="R1358" i="4"/>
  <c r="R1240" i="4"/>
  <c r="R1187" i="4"/>
  <c r="R1112" i="4"/>
  <c r="R1055" i="4"/>
  <c r="R942" i="4"/>
  <c r="R306" i="4"/>
  <c r="R1749" i="4"/>
  <c r="R1685" i="4"/>
  <c r="R1657" i="4"/>
  <c r="R1599" i="4"/>
  <c r="R1567" i="4"/>
  <c r="R1519" i="4"/>
  <c r="R1487" i="4"/>
  <c r="R1455" i="4"/>
  <c r="R1423" i="4"/>
  <c r="R1407" i="4"/>
  <c r="R1391" i="4"/>
  <c r="R1374" i="4"/>
  <c r="R1337" i="4"/>
  <c r="R1313" i="4"/>
  <c r="R1235" i="4"/>
  <c r="R1210" i="4"/>
  <c r="R1135" i="4"/>
  <c r="R452" i="4"/>
  <c r="R1745" i="4"/>
  <c r="R1709" i="4"/>
  <c r="R1681" i="4"/>
  <c r="R1670" i="4"/>
  <c r="R1645" i="4"/>
  <c r="R1598" i="4"/>
  <c r="R1550" i="4"/>
  <c r="R1502" i="4"/>
  <c r="R1470" i="4"/>
  <c r="R1454" i="4"/>
  <c r="R1406" i="4"/>
  <c r="R1390" i="4"/>
  <c r="R1354" i="4"/>
  <c r="R1312" i="4"/>
  <c r="R1234" i="4"/>
  <c r="R1159" i="4"/>
  <c r="R1131" i="4"/>
  <c r="R1016" i="4"/>
  <c r="R890" i="4"/>
  <c r="R418" i="4"/>
  <c r="R1719" i="4"/>
  <c r="R1655" i="4"/>
  <c r="R1629" i="4"/>
  <c r="R1581" i="4"/>
  <c r="R1517" i="4"/>
  <c r="R1453" i="4"/>
  <c r="R1335" i="4"/>
  <c r="R1311" i="4"/>
  <c r="R1258" i="4"/>
  <c r="R1183" i="4"/>
  <c r="R1105" i="4"/>
  <c r="R1009" i="4"/>
  <c r="R889" i="4"/>
  <c r="R415" i="4"/>
  <c r="R1753" i="4"/>
  <c r="R1728" i="4"/>
  <c r="R1717" i="4"/>
  <c r="R1689" i="4"/>
  <c r="R1623" i="4"/>
  <c r="R1607" i="4"/>
  <c r="R1575" i="4"/>
  <c r="R1559" i="4"/>
  <c r="R1543" i="4"/>
  <c r="R1527" i="4"/>
  <c r="R1511" i="4"/>
  <c r="R1495" i="4"/>
  <c r="R1479" i="4"/>
  <c r="R1463" i="4"/>
  <c r="R1447" i="4"/>
  <c r="R1431" i="4"/>
  <c r="R1415" i="4"/>
  <c r="R1399" i="4"/>
  <c r="R1383" i="4"/>
  <c r="R1364" i="4"/>
  <c r="R1346" i="4"/>
  <c r="R1327" i="4"/>
  <c r="R1299" i="4"/>
  <c r="R1274" i="4"/>
  <c r="R1249" i="4"/>
  <c r="R1224" i="4"/>
  <c r="R1199" i="4"/>
  <c r="R1171" i="4"/>
  <c r="R1146" i="4"/>
  <c r="R1121" i="4"/>
  <c r="R1096" i="4"/>
  <c r="R1068" i="4"/>
  <c r="R1034" i="4"/>
  <c r="R994" i="4"/>
  <c r="R954" i="4"/>
  <c r="R914" i="4"/>
  <c r="R874" i="4"/>
  <c r="R820" i="4"/>
  <c r="R764" i="4"/>
  <c r="R708" i="4"/>
  <c r="R634" i="4"/>
  <c r="R508" i="4"/>
  <c r="R371" i="4"/>
  <c r="R124" i="4"/>
  <c r="R1750" i="4"/>
  <c r="R1711" i="4"/>
  <c r="R1672" i="4"/>
  <c r="R1633" i="4"/>
  <c r="R1601" i="4"/>
  <c r="R1553" i="4"/>
  <c r="R1409" i="4"/>
  <c r="R1315" i="4"/>
  <c r="R1265" i="4"/>
  <c r="R1215" i="4"/>
  <c r="R1162" i="4"/>
  <c r="R1137" i="4"/>
  <c r="R1087" i="4"/>
  <c r="R1022" i="4"/>
  <c r="R982" i="4"/>
  <c r="R902" i="4"/>
  <c r="R856" i="4"/>
  <c r="R801" i="4"/>
  <c r="R745" i="4"/>
  <c r="R689" i="4"/>
  <c r="R453" i="4"/>
  <c r="R1721" i="4"/>
  <c r="R1696" i="4"/>
  <c r="R1671" i="4"/>
  <c r="R1631" i="4"/>
  <c r="R1583" i="4"/>
  <c r="R1535" i="4"/>
  <c r="R1355" i="4"/>
  <c r="R1263" i="4"/>
  <c r="R1185" i="4"/>
  <c r="R1081" i="4"/>
  <c r="R565" i="4"/>
  <c r="R1720" i="4"/>
  <c r="R1695" i="4"/>
  <c r="R1630" i="4"/>
  <c r="R1582" i="4"/>
  <c r="R1534" i="4"/>
  <c r="R1438" i="4"/>
  <c r="R1372" i="4"/>
  <c r="R1287" i="4"/>
  <c r="R1209" i="4"/>
  <c r="R1106" i="4"/>
  <c r="R1051" i="4"/>
  <c r="R970" i="4"/>
  <c r="R555" i="4"/>
  <c r="R1733" i="4"/>
  <c r="R1694" i="4"/>
  <c r="R1641" i="4"/>
  <c r="R1613" i="4"/>
  <c r="R1565" i="4"/>
  <c r="R1533" i="4"/>
  <c r="R1469" i="4"/>
  <c r="R1421" i="4"/>
  <c r="R1371" i="4"/>
  <c r="R1208" i="4"/>
  <c r="R1130" i="4"/>
  <c r="R1050" i="4"/>
  <c r="R929" i="4"/>
  <c r="R539" i="4"/>
  <c r="R1742" i="4"/>
  <c r="R1703" i="4"/>
  <c r="R1678" i="4"/>
  <c r="R1664" i="4"/>
  <c r="R1653" i="4"/>
  <c r="R1639" i="4"/>
  <c r="R1591" i="4"/>
  <c r="R1752" i="4"/>
  <c r="R1741" i="4"/>
  <c r="R1727" i="4"/>
  <c r="R1713" i="4"/>
  <c r="R1702" i="4"/>
  <c r="R1688" i="4"/>
  <c r="R1677" i="4"/>
  <c r="R1663" i="4"/>
  <c r="R1649" i="4"/>
  <c r="R1638" i="4"/>
  <c r="R1622" i="4"/>
  <c r="R1606" i="4"/>
  <c r="R1590" i="4"/>
  <c r="R1574" i="4"/>
  <c r="R1558" i="4"/>
  <c r="R1542" i="4"/>
  <c r="R1526" i="4"/>
  <c r="R1510" i="4"/>
  <c r="R1494" i="4"/>
  <c r="R1478" i="4"/>
  <c r="R1462" i="4"/>
  <c r="R1446" i="4"/>
  <c r="R1430" i="4"/>
  <c r="R1414" i="4"/>
  <c r="R1398" i="4"/>
  <c r="R1382" i="4"/>
  <c r="R1363" i="4"/>
  <c r="R1345" i="4"/>
  <c r="R1323" i="4"/>
  <c r="R1298" i="4"/>
  <c r="R1273" i="4"/>
  <c r="R1248" i="4"/>
  <c r="R1223" i="4"/>
  <c r="R1195" i="4"/>
  <c r="R1170" i="4"/>
  <c r="R1145" i="4"/>
  <c r="R1120" i="4"/>
  <c r="R1095" i="4"/>
  <c r="R1064" i="4"/>
  <c r="R1033" i="4"/>
  <c r="R993" i="4"/>
  <c r="R953" i="4"/>
  <c r="R913" i="4"/>
  <c r="R870" i="4"/>
  <c r="R819" i="4"/>
  <c r="R763" i="4"/>
  <c r="R707" i="4"/>
  <c r="R609" i="4"/>
  <c r="R507" i="4"/>
  <c r="R349" i="4"/>
  <c r="R115" i="4"/>
  <c r="Q27" i="5" l="1"/>
  <c r="R14" i="1"/>
  <c r="S1757" i="1"/>
  <c r="Q14" i="5"/>
  <c r="Q11" i="5"/>
  <c r="Q6" i="5"/>
  <c r="Q9" i="5"/>
  <c r="Q4" i="5"/>
  <c r="Q7" i="5"/>
  <c r="Q10" i="5"/>
  <c r="Q5" i="5"/>
  <c r="Q8" i="5"/>
  <c r="Q19" i="5"/>
  <c r="Q23" i="5"/>
  <c r="Q31" i="5"/>
  <c r="Q35" i="5"/>
  <c r="Q39" i="5"/>
  <c r="Q43" i="5"/>
  <c r="Q16" i="5"/>
  <c r="Q20" i="5"/>
  <c r="Q24" i="5"/>
  <c r="Q28" i="5"/>
  <c r="Q32" i="5"/>
  <c r="Q36" i="5"/>
  <c r="Q40" i="5"/>
  <c r="Q44" i="5"/>
  <c r="Q12" i="5"/>
  <c r="Q17" i="5"/>
  <c r="Q21" i="5"/>
  <c r="Q25" i="5"/>
  <c r="Q29" i="5"/>
  <c r="Q33" i="5"/>
  <c r="Q37" i="5"/>
  <c r="Q41" i="5"/>
  <c r="Q45" i="5"/>
  <c r="Q15" i="5"/>
  <c r="Q18" i="5"/>
  <c r="Q22" i="5"/>
  <c r="Q26" i="5"/>
  <c r="Q30" i="5"/>
  <c r="Q34" i="5"/>
  <c r="Q38" i="5"/>
  <c r="Q42" i="5"/>
  <c r="Q13" i="5"/>
  <c r="R1611" i="1"/>
  <c r="R1316" i="1"/>
  <c r="R24" i="1"/>
  <c r="R1741" i="1"/>
  <c r="R1727" i="1"/>
  <c r="R1716" i="1"/>
  <c r="R1677" i="1"/>
  <c r="R1691" i="1"/>
  <c r="R1755" i="1"/>
  <c r="R1663" i="1"/>
  <c r="R1702" i="1"/>
  <c r="R1751" i="1"/>
  <c r="R1662" i="1"/>
  <c r="R1652" i="1"/>
  <c r="R1638" i="1"/>
  <c r="R1627" i="1"/>
  <c r="R1613" i="1"/>
  <c r="R1599" i="1"/>
  <c r="R1587" i="1"/>
  <c r="R1571" i="1"/>
  <c r="R1555" i="1"/>
  <c r="R1539" i="1"/>
  <c r="R1523" i="1"/>
  <c r="R1507" i="1"/>
  <c r="R1491" i="1"/>
  <c r="R1475" i="1"/>
  <c r="R1454" i="1"/>
  <c r="R1436" i="1"/>
  <c r="R1413" i="1"/>
  <c r="R1390" i="1"/>
  <c r="R1373" i="1"/>
  <c r="R1350" i="1"/>
  <c r="R1332" i="1"/>
  <c r="R1534" i="1"/>
  <c r="R1453" i="1"/>
  <c r="R1430" i="1"/>
  <c r="R1412" i="1"/>
  <c r="R1389" i="1"/>
  <c r="R1372" i="1"/>
  <c r="R1349" i="1"/>
  <c r="R1326" i="1"/>
  <c r="R1740" i="1"/>
  <c r="R1687" i="1"/>
  <c r="R1623" i="1"/>
  <c r="R1550" i="1"/>
  <c r="R1739" i="1"/>
  <c r="R1661" i="1"/>
  <c r="R1581" i="1"/>
  <c r="R1485" i="1"/>
  <c r="R1429" i="1"/>
  <c r="R1406" i="1"/>
  <c r="R1348" i="1"/>
  <c r="R1325" i="1"/>
  <c r="R1676" i="1"/>
  <c r="R1598" i="1"/>
  <c r="R1502" i="1"/>
  <c r="R1686" i="1"/>
  <c r="R1533" i="1"/>
  <c r="R1699" i="1"/>
  <c r="R1516" i="1"/>
  <c r="R1365" i="1"/>
  <c r="R1701" i="1"/>
  <c r="R1612" i="1"/>
  <c r="R1518" i="1"/>
  <c r="R1725" i="1"/>
  <c r="R1647" i="1"/>
  <c r="R1549" i="1"/>
  <c r="R1734" i="1"/>
  <c r="R1726" i="1"/>
  <c r="R1651" i="1"/>
  <c r="R1582" i="1"/>
  <c r="R1470" i="1"/>
  <c r="R1700" i="1"/>
  <c r="R1636" i="1"/>
  <c r="R1597" i="1"/>
  <c r="R1517" i="1"/>
  <c r="R1469" i="1"/>
  <c r="R1366" i="1"/>
  <c r="R1735" i="1"/>
  <c r="R1710" i="1"/>
  <c r="R1685" i="1"/>
  <c r="R1660" i="1"/>
  <c r="R1635" i="1"/>
  <c r="R1607" i="1"/>
  <c r="R1580" i="1"/>
  <c r="R1548" i="1"/>
  <c r="R1500" i="1"/>
  <c r="R1468" i="1"/>
  <c r="R1405" i="1"/>
  <c r="R1342" i="1"/>
  <c r="R1748" i="1"/>
  <c r="R1709" i="1"/>
  <c r="R1684" i="1"/>
  <c r="R1659" i="1"/>
  <c r="R1645" i="1"/>
  <c r="R1606" i="1"/>
  <c r="R1579" i="1"/>
  <c r="R1547" i="1"/>
  <c r="R1515" i="1"/>
  <c r="R1483" i="1"/>
  <c r="R1422" i="1"/>
  <c r="R1341" i="1"/>
  <c r="R1747" i="1"/>
  <c r="R1708" i="1"/>
  <c r="R1669" i="1"/>
  <c r="R1644" i="1"/>
  <c r="R1630" i="1"/>
  <c r="R1619" i="1"/>
  <c r="R1605" i="1"/>
  <c r="R1590" i="1"/>
  <c r="R1574" i="1"/>
  <c r="R1558" i="1"/>
  <c r="R1542" i="1"/>
  <c r="R1526" i="1"/>
  <c r="R1510" i="1"/>
  <c r="R1494" i="1"/>
  <c r="R1478" i="1"/>
  <c r="R1462" i="1"/>
  <c r="R1444" i="1"/>
  <c r="R1421" i="1"/>
  <c r="R1398" i="1"/>
  <c r="R1381" i="1"/>
  <c r="R1358" i="1"/>
  <c r="R1340" i="1"/>
  <c r="R1317" i="1"/>
  <c r="R1715" i="1"/>
  <c r="R1637" i="1"/>
  <c r="R1566" i="1"/>
  <c r="R1486" i="1"/>
  <c r="R1750" i="1"/>
  <c r="R1711" i="1"/>
  <c r="R1675" i="1"/>
  <c r="R1622" i="1"/>
  <c r="R1565" i="1"/>
  <c r="R1501" i="1"/>
  <c r="R1452" i="1"/>
  <c r="R1388" i="1"/>
  <c r="R1749" i="1"/>
  <c r="R1724" i="1"/>
  <c r="R1671" i="1"/>
  <c r="R1646" i="1"/>
  <c r="R1621" i="1"/>
  <c r="R1596" i="1"/>
  <c r="R1564" i="1"/>
  <c r="R1532" i="1"/>
  <c r="R1484" i="1"/>
  <c r="R1446" i="1"/>
  <c r="R1428" i="1"/>
  <c r="R1387" i="1"/>
  <c r="R1324" i="1"/>
  <c r="R1723" i="1"/>
  <c r="R1695" i="1"/>
  <c r="R1670" i="1"/>
  <c r="R1631" i="1"/>
  <c r="R1620" i="1"/>
  <c r="R1595" i="1"/>
  <c r="R1563" i="1"/>
  <c r="R1531" i="1"/>
  <c r="R1499" i="1"/>
  <c r="R1467" i="1"/>
  <c r="R1445" i="1"/>
  <c r="R1404" i="1"/>
  <c r="R1382" i="1"/>
  <c r="R1364" i="1"/>
  <c r="R1318" i="1"/>
  <c r="R1733" i="1"/>
  <c r="R1683" i="1"/>
  <c r="R1655" i="1"/>
  <c r="R1743" i="1"/>
  <c r="R1732" i="1"/>
  <c r="R1718" i="1"/>
  <c r="R1707" i="1"/>
  <c r="R1693" i="1"/>
  <c r="R1679" i="1"/>
  <c r="R1668" i="1"/>
  <c r="R1654" i="1"/>
  <c r="R1643" i="1"/>
  <c r="R1629" i="1"/>
  <c r="R1615" i="1"/>
  <c r="R1604" i="1"/>
  <c r="R1589" i="1"/>
  <c r="R1573" i="1"/>
  <c r="R1557" i="1"/>
  <c r="R1541" i="1"/>
  <c r="R1525" i="1"/>
  <c r="R1509" i="1"/>
  <c r="R1493" i="1"/>
  <c r="R1477" i="1"/>
  <c r="R1461" i="1"/>
  <c r="R1438" i="1"/>
  <c r="R1420" i="1"/>
  <c r="R1397" i="1"/>
  <c r="R1380" i="1"/>
  <c r="R1357" i="1"/>
  <c r="R1334" i="1"/>
  <c r="R3" i="1"/>
  <c r="R11" i="1"/>
  <c r="R19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4" i="1"/>
  <c r="R12" i="1"/>
  <c r="R20" i="1"/>
  <c r="R28" i="1"/>
  <c r="R36" i="1"/>
  <c r="R44" i="1"/>
  <c r="R52" i="1"/>
  <c r="R60" i="1"/>
  <c r="R68" i="1"/>
  <c r="R76" i="1"/>
  <c r="R84" i="1"/>
  <c r="R92" i="1"/>
  <c r="R100" i="1"/>
  <c r="R108" i="1"/>
  <c r="R116" i="1"/>
  <c r="R124" i="1"/>
  <c r="R132" i="1"/>
  <c r="R140" i="1"/>
  <c r="R148" i="1"/>
  <c r="R156" i="1"/>
  <c r="R164" i="1"/>
  <c r="R172" i="1"/>
  <c r="R180" i="1"/>
  <c r="R188" i="1"/>
  <c r="R196" i="1"/>
  <c r="R204" i="1"/>
  <c r="R212" i="1"/>
  <c r="R220" i="1"/>
  <c r="R228" i="1"/>
  <c r="R236" i="1"/>
  <c r="R244" i="1"/>
  <c r="R252" i="1"/>
  <c r="R260" i="1"/>
  <c r="R268" i="1"/>
  <c r="R276" i="1"/>
  <c r="R284" i="1"/>
  <c r="R292" i="1"/>
  <c r="R300" i="1"/>
  <c r="R308" i="1"/>
  <c r="R316" i="1"/>
  <c r="R324" i="1"/>
  <c r="R332" i="1"/>
  <c r="R340" i="1"/>
  <c r="R348" i="1"/>
  <c r="R356" i="1"/>
  <c r="R364" i="1"/>
  <c r="R372" i="1"/>
  <c r="R380" i="1"/>
  <c r="R388" i="1"/>
  <c r="R396" i="1"/>
  <c r="R404" i="1"/>
  <c r="R412" i="1"/>
  <c r="R420" i="1"/>
  <c r="R428" i="1"/>
  <c r="R436" i="1"/>
  <c r="R444" i="1"/>
  <c r="R452" i="1"/>
  <c r="R460" i="1"/>
  <c r="R468" i="1"/>
  <c r="R476" i="1"/>
  <c r="R484" i="1"/>
  <c r="R492" i="1"/>
  <c r="R500" i="1"/>
  <c r="R508" i="1"/>
  <c r="R516" i="1"/>
  <c r="R524" i="1"/>
  <c r="R532" i="1"/>
  <c r="R540" i="1"/>
  <c r="R548" i="1"/>
  <c r="R556" i="1"/>
  <c r="R564" i="1"/>
  <c r="R572" i="1"/>
  <c r="R580" i="1"/>
  <c r="R588" i="1"/>
  <c r="R596" i="1"/>
  <c r="R604" i="1"/>
  <c r="R612" i="1"/>
  <c r="R620" i="1"/>
  <c r="R628" i="1"/>
  <c r="R636" i="1"/>
  <c r="R644" i="1"/>
  <c r="R652" i="1"/>
  <c r="R5" i="1"/>
  <c r="R13" i="1"/>
  <c r="R21" i="1"/>
  <c r="R29" i="1"/>
  <c r="R37" i="1"/>
  <c r="R45" i="1"/>
  <c r="R53" i="1"/>
  <c r="R61" i="1"/>
  <c r="R69" i="1"/>
  <c r="R77" i="1"/>
  <c r="R85" i="1"/>
  <c r="R93" i="1"/>
  <c r="R101" i="1"/>
  <c r="R109" i="1"/>
  <c r="R117" i="1"/>
  <c r="R125" i="1"/>
  <c r="R133" i="1"/>
  <c r="R141" i="1"/>
  <c r="R149" i="1"/>
  <c r="R157" i="1"/>
  <c r="R165" i="1"/>
  <c r="R173" i="1"/>
  <c r="R181" i="1"/>
  <c r="R189" i="1"/>
  <c r="R197" i="1"/>
  <c r="R205" i="1"/>
  <c r="R213" i="1"/>
  <c r="R221" i="1"/>
  <c r="R229" i="1"/>
  <c r="R237" i="1"/>
  <c r="R245" i="1"/>
  <c r="R253" i="1"/>
  <c r="R261" i="1"/>
  <c r="R269" i="1"/>
  <c r="R277" i="1"/>
  <c r="R285" i="1"/>
  <c r="R293" i="1"/>
  <c r="R301" i="1"/>
  <c r="R309" i="1"/>
  <c r="R317" i="1"/>
  <c r="R325" i="1"/>
  <c r="R333" i="1"/>
  <c r="R341" i="1"/>
  <c r="R349" i="1"/>
  <c r="R357" i="1"/>
  <c r="R365" i="1"/>
  <c r="R373" i="1"/>
  <c r="R381" i="1"/>
  <c r="R389" i="1"/>
  <c r="R397" i="1"/>
  <c r="R405" i="1"/>
  <c r="R413" i="1"/>
  <c r="R421" i="1"/>
  <c r="R429" i="1"/>
  <c r="R437" i="1"/>
  <c r="R445" i="1"/>
  <c r="R453" i="1"/>
  <c r="R461" i="1"/>
  <c r="R469" i="1"/>
  <c r="R477" i="1"/>
  <c r="R485" i="1"/>
  <c r="R493" i="1"/>
  <c r="R501" i="1"/>
  <c r="R509" i="1"/>
  <c r="R517" i="1"/>
  <c r="R525" i="1"/>
  <c r="R533" i="1"/>
  <c r="R541" i="1"/>
  <c r="R549" i="1"/>
  <c r="R557" i="1"/>
  <c r="R565" i="1"/>
  <c r="R573" i="1"/>
  <c r="R581" i="1"/>
  <c r="R589" i="1"/>
  <c r="R597" i="1"/>
  <c r="R605" i="1"/>
  <c r="R613" i="1"/>
  <c r="R621" i="1"/>
  <c r="R629" i="1"/>
  <c r="R637" i="1"/>
  <c r="R645" i="1"/>
  <c r="R653" i="1"/>
  <c r="R661" i="1"/>
  <c r="R669" i="1"/>
  <c r="R677" i="1"/>
  <c r="R6" i="1"/>
  <c r="R22" i="1"/>
  <c r="R30" i="1"/>
  <c r="R38" i="1"/>
  <c r="R46" i="1"/>
  <c r="R54" i="1"/>
  <c r="R62" i="1"/>
  <c r="R70" i="1"/>
  <c r="R78" i="1"/>
  <c r="R86" i="1"/>
  <c r="R94" i="1"/>
  <c r="R102" i="1"/>
  <c r="R110" i="1"/>
  <c r="R118" i="1"/>
  <c r="R126" i="1"/>
  <c r="R134" i="1"/>
  <c r="R142" i="1"/>
  <c r="R150" i="1"/>
  <c r="R158" i="1"/>
  <c r="R7" i="1"/>
  <c r="R15" i="1"/>
  <c r="R23" i="1"/>
  <c r="R31" i="1"/>
  <c r="R39" i="1"/>
  <c r="R47" i="1"/>
  <c r="R55" i="1"/>
  <c r="R63" i="1"/>
  <c r="R71" i="1"/>
  <c r="R79" i="1"/>
  <c r="R87" i="1"/>
  <c r="R95" i="1"/>
  <c r="R103" i="1"/>
  <c r="R111" i="1"/>
  <c r="R119" i="1"/>
  <c r="R127" i="1"/>
  <c r="R135" i="1"/>
  <c r="R143" i="1"/>
  <c r="R151" i="1"/>
  <c r="R159" i="1"/>
  <c r="R167" i="1"/>
  <c r="R175" i="1"/>
  <c r="R8" i="1"/>
  <c r="R16" i="1"/>
  <c r="R32" i="1"/>
  <c r="R40" i="1"/>
  <c r="R48" i="1"/>
  <c r="R56" i="1"/>
  <c r="R64" i="1"/>
  <c r="R72" i="1"/>
  <c r="R80" i="1"/>
  <c r="R88" i="1"/>
  <c r="R96" i="1"/>
  <c r="R104" i="1"/>
  <c r="R112" i="1"/>
  <c r="R120" i="1"/>
  <c r="R128" i="1"/>
  <c r="R136" i="1"/>
  <c r="R144" i="1"/>
  <c r="R152" i="1"/>
  <c r="R160" i="1"/>
  <c r="R168" i="1"/>
  <c r="R176" i="1"/>
  <c r="R184" i="1"/>
  <c r="R192" i="1"/>
  <c r="R200" i="1"/>
  <c r="R208" i="1"/>
  <c r="R216" i="1"/>
  <c r="R224" i="1"/>
  <c r="R232" i="1"/>
  <c r="R240" i="1"/>
  <c r="R248" i="1"/>
  <c r="R256" i="1"/>
  <c r="R264" i="1"/>
  <c r="R272" i="1"/>
  <c r="R280" i="1"/>
  <c r="R288" i="1"/>
  <c r="R296" i="1"/>
  <c r="R304" i="1"/>
  <c r="R312" i="1"/>
  <c r="R320" i="1"/>
  <c r="R328" i="1"/>
  <c r="R336" i="1"/>
  <c r="R344" i="1"/>
  <c r="R352" i="1"/>
  <c r="R360" i="1"/>
  <c r="R368" i="1"/>
  <c r="R376" i="1"/>
  <c r="R384" i="1"/>
  <c r="R392" i="1"/>
  <c r="R400" i="1"/>
  <c r="R408" i="1"/>
  <c r="R416" i="1"/>
  <c r="R424" i="1"/>
  <c r="R432" i="1"/>
  <c r="R440" i="1"/>
  <c r="R448" i="1"/>
  <c r="R456" i="1"/>
  <c r="R464" i="1"/>
  <c r="R472" i="1"/>
  <c r="R480" i="1"/>
  <c r="R488" i="1"/>
  <c r="R496" i="1"/>
  <c r="R504" i="1"/>
  <c r="R512" i="1"/>
  <c r="R520" i="1"/>
  <c r="R528" i="1"/>
  <c r="R536" i="1"/>
  <c r="R544" i="1"/>
  <c r="R552" i="1"/>
  <c r="R560" i="1"/>
  <c r="R568" i="1"/>
  <c r="R576" i="1"/>
  <c r="R584" i="1"/>
  <c r="R9" i="1"/>
  <c r="R10" i="1"/>
  <c r="R18" i="1"/>
  <c r="R26" i="1"/>
  <c r="R34" i="1"/>
  <c r="R42" i="1"/>
  <c r="R50" i="1"/>
  <c r="R58" i="1"/>
  <c r="R66" i="1"/>
  <c r="R74" i="1"/>
  <c r="R82" i="1"/>
  <c r="R90" i="1"/>
  <c r="R98" i="1"/>
  <c r="R106" i="1"/>
  <c r="R114" i="1"/>
  <c r="R122" i="1"/>
  <c r="R130" i="1"/>
  <c r="R138" i="1"/>
  <c r="R146" i="1"/>
  <c r="R154" i="1"/>
  <c r="R162" i="1"/>
  <c r="R170" i="1"/>
  <c r="R178" i="1"/>
  <c r="R186" i="1"/>
  <c r="R194" i="1"/>
  <c r="R202" i="1"/>
  <c r="R210" i="1"/>
  <c r="R218" i="1"/>
  <c r="R226" i="1"/>
  <c r="R234" i="1"/>
  <c r="R242" i="1"/>
  <c r="R250" i="1"/>
  <c r="R258" i="1"/>
  <c r="R266" i="1"/>
  <c r="R274" i="1"/>
  <c r="R282" i="1"/>
  <c r="R290" i="1"/>
  <c r="R17" i="1"/>
  <c r="R81" i="1"/>
  <c r="R145" i="1"/>
  <c r="R174" i="1"/>
  <c r="R191" i="1"/>
  <c r="R207" i="1"/>
  <c r="R223" i="1"/>
  <c r="R239" i="1"/>
  <c r="R255" i="1"/>
  <c r="R271" i="1"/>
  <c r="R287" i="1"/>
  <c r="R302" i="1"/>
  <c r="R314" i="1"/>
  <c r="R327" i="1"/>
  <c r="R339" i="1"/>
  <c r="R353" i="1"/>
  <c r="R366" i="1"/>
  <c r="R378" i="1"/>
  <c r="R391" i="1"/>
  <c r="R403" i="1"/>
  <c r="R417" i="1"/>
  <c r="R430" i="1"/>
  <c r="R442" i="1"/>
  <c r="R455" i="1"/>
  <c r="R467" i="1"/>
  <c r="R481" i="1"/>
  <c r="R494" i="1"/>
  <c r="R506" i="1"/>
  <c r="R519" i="1"/>
  <c r="R531" i="1"/>
  <c r="R545" i="1"/>
  <c r="R558" i="1"/>
  <c r="R570" i="1"/>
  <c r="R583" i="1"/>
  <c r="R594" i="1"/>
  <c r="R606" i="1"/>
  <c r="R616" i="1"/>
  <c r="R626" i="1"/>
  <c r="R638" i="1"/>
  <c r="R648" i="1"/>
  <c r="R658" i="1"/>
  <c r="R667" i="1"/>
  <c r="R676" i="1"/>
  <c r="R685" i="1"/>
  <c r="R693" i="1"/>
  <c r="R701" i="1"/>
  <c r="R709" i="1"/>
  <c r="R717" i="1"/>
  <c r="R725" i="1"/>
  <c r="R733" i="1"/>
  <c r="R741" i="1"/>
  <c r="R749" i="1"/>
  <c r="R757" i="1"/>
  <c r="R765" i="1"/>
  <c r="R773" i="1"/>
  <c r="R781" i="1"/>
  <c r="R789" i="1"/>
  <c r="R797" i="1"/>
  <c r="R805" i="1"/>
  <c r="R813" i="1"/>
  <c r="R821" i="1"/>
  <c r="R829" i="1"/>
  <c r="R837" i="1"/>
  <c r="R845" i="1"/>
  <c r="R853" i="1"/>
  <c r="R861" i="1"/>
  <c r="R869" i="1"/>
  <c r="R877" i="1"/>
  <c r="R885" i="1"/>
  <c r="R893" i="1"/>
  <c r="R901" i="1"/>
  <c r="R909" i="1"/>
  <c r="R917" i="1"/>
  <c r="R925" i="1"/>
  <c r="R933" i="1"/>
  <c r="R941" i="1"/>
  <c r="R949" i="1"/>
  <c r="R957" i="1"/>
  <c r="R965" i="1"/>
  <c r="R973" i="1"/>
  <c r="R981" i="1"/>
  <c r="R989" i="1"/>
  <c r="R997" i="1"/>
  <c r="R1005" i="1"/>
  <c r="R1013" i="1"/>
  <c r="R25" i="1"/>
  <c r="R89" i="1"/>
  <c r="R153" i="1"/>
  <c r="R177" i="1"/>
  <c r="R193" i="1"/>
  <c r="R209" i="1"/>
  <c r="R225" i="1"/>
  <c r="R241" i="1"/>
  <c r="R257" i="1"/>
  <c r="R273" i="1"/>
  <c r="R289" i="1"/>
  <c r="R303" i="1"/>
  <c r="R315" i="1"/>
  <c r="R329" i="1"/>
  <c r="R342" i="1"/>
  <c r="R354" i="1"/>
  <c r="R367" i="1"/>
  <c r="R379" i="1"/>
  <c r="R393" i="1"/>
  <c r="R406" i="1"/>
  <c r="R418" i="1"/>
  <c r="R431" i="1"/>
  <c r="R443" i="1"/>
  <c r="R457" i="1"/>
  <c r="R470" i="1"/>
  <c r="R482" i="1"/>
  <c r="R495" i="1"/>
  <c r="R507" i="1"/>
  <c r="R521" i="1"/>
  <c r="R534" i="1"/>
  <c r="R546" i="1"/>
  <c r="R559" i="1"/>
  <c r="R571" i="1"/>
  <c r="R585" i="1"/>
  <c r="R595" i="1"/>
  <c r="R607" i="1"/>
  <c r="R617" i="1"/>
  <c r="R627" i="1"/>
  <c r="R639" i="1"/>
  <c r="R649" i="1"/>
  <c r="R659" i="1"/>
  <c r="R668" i="1"/>
  <c r="R678" i="1"/>
  <c r="R686" i="1"/>
  <c r="R694" i="1"/>
  <c r="R702" i="1"/>
  <c r="R710" i="1"/>
  <c r="R718" i="1"/>
  <c r="R726" i="1"/>
  <c r="R734" i="1"/>
  <c r="R742" i="1"/>
  <c r="R750" i="1"/>
  <c r="R758" i="1"/>
  <c r="R766" i="1"/>
  <c r="R774" i="1"/>
  <c r="R782" i="1"/>
  <c r="R790" i="1"/>
  <c r="R798" i="1"/>
  <c r="R806" i="1"/>
  <c r="R814" i="1"/>
  <c r="R822" i="1"/>
  <c r="R830" i="1"/>
  <c r="R838" i="1"/>
  <c r="R846" i="1"/>
  <c r="R854" i="1"/>
  <c r="R862" i="1"/>
  <c r="R870" i="1"/>
  <c r="R878" i="1"/>
  <c r="R886" i="1"/>
  <c r="R894" i="1"/>
  <c r="R902" i="1"/>
  <c r="R910" i="1"/>
  <c r="R918" i="1"/>
  <c r="R926" i="1"/>
  <c r="R934" i="1"/>
  <c r="R942" i="1"/>
  <c r="R950" i="1"/>
  <c r="R958" i="1"/>
  <c r="R33" i="1"/>
  <c r="R97" i="1"/>
  <c r="R155" i="1"/>
  <c r="R179" i="1"/>
  <c r="R195" i="1"/>
  <c r="R211" i="1"/>
  <c r="R227" i="1"/>
  <c r="R243" i="1"/>
  <c r="R259" i="1"/>
  <c r="R275" i="1"/>
  <c r="R291" i="1"/>
  <c r="R305" i="1"/>
  <c r="R318" i="1"/>
  <c r="R330" i="1"/>
  <c r="R343" i="1"/>
  <c r="R355" i="1"/>
  <c r="R369" i="1"/>
  <c r="R382" i="1"/>
  <c r="R394" i="1"/>
  <c r="R407" i="1"/>
  <c r="R419" i="1"/>
  <c r="R433" i="1"/>
  <c r="R446" i="1"/>
  <c r="R458" i="1"/>
  <c r="R471" i="1"/>
  <c r="R483" i="1"/>
  <c r="R497" i="1"/>
  <c r="R510" i="1"/>
  <c r="R522" i="1"/>
  <c r="R535" i="1"/>
  <c r="R547" i="1"/>
  <c r="R561" i="1"/>
  <c r="R574" i="1"/>
  <c r="R586" i="1"/>
  <c r="R598" i="1"/>
  <c r="R608" i="1"/>
  <c r="R618" i="1"/>
  <c r="R630" i="1"/>
  <c r="R640" i="1"/>
  <c r="R650" i="1"/>
  <c r="R660" i="1"/>
  <c r="R670" i="1"/>
  <c r="R679" i="1"/>
  <c r="R687" i="1"/>
  <c r="R695" i="1"/>
  <c r="R703" i="1"/>
  <c r="R711" i="1"/>
  <c r="R719" i="1"/>
  <c r="R727" i="1"/>
  <c r="R735" i="1"/>
  <c r="R743" i="1"/>
  <c r="R751" i="1"/>
  <c r="R759" i="1"/>
  <c r="R767" i="1"/>
  <c r="R775" i="1"/>
  <c r="R783" i="1"/>
  <c r="R791" i="1"/>
  <c r="R799" i="1"/>
  <c r="R807" i="1"/>
  <c r="R815" i="1"/>
  <c r="R823" i="1"/>
  <c r="R831" i="1"/>
  <c r="R839" i="1"/>
  <c r="R847" i="1"/>
  <c r="R855" i="1"/>
  <c r="R863" i="1"/>
  <c r="R871" i="1"/>
  <c r="R879" i="1"/>
  <c r="R887" i="1"/>
  <c r="R895" i="1"/>
  <c r="R903" i="1"/>
  <c r="R911" i="1"/>
  <c r="R41" i="1"/>
  <c r="R105" i="1"/>
  <c r="R161" i="1"/>
  <c r="R182" i="1"/>
  <c r="R49" i="1"/>
  <c r="R113" i="1"/>
  <c r="R163" i="1"/>
  <c r="R183" i="1"/>
  <c r="R57" i="1"/>
  <c r="R121" i="1"/>
  <c r="R166" i="1"/>
  <c r="R65" i="1"/>
  <c r="R190" i="1"/>
  <c r="R217" i="1"/>
  <c r="R246" i="1"/>
  <c r="R267" i="1"/>
  <c r="R295" i="1"/>
  <c r="R313" i="1"/>
  <c r="R335" i="1"/>
  <c r="R358" i="1"/>
  <c r="R375" i="1"/>
  <c r="R398" i="1"/>
  <c r="R415" i="1"/>
  <c r="R438" i="1"/>
  <c r="R459" i="1"/>
  <c r="R478" i="1"/>
  <c r="R499" i="1"/>
  <c r="R518" i="1"/>
  <c r="R539" i="1"/>
  <c r="R562" i="1"/>
  <c r="R579" i="1"/>
  <c r="R600" i="1"/>
  <c r="R615" i="1"/>
  <c r="R633" i="1"/>
  <c r="R651" i="1"/>
  <c r="R665" i="1"/>
  <c r="R681" i="1"/>
  <c r="R692" i="1"/>
  <c r="R706" i="1"/>
  <c r="R720" i="1"/>
  <c r="R731" i="1"/>
  <c r="R745" i="1"/>
  <c r="R756" i="1"/>
  <c r="R770" i="1"/>
  <c r="R784" i="1"/>
  <c r="R795" i="1"/>
  <c r="R809" i="1"/>
  <c r="R820" i="1"/>
  <c r="R834" i="1"/>
  <c r="R848" i="1"/>
  <c r="R859" i="1"/>
  <c r="R873" i="1"/>
  <c r="R884" i="1"/>
  <c r="R898" i="1"/>
  <c r="R912" i="1"/>
  <c r="R922" i="1"/>
  <c r="R932" i="1"/>
  <c r="R944" i="1"/>
  <c r="R954" i="1"/>
  <c r="R964" i="1"/>
  <c r="R974" i="1"/>
  <c r="R983" i="1"/>
  <c r="R992" i="1"/>
  <c r="R1001" i="1"/>
  <c r="R1010" i="1"/>
  <c r="R1019" i="1"/>
  <c r="R1027" i="1"/>
  <c r="R1035" i="1"/>
  <c r="R1043" i="1"/>
  <c r="R1051" i="1"/>
  <c r="R1059" i="1"/>
  <c r="R1067" i="1"/>
  <c r="R1075" i="1"/>
  <c r="R1083" i="1"/>
  <c r="R1091" i="1"/>
  <c r="R1099" i="1"/>
  <c r="R1107" i="1"/>
  <c r="R1115" i="1"/>
  <c r="R1123" i="1"/>
  <c r="R1131" i="1"/>
  <c r="R1139" i="1"/>
  <c r="R1147" i="1"/>
  <c r="R1155" i="1"/>
  <c r="R1163" i="1"/>
  <c r="R1171" i="1"/>
  <c r="R1179" i="1"/>
  <c r="R1187" i="1"/>
  <c r="R1195" i="1"/>
  <c r="R1203" i="1"/>
  <c r="R1211" i="1"/>
  <c r="R1219" i="1"/>
  <c r="R1227" i="1"/>
  <c r="R1235" i="1"/>
  <c r="R1243" i="1"/>
  <c r="R1251" i="1"/>
  <c r="R1259" i="1"/>
  <c r="R1267" i="1"/>
  <c r="R73" i="1"/>
  <c r="R198" i="1"/>
  <c r="R219" i="1"/>
  <c r="R247" i="1"/>
  <c r="R270" i="1"/>
  <c r="R297" i="1"/>
  <c r="R319" i="1"/>
  <c r="R337" i="1"/>
  <c r="R359" i="1"/>
  <c r="R377" i="1"/>
  <c r="R399" i="1"/>
  <c r="R422" i="1"/>
  <c r="R439" i="1"/>
  <c r="R462" i="1"/>
  <c r="R479" i="1"/>
  <c r="R502" i="1"/>
  <c r="R523" i="1"/>
  <c r="R542" i="1"/>
  <c r="R563" i="1"/>
  <c r="R582" i="1"/>
  <c r="R601" i="1"/>
  <c r="R619" i="1"/>
  <c r="R634" i="1"/>
  <c r="R654" i="1"/>
  <c r="R666" i="1"/>
  <c r="R682" i="1"/>
  <c r="R696" i="1"/>
  <c r="R707" i="1"/>
  <c r="R721" i="1"/>
  <c r="R732" i="1"/>
  <c r="R746" i="1"/>
  <c r="R760" i="1"/>
  <c r="R771" i="1"/>
  <c r="R785" i="1"/>
  <c r="R796" i="1"/>
  <c r="R810" i="1"/>
  <c r="R824" i="1"/>
  <c r="R835" i="1"/>
  <c r="R849" i="1"/>
  <c r="R860" i="1"/>
  <c r="R874" i="1"/>
  <c r="R888" i="1"/>
  <c r="R899" i="1"/>
  <c r="R913" i="1"/>
  <c r="R923" i="1"/>
  <c r="R935" i="1"/>
  <c r="R945" i="1"/>
  <c r="R955" i="1"/>
  <c r="R966" i="1"/>
  <c r="R975" i="1"/>
  <c r="R984" i="1"/>
  <c r="R993" i="1"/>
  <c r="R1002" i="1"/>
  <c r="R1011" i="1"/>
  <c r="R1020" i="1"/>
  <c r="R1028" i="1"/>
  <c r="R1036" i="1"/>
  <c r="R1044" i="1"/>
  <c r="R1052" i="1"/>
  <c r="R1060" i="1"/>
  <c r="R1068" i="1"/>
  <c r="R1076" i="1"/>
  <c r="R1084" i="1"/>
  <c r="R1092" i="1"/>
  <c r="R1100" i="1"/>
  <c r="R1108" i="1"/>
  <c r="R1116" i="1"/>
  <c r="R1124" i="1"/>
  <c r="R1132" i="1"/>
  <c r="R1140" i="1"/>
  <c r="R1148" i="1"/>
  <c r="R1156" i="1"/>
  <c r="R1164" i="1"/>
  <c r="R1172" i="1"/>
  <c r="R1180" i="1"/>
  <c r="R1188" i="1"/>
  <c r="R1196" i="1"/>
  <c r="R1204" i="1"/>
  <c r="R1212" i="1"/>
  <c r="R1220" i="1"/>
  <c r="R1228" i="1"/>
  <c r="R1236" i="1"/>
  <c r="R1244" i="1"/>
  <c r="R1252" i="1"/>
  <c r="R1260" i="1"/>
  <c r="R129" i="1"/>
  <c r="R199" i="1"/>
  <c r="R222" i="1"/>
  <c r="R249" i="1"/>
  <c r="R278" i="1"/>
  <c r="R298" i="1"/>
  <c r="R321" i="1"/>
  <c r="R338" i="1"/>
  <c r="R361" i="1"/>
  <c r="R383" i="1"/>
  <c r="R401" i="1"/>
  <c r="R423" i="1"/>
  <c r="R441" i="1"/>
  <c r="R463" i="1"/>
  <c r="R486" i="1"/>
  <c r="R503" i="1"/>
  <c r="R526" i="1"/>
  <c r="R543" i="1"/>
  <c r="R566" i="1"/>
  <c r="R587" i="1"/>
  <c r="R602" i="1"/>
  <c r="R622" i="1"/>
  <c r="R635" i="1"/>
  <c r="R655" i="1"/>
  <c r="R671" i="1"/>
  <c r="R683" i="1"/>
  <c r="R697" i="1"/>
  <c r="R708" i="1"/>
  <c r="R722" i="1"/>
  <c r="R736" i="1"/>
  <c r="R747" i="1"/>
  <c r="R761" i="1"/>
  <c r="R772" i="1"/>
  <c r="R786" i="1"/>
  <c r="R800" i="1"/>
  <c r="R811" i="1"/>
  <c r="R825" i="1"/>
  <c r="R836" i="1"/>
  <c r="R850" i="1"/>
  <c r="R864" i="1"/>
  <c r="R875" i="1"/>
  <c r="R889" i="1"/>
  <c r="R900" i="1"/>
  <c r="R914" i="1"/>
  <c r="R924" i="1"/>
  <c r="R936" i="1"/>
  <c r="R946" i="1"/>
  <c r="R956" i="1"/>
  <c r="R967" i="1"/>
  <c r="R976" i="1"/>
  <c r="R985" i="1"/>
  <c r="R994" i="1"/>
  <c r="R1003" i="1"/>
  <c r="R1012" i="1"/>
  <c r="R1021" i="1"/>
  <c r="R1029" i="1"/>
  <c r="R1037" i="1"/>
  <c r="R1045" i="1"/>
  <c r="R1053" i="1"/>
  <c r="R1061" i="1"/>
  <c r="R1069" i="1"/>
  <c r="R1077" i="1"/>
  <c r="R1085" i="1"/>
  <c r="R1093" i="1"/>
  <c r="R1101" i="1"/>
  <c r="R1109" i="1"/>
  <c r="R1117" i="1"/>
  <c r="R1125" i="1"/>
  <c r="R1133" i="1"/>
  <c r="R1141" i="1"/>
  <c r="R1149" i="1"/>
  <c r="R1157" i="1"/>
  <c r="R1165" i="1"/>
  <c r="R1173" i="1"/>
  <c r="R1181" i="1"/>
  <c r="R1189" i="1"/>
  <c r="R1197" i="1"/>
  <c r="R1205" i="1"/>
  <c r="R1213" i="1"/>
  <c r="R1221" i="1"/>
  <c r="R1229" i="1"/>
  <c r="R1237" i="1"/>
  <c r="R1245" i="1"/>
  <c r="R1253" i="1"/>
  <c r="R1261" i="1"/>
  <c r="R1269" i="1"/>
  <c r="R137" i="1"/>
  <c r="R201" i="1"/>
  <c r="R230" i="1"/>
  <c r="R251" i="1"/>
  <c r="R279" i="1"/>
  <c r="R299" i="1"/>
  <c r="R322" i="1"/>
  <c r="R169" i="1"/>
  <c r="R203" i="1"/>
  <c r="R231" i="1"/>
  <c r="R254" i="1"/>
  <c r="R281" i="1"/>
  <c r="R306" i="1"/>
  <c r="R323" i="1"/>
  <c r="R171" i="1"/>
  <c r="R206" i="1"/>
  <c r="R233" i="1"/>
  <c r="R262" i="1"/>
  <c r="R283" i="1"/>
  <c r="R307" i="1"/>
  <c r="R326" i="1"/>
  <c r="R185" i="1"/>
  <c r="R214" i="1"/>
  <c r="R235" i="1"/>
  <c r="R263" i="1"/>
  <c r="R286" i="1"/>
  <c r="R310" i="1"/>
  <c r="R331" i="1"/>
  <c r="R187" i="1"/>
  <c r="R215" i="1"/>
  <c r="R238" i="1"/>
  <c r="R265" i="1"/>
  <c r="R294" i="1"/>
  <c r="R311" i="1"/>
  <c r="R334" i="1"/>
  <c r="R351" i="1"/>
  <c r="R374" i="1"/>
  <c r="R395" i="1"/>
  <c r="R414" i="1"/>
  <c r="R435" i="1"/>
  <c r="R454" i="1"/>
  <c r="R475" i="1"/>
  <c r="R498" i="1"/>
  <c r="R515" i="1"/>
  <c r="R538" i="1"/>
  <c r="R555" i="1"/>
  <c r="R578" i="1"/>
  <c r="R599" i="1"/>
  <c r="R614" i="1"/>
  <c r="R632" i="1"/>
  <c r="R647" i="1"/>
  <c r="R664" i="1"/>
  <c r="R680" i="1"/>
  <c r="R691" i="1"/>
  <c r="R705" i="1"/>
  <c r="R716" i="1"/>
  <c r="R730" i="1"/>
  <c r="R744" i="1"/>
  <c r="R755" i="1"/>
  <c r="R769" i="1"/>
  <c r="R780" i="1"/>
  <c r="R794" i="1"/>
  <c r="R808" i="1"/>
  <c r="R819" i="1"/>
  <c r="R833" i="1"/>
  <c r="R844" i="1"/>
  <c r="R858" i="1"/>
  <c r="R872" i="1"/>
  <c r="R345" i="1"/>
  <c r="R385" i="1"/>
  <c r="R425" i="1"/>
  <c r="R465" i="1"/>
  <c r="R505" i="1"/>
  <c r="R550" i="1"/>
  <c r="R590" i="1"/>
  <c r="R623" i="1"/>
  <c r="R656" i="1"/>
  <c r="R684" i="1"/>
  <c r="R712" i="1"/>
  <c r="R737" i="1"/>
  <c r="R762" i="1"/>
  <c r="R787" i="1"/>
  <c r="R812" i="1"/>
  <c r="R840" i="1"/>
  <c r="R865" i="1"/>
  <c r="R883" i="1"/>
  <c r="R906" i="1"/>
  <c r="R927" i="1"/>
  <c r="R940" i="1"/>
  <c r="R960" i="1"/>
  <c r="R972" i="1"/>
  <c r="R988" i="1"/>
  <c r="R1004" i="1"/>
  <c r="R1017" i="1"/>
  <c r="R1031" i="1"/>
  <c r="R1042" i="1"/>
  <c r="R1056" i="1"/>
  <c r="R1070" i="1"/>
  <c r="R1081" i="1"/>
  <c r="R1095" i="1"/>
  <c r="R1106" i="1"/>
  <c r="R1120" i="1"/>
  <c r="R1134" i="1"/>
  <c r="R1145" i="1"/>
  <c r="R1159" i="1"/>
  <c r="R1170" i="1"/>
  <c r="R1184" i="1"/>
  <c r="R1198" i="1"/>
  <c r="R1209" i="1"/>
  <c r="R1223" i="1"/>
  <c r="R1234" i="1"/>
  <c r="R1248" i="1"/>
  <c r="R1262" i="1"/>
  <c r="R1272" i="1"/>
  <c r="R1280" i="1"/>
  <c r="R1288" i="1"/>
  <c r="R1296" i="1"/>
  <c r="R1304" i="1"/>
  <c r="R1312" i="1"/>
  <c r="R1320" i="1"/>
  <c r="R1328" i="1"/>
  <c r="R1336" i="1"/>
  <c r="R1344" i="1"/>
  <c r="R1352" i="1"/>
  <c r="R1360" i="1"/>
  <c r="R1368" i="1"/>
  <c r="R1376" i="1"/>
  <c r="R1384" i="1"/>
  <c r="R1392" i="1"/>
  <c r="R1400" i="1"/>
  <c r="R1408" i="1"/>
  <c r="R1416" i="1"/>
  <c r="R1424" i="1"/>
  <c r="R1432" i="1"/>
  <c r="R1440" i="1"/>
  <c r="R1448" i="1"/>
  <c r="R1456" i="1"/>
  <c r="R1464" i="1"/>
  <c r="R1472" i="1"/>
  <c r="R1480" i="1"/>
  <c r="R1488" i="1"/>
  <c r="R1496" i="1"/>
  <c r="R1504" i="1"/>
  <c r="R1512" i="1"/>
  <c r="R1520" i="1"/>
  <c r="R1528" i="1"/>
  <c r="R1536" i="1"/>
  <c r="R1544" i="1"/>
  <c r="R1552" i="1"/>
  <c r="R1560" i="1"/>
  <c r="R1568" i="1"/>
  <c r="R1576" i="1"/>
  <c r="R1584" i="1"/>
  <c r="R1592" i="1"/>
  <c r="R1600" i="1"/>
  <c r="R1608" i="1"/>
  <c r="R1616" i="1"/>
  <c r="R1624" i="1"/>
  <c r="R1632" i="1"/>
  <c r="R1640" i="1"/>
  <c r="R1648" i="1"/>
  <c r="R1656" i="1"/>
  <c r="R1664" i="1"/>
  <c r="R1672" i="1"/>
  <c r="R1680" i="1"/>
  <c r="R1688" i="1"/>
  <c r="R1696" i="1"/>
  <c r="R1704" i="1"/>
  <c r="R1712" i="1"/>
  <c r="R1720" i="1"/>
  <c r="R1728" i="1"/>
  <c r="R1736" i="1"/>
  <c r="R1744" i="1"/>
  <c r="R1752" i="1"/>
  <c r="R1073" i="1"/>
  <c r="R1162" i="1"/>
  <c r="R1240" i="1"/>
  <c r="R346" i="1"/>
  <c r="R386" i="1"/>
  <c r="R426" i="1"/>
  <c r="R466" i="1"/>
  <c r="R511" i="1"/>
  <c r="R551" i="1"/>
  <c r="R591" i="1"/>
  <c r="R624" i="1"/>
  <c r="R657" i="1"/>
  <c r="R688" i="1"/>
  <c r="R713" i="1"/>
  <c r="R738" i="1"/>
  <c r="R763" i="1"/>
  <c r="R788" i="1"/>
  <c r="R816" i="1"/>
  <c r="R841" i="1"/>
  <c r="R866" i="1"/>
  <c r="R890" i="1"/>
  <c r="R907" i="1"/>
  <c r="R928" i="1"/>
  <c r="R943" i="1"/>
  <c r="R961" i="1"/>
  <c r="R977" i="1"/>
  <c r="R990" i="1"/>
  <c r="R1006" i="1"/>
  <c r="R1018" i="1"/>
  <c r="R1032" i="1"/>
  <c r="R1046" i="1"/>
  <c r="R1057" i="1"/>
  <c r="R1071" i="1"/>
  <c r="R1082" i="1"/>
  <c r="R1096" i="1"/>
  <c r="R1110" i="1"/>
  <c r="R1121" i="1"/>
  <c r="R1135" i="1"/>
  <c r="R1146" i="1"/>
  <c r="R1160" i="1"/>
  <c r="R1174" i="1"/>
  <c r="R1185" i="1"/>
  <c r="R1199" i="1"/>
  <c r="R1210" i="1"/>
  <c r="R1224" i="1"/>
  <c r="R1238" i="1"/>
  <c r="R1249" i="1"/>
  <c r="R1263" i="1"/>
  <c r="R1273" i="1"/>
  <c r="R1281" i="1"/>
  <c r="R1289" i="1"/>
  <c r="R1297" i="1"/>
  <c r="R1305" i="1"/>
  <c r="R1313" i="1"/>
  <c r="R1321" i="1"/>
  <c r="R1329" i="1"/>
  <c r="R1337" i="1"/>
  <c r="R1345" i="1"/>
  <c r="R1353" i="1"/>
  <c r="R1361" i="1"/>
  <c r="R1369" i="1"/>
  <c r="R1377" i="1"/>
  <c r="R1385" i="1"/>
  <c r="R1393" i="1"/>
  <c r="R1401" i="1"/>
  <c r="R1409" i="1"/>
  <c r="R1417" i="1"/>
  <c r="R1425" i="1"/>
  <c r="R1433" i="1"/>
  <c r="R1441" i="1"/>
  <c r="R1449" i="1"/>
  <c r="R1457" i="1"/>
  <c r="R1465" i="1"/>
  <c r="R1473" i="1"/>
  <c r="R1481" i="1"/>
  <c r="R1489" i="1"/>
  <c r="R1497" i="1"/>
  <c r="R1505" i="1"/>
  <c r="R1513" i="1"/>
  <c r="R1521" i="1"/>
  <c r="R1529" i="1"/>
  <c r="R1537" i="1"/>
  <c r="R1545" i="1"/>
  <c r="R1553" i="1"/>
  <c r="R1561" i="1"/>
  <c r="R1569" i="1"/>
  <c r="R1577" i="1"/>
  <c r="R1585" i="1"/>
  <c r="R1593" i="1"/>
  <c r="R1601" i="1"/>
  <c r="R1609" i="1"/>
  <c r="R1617" i="1"/>
  <c r="R1625" i="1"/>
  <c r="R1633" i="1"/>
  <c r="R1641" i="1"/>
  <c r="R1649" i="1"/>
  <c r="R1657" i="1"/>
  <c r="R1665" i="1"/>
  <c r="R1673" i="1"/>
  <c r="R1681" i="1"/>
  <c r="R1689" i="1"/>
  <c r="R1697" i="1"/>
  <c r="R1705" i="1"/>
  <c r="R1713" i="1"/>
  <c r="R1721" i="1"/>
  <c r="R1729" i="1"/>
  <c r="R1737" i="1"/>
  <c r="R1745" i="1"/>
  <c r="R1753" i="1"/>
  <c r="R1062" i="1"/>
  <c r="R1151" i="1"/>
  <c r="R1201" i="1"/>
  <c r="R1254" i="1"/>
  <c r="R1283" i="1"/>
  <c r="R1307" i="1"/>
  <c r="R1323" i="1"/>
  <c r="R1355" i="1"/>
  <c r="R1371" i="1"/>
  <c r="R1403" i="1"/>
  <c r="R1419" i="1"/>
  <c r="R1427" i="1"/>
  <c r="R1451" i="1"/>
  <c r="R1459" i="1"/>
  <c r="R347" i="1"/>
  <c r="R387" i="1"/>
  <c r="R427" i="1"/>
  <c r="R473" i="1"/>
  <c r="R513" i="1"/>
  <c r="R553" i="1"/>
  <c r="R592" i="1"/>
  <c r="R625" i="1"/>
  <c r="R662" i="1"/>
  <c r="R689" i="1"/>
  <c r="R714" i="1"/>
  <c r="R739" i="1"/>
  <c r="R764" i="1"/>
  <c r="R792" i="1"/>
  <c r="R817" i="1"/>
  <c r="R842" i="1"/>
  <c r="R867" i="1"/>
  <c r="R891" i="1"/>
  <c r="R908" i="1"/>
  <c r="R929" i="1"/>
  <c r="R947" i="1"/>
  <c r="R962" i="1"/>
  <c r="R978" i="1"/>
  <c r="R991" i="1"/>
  <c r="R1007" i="1"/>
  <c r="R1022" i="1"/>
  <c r="R1033" i="1"/>
  <c r="R1047" i="1"/>
  <c r="R1058" i="1"/>
  <c r="R1072" i="1"/>
  <c r="R1086" i="1"/>
  <c r="R1097" i="1"/>
  <c r="R1111" i="1"/>
  <c r="R1122" i="1"/>
  <c r="R1136" i="1"/>
  <c r="R1150" i="1"/>
  <c r="R1161" i="1"/>
  <c r="R1175" i="1"/>
  <c r="R1186" i="1"/>
  <c r="R1200" i="1"/>
  <c r="R1214" i="1"/>
  <c r="R1225" i="1"/>
  <c r="R1239" i="1"/>
  <c r="R1250" i="1"/>
  <c r="R1264" i="1"/>
  <c r="R1274" i="1"/>
  <c r="R1282" i="1"/>
  <c r="R1290" i="1"/>
  <c r="R1298" i="1"/>
  <c r="R1306" i="1"/>
  <c r="R1314" i="1"/>
  <c r="R1322" i="1"/>
  <c r="R1330" i="1"/>
  <c r="R1338" i="1"/>
  <c r="R1346" i="1"/>
  <c r="R1354" i="1"/>
  <c r="R1362" i="1"/>
  <c r="R1370" i="1"/>
  <c r="R1378" i="1"/>
  <c r="R1386" i="1"/>
  <c r="R1394" i="1"/>
  <c r="R1402" i="1"/>
  <c r="R1410" i="1"/>
  <c r="R1418" i="1"/>
  <c r="R1426" i="1"/>
  <c r="R1434" i="1"/>
  <c r="R1442" i="1"/>
  <c r="R1450" i="1"/>
  <c r="R1458" i="1"/>
  <c r="R1466" i="1"/>
  <c r="R1474" i="1"/>
  <c r="R1482" i="1"/>
  <c r="R1490" i="1"/>
  <c r="R1498" i="1"/>
  <c r="R1506" i="1"/>
  <c r="R1514" i="1"/>
  <c r="R1522" i="1"/>
  <c r="R1530" i="1"/>
  <c r="R1538" i="1"/>
  <c r="R1546" i="1"/>
  <c r="R1554" i="1"/>
  <c r="R1562" i="1"/>
  <c r="R1570" i="1"/>
  <c r="R1578" i="1"/>
  <c r="R1586" i="1"/>
  <c r="R1594" i="1"/>
  <c r="R1602" i="1"/>
  <c r="R1610" i="1"/>
  <c r="R1618" i="1"/>
  <c r="R1626" i="1"/>
  <c r="R1634" i="1"/>
  <c r="R1642" i="1"/>
  <c r="R1650" i="1"/>
  <c r="R1658" i="1"/>
  <c r="R1666" i="1"/>
  <c r="R1674" i="1"/>
  <c r="R1682" i="1"/>
  <c r="R1690" i="1"/>
  <c r="R1698" i="1"/>
  <c r="R1706" i="1"/>
  <c r="R1714" i="1"/>
  <c r="R1722" i="1"/>
  <c r="R1730" i="1"/>
  <c r="R1738" i="1"/>
  <c r="R1746" i="1"/>
  <c r="R1754" i="1"/>
  <c r="R1048" i="1"/>
  <c r="R1126" i="1"/>
  <c r="R1190" i="1"/>
  <c r="R1265" i="1"/>
  <c r="R1291" i="1"/>
  <c r="R1315" i="1"/>
  <c r="R1331" i="1"/>
  <c r="R1347" i="1"/>
  <c r="R1363" i="1"/>
  <c r="R1379" i="1"/>
  <c r="R1411" i="1"/>
  <c r="R1443" i="1"/>
  <c r="R350" i="1"/>
  <c r="R390" i="1"/>
  <c r="R434" i="1"/>
  <c r="R474" i="1"/>
  <c r="R514" i="1"/>
  <c r="R554" i="1"/>
  <c r="R593" i="1"/>
  <c r="R631" i="1"/>
  <c r="R663" i="1"/>
  <c r="R690" i="1"/>
  <c r="R715" i="1"/>
  <c r="R740" i="1"/>
  <c r="R768" i="1"/>
  <c r="R793" i="1"/>
  <c r="R818" i="1"/>
  <c r="R843" i="1"/>
  <c r="R868" i="1"/>
  <c r="R892" i="1"/>
  <c r="R915" i="1"/>
  <c r="R930" i="1"/>
  <c r="R948" i="1"/>
  <c r="R963" i="1"/>
  <c r="R979" i="1"/>
  <c r="R995" i="1"/>
  <c r="R1008" i="1"/>
  <c r="R1023" i="1"/>
  <c r="R1034" i="1"/>
  <c r="R1087" i="1"/>
  <c r="R1098" i="1"/>
  <c r="R1112" i="1"/>
  <c r="R1137" i="1"/>
  <c r="R1176" i="1"/>
  <c r="R1215" i="1"/>
  <c r="R1226" i="1"/>
  <c r="R1275" i="1"/>
  <c r="R1299" i="1"/>
  <c r="R1339" i="1"/>
  <c r="R1395" i="1"/>
  <c r="R1435" i="1"/>
  <c r="R362" i="1"/>
  <c r="R402" i="1"/>
  <c r="R447" i="1"/>
  <c r="R487" i="1"/>
  <c r="R527" i="1"/>
  <c r="R567" i="1"/>
  <c r="R603" i="1"/>
  <c r="R641" i="1"/>
  <c r="R672" i="1"/>
  <c r="R698" i="1"/>
  <c r="R723" i="1"/>
  <c r="R748" i="1"/>
  <c r="R776" i="1"/>
  <c r="R801" i="1"/>
  <c r="R826" i="1"/>
  <c r="R851" i="1"/>
  <c r="R876" i="1"/>
  <c r="R896" i="1"/>
  <c r="R916" i="1"/>
  <c r="R931" i="1"/>
  <c r="R951" i="1"/>
  <c r="R968" i="1"/>
  <c r="R980" i="1"/>
  <c r="R996" i="1"/>
  <c r="R1009" i="1"/>
  <c r="R1024" i="1"/>
  <c r="R1038" i="1"/>
  <c r="R1049" i="1"/>
  <c r="R1063" i="1"/>
  <c r="R1074" i="1"/>
  <c r="R1088" i="1"/>
  <c r="R1102" i="1"/>
  <c r="R1113" i="1"/>
  <c r="R1127" i="1"/>
  <c r="R1138" i="1"/>
  <c r="R1152" i="1"/>
  <c r="R1166" i="1"/>
  <c r="R1177" i="1"/>
  <c r="R1191" i="1"/>
  <c r="R1202" i="1"/>
  <c r="R1216" i="1"/>
  <c r="R1230" i="1"/>
  <c r="R1241" i="1"/>
  <c r="R1255" i="1"/>
  <c r="R1266" i="1"/>
  <c r="R1276" i="1"/>
  <c r="R1284" i="1"/>
  <c r="R1292" i="1"/>
  <c r="R1300" i="1"/>
  <c r="R1308" i="1"/>
  <c r="R363" i="1"/>
  <c r="R409" i="1"/>
  <c r="R449" i="1"/>
  <c r="R489" i="1"/>
  <c r="R529" i="1"/>
  <c r="R569" i="1"/>
  <c r="R609" i="1"/>
  <c r="R642" i="1"/>
  <c r="R673" i="1"/>
  <c r="R699" i="1"/>
  <c r="R724" i="1"/>
  <c r="R752" i="1"/>
  <c r="R777" i="1"/>
  <c r="R802" i="1"/>
  <c r="R827" i="1"/>
  <c r="R852" i="1"/>
  <c r="R880" i="1"/>
  <c r="R897" i="1"/>
  <c r="R919" i="1"/>
  <c r="R937" i="1"/>
  <c r="R952" i="1"/>
  <c r="R969" i="1"/>
  <c r="R982" i="1"/>
  <c r="R998" i="1"/>
  <c r="R1014" i="1"/>
  <c r="R1025" i="1"/>
  <c r="R1039" i="1"/>
  <c r="R1050" i="1"/>
  <c r="R1064" i="1"/>
  <c r="R1078" i="1"/>
  <c r="R1089" i="1"/>
  <c r="R1103" i="1"/>
  <c r="R1114" i="1"/>
  <c r="R1128" i="1"/>
  <c r="R1142" i="1"/>
  <c r="R1153" i="1"/>
  <c r="R1167" i="1"/>
  <c r="R1178" i="1"/>
  <c r="R1192" i="1"/>
  <c r="R1206" i="1"/>
  <c r="R1217" i="1"/>
  <c r="R1231" i="1"/>
  <c r="R1242" i="1"/>
  <c r="R1256" i="1"/>
  <c r="R1268" i="1"/>
  <c r="R1277" i="1"/>
  <c r="R1285" i="1"/>
  <c r="R1293" i="1"/>
  <c r="R1301" i="1"/>
  <c r="R1309" i="1"/>
  <c r="R370" i="1"/>
  <c r="R410" i="1"/>
  <c r="R450" i="1"/>
  <c r="R490" i="1"/>
  <c r="R530" i="1"/>
  <c r="R575" i="1"/>
  <c r="R610" i="1"/>
  <c r="R643" i="1"/>
  <c r="R674" i="1"/>
  <c r="R700" i="1"/>
  <c r="R728" i="1"/>
  <c r="R753" i="1"/>
  <c r="R778" i="1"/>
  <c r="R803" i="1"/>
  <c r="R828" i="1"/>
  <c r="R856" i="1"/>
  <c r="R881" i="1"/>
  <c r="R904" i="1"/>
  <c r="R920" i="1"/>
  <c r="R938" i="1"/>
  <c r="R953" i="1"/>
  <c r="R970" i="1"/>
  <c r="R986" i="1"/>
  <c r="R999" i="1"/>
  <c r="R1015" i="1"/>
  <c r="R1026" i="1"/>
  <c r="R1040" i="1"/>
  <c r="R1054" i="1"/>
  <c r="R1065" i="1"/>
  <c r="R1079" i="1"/>
  <c r="R1090" i="1"/>
  <c r="R1104" i="1"/>
  <c r="R1118" i="1"/>
  <c r="R1129" i="1"/>
  <c r="R1143" i="1"/>
  <c r="R1154" i="1"/>
  <c r="R1168" i="1"/>
  <c r="R1182" i="1"/>
  <c r="R1193" i="1"/>
  <c r="R1207" i="1"/>
  <c r="R1218" i="1"/>
  <c r="R1232" i="1"/>
  <c r="R1246" i="1"/>
  <c r="R1257" i="1"/>
  <c r="R1270" i="1"/>
  <c r="R1278" i="1"/>
  <c r="R1286" i="1"/>
  <c r="R1294" i="1"/>
  <c r="R1302" i="1"/>
  <c r="R371" i="1"/>
  <c r="R411" i="1"/>
  <c r="R451" i="1"/>
  <c r="R491" i="1"/>
  <c r="R537" i="1"/>
  <c r="R577" i="1"/>
  <c r="R611" i="1"/>
  <c r="R646" i="1"/>
  <c r="R675" i="1"/>
  <c r="R704" i="1"/>
  <c r="R729" i="1"/>
  <c r="R754" i="1"/>
  <c r="R779" i="1"/>
  <c r="R804" i="1"/>
  <c r="R832" i="1"/>
  <c r="R857" i="1"/>
  <c r="R882" i="1"/>
  <c r="R905" i="1"/>
  <c r="R921" i="1"/>
  <c r="R939" i="1"/>
  <c r="R959" i="1"/>
  <c r="R971" i="1"/>
  <c r="R987" i="1"/>
  <c r="R1000" i="1"/>
  <c r="R1016" i="1"/>
  <c r="R1030" i="1"/>
  <c r="R1041" i="1"/>
  <c r="R1055" i="1"/>
  <c r="R1066" i="1"/>
  <c r="R1080" i="1"/>
  <c r="R1094" i="1"/>
  <c r="R1105" i="1"/>
  <c r="R1119" i="1"/>
  <c r="R1130" i="1"/>
  <c r="R1144" i="1"/>
  <c r="R1158" i="1"/>
  <c r="R1169" i="1"/>
  <c r="R1183" i="1"/>
  <c r="R1194" i="1"/>
  <c r="R1208" i="1"/>
  <c r="R1222" i="1"/>
  <c r="R1233" i="1"/>
  <c r="R1247" i="1"/>
  <c r="R1258" i="1"/>
  <c r="R1271" i="1"/>
  <c r="R1279" i="1"/>
  <c r="R1287" i="1"/>
  <c r="R1295" i="1"/>
  <c r="R1303" i="1"/>
  <c r="R1311" i="1"/>
  <c r="R1319" i="1"/>
  <c r="R1327" i="1"/>
  <c r="R1335" i="1"/>
  <c r="R1343" i="1"/>
  <c r="R1351" i="1"/>
  <c r="R1359" i="1"/>
  <c r="R1367" i="1"/>
  <c r="R1375" i="1"/>
  <c r="R1383" i="1"/>
  <c r="R1391" i="1"/>
  <c r="R1399" i="1"/>
  <c r="R1407" i="1"/>
  <c r="R1415" i="1"/>
  <c r="R1423" i="1"/>
  <c r="R1431" i="1"/>
  <c r="R1439" i="1"/>
  <c r="R1447" i="1"/>
  <c r="R1455" i="1"/>
  <c r="R1463" i="1"/>
  <c r="R1471" i="1"/>
  <c r="R1479" i="1"/>
  <c r="R1487" i="1"/>
  <c r="R1495" i="1"/>
  <c r="R1503" i="1"/>
  <c r="R1511" i="1"/>
  <c r="R1519" i="1"/>
  <c r="R1527" i="1"/>
  <c r="R1535" i="1"/>
  <c r="R1543" i="1"/>
  <c r="R1551" i="1"/>
  <c r="R1559" i="1"/>
  <c r="R1567" i="1"/>
  <c r="R1575" i="1"/>
  <c r="R1583" i="1"/>
  <c r="R1591" i="1"/>
  <c r="R1719" i="1"/>
  <c r="R1694" i="1"/>
  <c r="R2" i="1"/>
  <c r="R1756" i="1"/>
  <c r="R1742" i="1"/>
  <c r="R1731" i="1"/>
  <c r="R1717" i="1"/>
  <c r="R1703" i="1"/>
  <c r="R1692" i="1"/>
  <c r="R1678" i="1"/>
  <c r="R1667" i="1"/>
  <c r="R1653" i="1"/>
  <c r="R1639" i="1"/>
  <c r="R1628" i="1"/>
  <c r="R1614" i="1"/>
  <c r="R1603" i="1"/>
  <c r="R1588" i="1"/>
  <c r="R1572" i="1"/>
  <c r="R1556" i="1"/>
  <c r="R1540" i="1"/>
  <c r="R1524" i="1"/>
  <c r="R1508" i="1"/>
  <c r="R1492" i="1"/>
  <c r="R1476" i="1"/>
  <c r="R1460" i="1"/>
  <c r="R1437" i="1"/>
  <c r="R1414" i="1"/>
  <c r="R1396" i="1"/>
  <c r="R1374" i="1"/>
  <c r="R1356" i="1"/>
  <c r="R1333" i="1"/>
  <c r="R1310" i="1"/>
  <c r="R32" i="5" l="1"/>
  <c r="R4" i="5"/>
  <c r="R12" i="5"/>
  <c r="R9" i="5"/>
  <c r="R22" i="5"/>
  <c r="R25" i="5"/>
  <c r="R17" i="5"/>
  <c r="R37" i="5"/>
  <c r="R40" i="5"/>
</calcChain>
</file>

<file path=xl/sharedStrings.xml><?xml version="1.0" encoding="utf-8"?>
<sst xmlns="http://schemas.openxmlformats.org/spreadsheetml/2006/main" count="26632" uniqueCount="7448">
  <si>
    <t>#</t>
  </si>
  <si>
    <t>Valor Bruto</t>
  </si>
  <si>
    <t>Descuento</t>
  </si>
  <si>
    <t>Subtotal</t>
  </si>
  <si>
    <t>Impuesto</t>
  </si>
  <si>
    <t>ReteFuente</t>
  </si>
  <si>
    <t>Rete IVA</t>
  </si>
  <si>
    <t>Rete ICA</t>
  </si>
  <si>
    <t>Total Reteciones</t>
  </si>
  <si>
    <t>Total Documento</t>
  </si>
  <si>
    <t>Cod SN</t>
  </si>
  <si>
    <t>NIT</t>
  </si>
  <si>
    <t>Nombre de cliente/proveedor</t>
  </si>
  <si>
    <t>City</t>
  </si>
  <si>
    <t>Vendedor en doc</t>
  </si>
  <si>
    <t>Vendedor Actual</t>
  </si>
  <si>
    <t>Canal de Cliente</t>
  </si>
  <si>
    <t>90134981300</t>
  </si>
  <si>
    <t>901349813-9</t>
  </si>
  <si>
    <t>M SIERRA FERRETEROS S.A.S. "MONTEVIDEO"</t>
  </si>
  <si>
    <t>BOGOTA - BOGOTA</t>
  </si>
  <si>
    <t>GRANDES CUENTAS</t>
  </si>
  <si>
    <t>MAYORISTA INDUSTRIAL</t>
  </si>
  <si>
    <t>90058246400</t>
  </si>
  <si>
    <t>900582464-5</t>
  </si>
  <si>
    <t>CENTRO PINTUCOLOR S.A.S.</t>
  </si>
  <si>
    <t>BARRANCABERMEJA - SANTANDER</t>
  </si>
  <si>
    <t>EVELIO GARCIA - SANTANDER</t>
  </si>
  <si>
    <t>GRAN DISTRIBUIDOR</t>
  </si>
  <si>
    <t>89032442001</t>
  </si>
  <si>
    <t>890324420-0</t>
  </si>
  <si>
    <t>FERRETERIA TUBOLAMINAS S A-CALI</t>
  </si>
  <si>
    <t>CALI - VALLE DEL CAUCA</t>
  </si>
  <si>
    <t>JORGE CASTRO - VALLE DE CAUCA</t>
  </si>
  <si>
    <t>89130321200</t>
  </si>
  <si>
    <t>891303212-9</t>
  </si>
  <si>
    <t>FEDUSE S.A.S</t>
  </si>
  <si>
    <t>GUADALAJARA DE BUGA - VALLE DE</t>
  </si>
  <si>
    <t>80014765000</t>
  </si>
  <si>
    <t>800147650-1</t>
  </si>
  <si>
    <t>MATERIALES SU CONSTRUCCION S.A.</t>
  </si>
  <si>
    <t>MEDELLIN - ANTIOQUIA</t>
  </si>
  <si>
    <t>ANTIOQUIA</t>
  </si>
  <si>
    <t>89020795600</t>
  </si>
  <si>
    <t>890207956-5</t>
  </si>
  <si>
    <t>INDURRUEDAS S A S "BMANGA"</t>
  </si>
  <si>
    <t>BUCARAMANGA - SANTANDER</t>
  </si>
  <si>
    <t>90144410400</t>
  </si>
  <si>
    <t>901444104-1</t>
  </si>
  <si>
    <t>MARTILLO DISTRIBUIDOR MAYORISTA S.A.S.</t>
  </si>
  <si>
    <t>86000980800</t>
  </si>
  <si>
    <t>860009808-5</t>
  </si>
  <si>
    <t>HOLCIM COLOMBIA S.A</t>
  </si>
  <si>
    <t>90134981301</t>
  </si>
  <si>
    <t>M SIERRA FERRETEROS S.A.S "TIENDA BLER CENTRO"</t>
  </si>
  <si>
    <t>3617999600</t>
  </si>
  <si>
    <t>36179996-0</t>
  </si>
  <si>
    <t>ORTIZ MURCIA AMPARO/FERROCED</t>
  </si>
  <si>
    <t>NEIVA - HUILA</t>
  </si>
  <si>
    <t>WILSON SEPULVEDA - HUILA - CAQUETA</t>
  </si>
  <si>
    <t>89033302300</t>
  </si>
  <si>
    <t>890333023-8</t>
  </si>
  <si>
    <t>SIDOC S.A.S. "YUMBO"</t>
  </si>
  <si>
    <t>YUMBO - VALLE DEL CAUCA</t>
  </si>
  <si>
    <t>89033302308</t>
  </si>
  <si>
    <t>SIDOC S.A.S." PEREIRA / DOSQUEBRADAS"</t>
  </si>
  <si>
    <t>DOS QUEBRADAS - RISARALDA</t>
  </si>
  <si>
    <t>JORGE CASTRO - EJE CAFETERO</t>
  </si>
  <si>
    <t>80015441900</t>
  </si>
  <si>
    <t>800154419-5</t>
  </si>
  <si>
    <t>ARREDONDO Y YEPES COMPANIA LTDA</t>
  </si>
  <si>
    <t>NORMA AGUILAR - LOCALIDAD MARTIRES</t>
  </si>
  <si>
    <t>90046116100</t>
  </si>
  <si>
    <t>900461161-1</t>
  </si>
  <si>
    <t>CONSTRULAR S.A.S.</t>
  </si>
  <si>
    <t>LETICIA - AMAZONAS</t>
  </si>
  <si>
    <t>INSTITUCIONAL</t>
  </si>
  <si>
    <t>7954332100</t>
  </si>
  <si>
    <t>79294188-4</t>
  </si>
  <si>
    <t>ROBAYO RAUL/DISTRIBUCIONES  ROBAYO</t>
  </si>
  <si>
    <t>80013042642</t>
  </si>
  <si>
    <t>800130426-3</t>
  </si>
  <si>
    <t>G Y J  FERRETERIAS S.A. - PASTO</t>
  </si>
  <si>
    <t>PASTO - NARIÑO</t>
  </si>
  <si>
    <t>JORGE CASTRO - NARIÑO</t>
  </si>
  <si>
    <t>297695300</t>
  </si>
  <si>
    <t>900198800-0</t>
  </si>
  <si>
    <t>CAJIPINTURAS S.A.S</t>
  </si>
  <si>
    <t>CAJICA - CUNDINAMARCA</t>
  </si>
  <si>
    <t>OMAR MONTAÑA - SABANA CENTRO</t>
  </si>
  <si>
    <t>89032442002</t>
  </si>
  <si>
    <t>FERRETERIA TUBOLAMINAS S A-POPAYAN</t>
  </si>
  <si>
    <t>POPAYAN - CAUCA</t>
  </si>
  <si>
    <t>JORGE CASTRO - CAUCA</t>
  </si>
  <si>
    <t>90044847000</t>
  </si>
  <si>
    <t>900448470-7</t>
  </si>
  <si>
    <t>HIERROS DE OCCIDENTE FERRETERIAS S.A.S "DOS QUEBRADAS"</t>
  </si>
  <si>
    <t>83009521300</t>
  </si>
  <si>
    <t>830095213-0</t>
  </si>
  <si>
    <t>ORGANIZACION TERPEL S.A.</t>
  </si>
  <si>
    <t>DISTRIBUIDOR</t>
  </si>
  <si>
    <t>80001581700</t>
  </si>
  <si>
    <t>800015817-8</t>
  </si>
  <si>
    <t>COLPINTURAS LTDA</t>
  </si>
  <si>
    <t>IBAGUE - TOLIMA</t>
  </si>
  <si>
    <t>OMAR MONTAÑA -SUR  TOLIMA</t>
  </si>
  <si>
    <t>83013395610</t>
  </si>
  <si>
    <t>830133956-8</t>
  </si>
  <si>
    <t>COMERCIALIZADORA PUNTOBLER S.A.S -  68</t>
  </si>
  <si>
    <t>90015510708</t>
  </si>
  <si>
    <t>900155107-1</t>
  </si>
  <si>
    <t>CENCOSUD COLOMBIA S.A. "EASY MAYALES"</t>
  </si>
  <si>
    <t>VALLEDUPAR - CESAR</t>
  </si>
  <si>
    <t>CRISTIAN BETANCOURT - COSTA ATLANTICA NORTE</t>
  </si>
  <si>
    <t>90167228200</t>
  </si>
  <si>
    <t>901672282-1</t>
  </si>
  <si>
    <t>FERRETERIA HINCAPIE S.A.S</t>
  </si>
  <si>
    <t>SANTANDER DE QUILICHAO - CAUCA</t>
  </si>
  <si>
    <t>90015510700</t>
  </si>
  <si>
    <t>CENCOSUD COLOMBIA S.A. "EASY EL CORTIJO"</t>
  </si>
  <si>
    <t>90015510702</t>
  </si>
  <si>
    <t>CENCOSUD COLOMBIA S.A. "EASY CENTRO MAYOR"</t>
  </si>
  <si>
    <t>89032442000</t>
  </si>
  <si>
    <t>FERRETERIA TUBOLAMINAS S A-PALMIRA</t>
  </si>
  <si>
    <t>PALMIRA - VALLE DEL CAUCA</t>
  </si>
  <si>
    <t>90044847002</t>
  </si>
  <si>
    <t>HIERROS DE OCCIDENTE FERRETERIAS S.A.S "ARMENIA"</t>
  </si>
  <si>
    <t>ARMENIA - QUINDIO</t>
  </si>
  <si>
    <t>90110225900</t>
  </si>
  <si>
    <t>901102259-7</t>
  </si>
  <si>
    <t>DISTRIBUIDORA ALIANZA FERRETERA S.A.S</t>
  </si>
  <si>
    <t>90079022300</t>
  </si>
  <si>
    <t>900790223-9</t>
  </si>
  <si>
    <t>JV HIERROS Y ESTRUCTURAS S.A.S.</t>
  </si>
  <si>
    <t>89032442003</t>
  </si>
  <si>
    <t>FERRETERIA TUBOLAMINAS S A-PASTO</t>
  </si>
  <si>
    <t>86000969401</t>
  </si>
  <si>
    <t>860009694-2</t>
  </si>
  <si>
    <t>CYRGO S.A.S-CALI</t>
  </si>
  <si>
    <t>90027696200</t>
  </si>
  <si>
    <t>900276962-1</t>
  </si>
  <si>
    <t>D1  S.A.S</t>
  </si>
  <si>
    <t>FUNZA - CUNDINAMARCA</t>
  </si>
  <si>
    <t>ARRIENDOS</t>
  </si>
  <si>
    <t>PVP</t>
  </si>
  <si>
    <t>80021649907</t>
  </si>
  <si>
    <t>800216499-1</t>
  </si>
  <si>
    <t>AGOFER S.A.S -IBAGUE</t>
  </si>
  <si>
    <t>90130545800</t>
  </si>
  <si>
    <t>901305458-8</t>
  </si>
  <si>
    <t>FERREMETALICAS LA GAITANA S.A.S</t>
  </si>
  <si>
    <t>90015510701</t>
  </si>
  <si>
    <t>CENCOSUD COLOMBIA S.A. "EASY NORTE"</t>
  </si>
  <si>
    <t>90035258600</t>
  </si>
  <si>
    <t>900352586-9</t>
  </si>
  <si>
    <t>TUBOS Y PERFILES DE OCCIDENTE S.A.S "MANIZALES"</t>
  </si>
  <si>
    <t>MANIZALES - CALDAS</t>
  </si>
  <si>
    <t>J300111253</t>
  </si>
  <si>
    <t>ULTRA COLOR BARQUISIMETO, C.A.</t>
  </si>
  <si>
    <t>BARQUISIMETO</t>
  </si>
  <si>
    <t>VENTAS INTERNACIONALES</t>
  </si>
  <si>
    <t>83013395601</t>
  </si>
  <si>
    <t>COMERCIALIZADORA PUNTOBLER E.U - 128</t>
  </si>
  <si>
    <t>90134981302</t>
  </si>
  <si>
    <t>M SIERRA FERRETEROS S.A.S "PALOQUEMAO"</t>
  </si>
  <si>
    <t>90044847001</t>
  </si>
  <si>
    <t>HIERROS DE OCCIDENTE FERRETERIAS S.A.S "IBAGUE"</t>
  </si>
  <si>
    <t>90035258601</t>
  </si>
  <si>
    <t>TUBOS Y PERFILES DE OCCIDENTE S.A.S " DOS QUEBRADA"</t>
  </si>
  <si>
    <t>90123380600</t>
  </si>
  <si>
    <t>901233806-8</t>
  </si>
  <si>
    <t>PINTURAS WILLY MEZCLAS S.A.S. "AGUACHICA"</t>
  </si>
  <si>
    <t>AGUACHICA - CESAR</t>
  </si>
  <si>
    <t>EVELIO GARCIA - CESAR</t>
  </si>
  <si>
    <t>80012119900</t>
  </si>
  <si>
    <t>800121199-8</t>
  </si>
  <si>
    <t>HIERROS HB S.A - CALI</t>
  </si>
  <si>
    <t>86005697100</t>
  </si>
  <si>
    <t>860056971-8</t>
  </si>
  <si>
    <t>LA CAMPANA SERVICIOS DE ACERO S A "SUCURSAL 1 NEIVA "</t>
  </si>
  <si>
    <t>80021242301</t>
  </si>
  <si>
    <t>800212423-4</t>
  </si>
  <si>
    <t>JASPIN S.A.S. I</t>
  </si>
  <si>
    <t>1223369900</t>
  </si>
  <si>
    <t>12233699-1</t>
  </si>
  <si>
    <t>VALENCIA SEGUNDO ELIECER/FERREMEZCLAS ELIMER</t>
  </si>
  <si>
    <t>PITALITO - HUILA</t>
  </si>
  <si>
    <t>81000528200</t>
  </si>
  <si>
    <t>810005282-1</t>
  </si>
  <si>
    <t>HIERROS Y PERFILES S.A.S</t>
  </si>
  <si>
    <t>90044847003</t>
  </si>
  <si>
    <t>HIERROS DE OCCIDENTE FERRETERIAS S.A.S "JARDIN"</t>
  </si>
  <si>
    <t>90078937700</t>
  </si>
  <si>
    <t>900789377-2</t>
  </si>
  <si>
    <t>FERRETERIA GUALI S.A.S. "MARIQUITA"</t>
  </si>
  <si>
    <t>MARIQUITA - TOLIMA</t>
  </si>
  <si>
    <t>OMAR MONTAÑA - NTE DEL TOLIMA</t>
  </si>
  <si>
    <t>80025506600</t>
  </si>
  <si>
    <t>800255066-2</t>
  </si>
  <si>
    <t>SURECA S.A.S.</t>
  </si>
  <si>
    <t>CUCUTA - NORTE DE SANTANDER</t>
  </si>
  <si>
    <t>EVELIO GARCIA - NTE SANTANDER</t>
  </si>
  <si>
    <t>90153619800</t>
  </si>
  <si>
    <t>901536198-9</t>
  </si>
  <si>
    <t>ACEROS COLOMBIA MEC SAS ZOMAC</t>
  </si>
  <si>
    <t>SAN JOSE DEL GUAVIARE - GUAVIA</t>
  </si>
  <si>
    <t>WILSON SEPULVEDA - GUAVIARE</t>
  </si>
  <si>
    <t>3183218800</t>
  </si>
  <si>
    <t>31832188-9</t>
  </si>
  <si>
    <t>MUÑOZ GONZALEZ ROSA /ALMACEN PUNTOCOLORES</t>
  </si>
  <si>
    <t>90044847007</t>
  </si>
  <si>
    <t>HIERROS DE OCCIDENTE FERRETERIAS S.A.S "CARTAGO"</t>
  </si>
  <si>
    <t>CARTAGO - VALLE DEL CAUCA</t>
  </si>
  <si>
    <t>86000969414</t>
  </si>
  <si>
    <t>CYRGO S.A.S -"IBAGUE"</t>
  </si>
  <si>
    <t>90043371600</t>
  </si>
  <si>
    <t>900433716-8</t>
  </si>
  <si>
    <t>INVERSIONES ZULUAGA OSPINA Y CIA S.A.S</t>
  </si>
  <si>
    <t>LIBANO - TOLIMA</t>
  </si>
  <si>
    <t>90044847014</t>
  </si>
  <si>
    <t>HIERROS DE OCCIDENTE FERRETERIAS S.A.S "TULUA"</t>
  </si>
  <si>
    <t>TULUA - VALLE DEL CAUCA</t>
  </si>
  <si>
    <t>3459444100</t>
  </si>
  <si>
    <t>34594441-7</t>
  </si>
  <si>
    <t>LOPEZ SALAZAR CONSUELO ELENA / DIMAFER CONSTRU LOPEZ</t>
  </si>
  <si>
    <t>7969976600</t>
  </si>
  <si>
    <t>79699766-0</t>
  </si>
  <si>
    <t>SERNA BAEZ JAIME/FERRETERIA PINTULANDIA</t>
  </si>
  <si>
    <t>PUERTO CARREÑO - VICHADA</t>
  </si>
  <si>
    <t>WILSON SEPULVEDA - META</t>
  </si>
  <si>
    <t>4042913700</t>
  </si>
  <si>
    <t>40429137-9</t>
  </si>
  <si>
    <t>TURRIAGO ROSALBA/COMERCIALIZADORA ALMACEN CENTRAL DE PINTURAS</t>
  </si>
  <si>
    <t>ACACIAS - META</t>
  </si>
  <si>
    <t>80021649905</t>
  </si>
  <si>
    <t>AGOFER S.A.S -CARTAGENA</t>
  </si>
  <si>
    <t>CARTAGENA - BOLIVAR</t>
  </si>
  <si>
    <t>CRISTIAN BETANCOURT - COSTA ATLANTICA CENTRO</t>
  </si>
  <si>
    <t>90015510706</t>
  </si>
  <si>
    <t>CENCOSUD COLOMBIA S.A. "EASY GAITAN CORTEZ"</t>
  </si>
  <si>
    <t>89150038700</t>
  </si>
  <si>
    <t>891500387-3</t>
  </si>
  <si>
    <t>HIPERMERCADO FERRETERIA ARGENTINA AVILA VELEZ S.A.S.</t>
  </si>
  <si>
    <t>90015510715</t>
  </si>
  <si>
    <t>CENCOSUD COLOMBIA S.A. "EASY ALTOS DEL PRADO"</t>
  </si>
  <si>
    <t>BARRANQUILLA - ATLANTICO</t>
  </si>
  <si>
    <t>90052388200</t>
  </si>
  <si>
    <t>900523882-9</t>
  </si>
  <si>
    <t>ACEROS DEL ORIENTE GROUP SAS</t>
  </si>
  <si>
    <t>4935958-8</t>
  </si>
  <si>
    <t>PAZ CHICANGANA MIRABAL / FERRETERIA AGRARIA SAN AGUSTIN</t>
  </si>
  <si>
    <t>SAN AGUSTIN - HUILA</t>
  </si>
  <si>
    <t>90015510705</t>
  </si>
  <si>
    <t>CENCOSUD COLOMBIA S.A. "EASY CALLE 13"</t>
  </si>
  <si>
    <t>5287658100</t>
  </si>
  <si>
    <t>52876581-6</t>
  </si>
  <si>
    <t>DAZA DIAZ ANDREA ELIZABETH /  UNIVERSAL DE DISTRIBUCIONES J.A.R</t>
  </si>
  <si>
    <t>DIANA ARENAS - LOCALIDAD BARRIOS UNIDOS</t>
  </si>
  <si>
    <t>90135034700</t>
  </si>
  <si>
    <t>901350347-1</t>
  </si>
  <si>
    <t>BERNAL &amp;  HERMANOS S.A.S</t>
  </si>
  <si>
    <t>NORMA AGUILAR - LOCALIDAD SANTA FE</t>
  </si>
  <si>
    <t>86000969420</t>
  </si>
  <si>
    <t>CYRGO S.A.S -"NEIVA SUR"</t>
  </si>
  <si>
    <t>108391138400</t>
  </si>
  <si>
    <t>1083911384-5</t>
  </si>
  <si>
    <t>CORREA POLANIA WILLIAM FERNEY/FERRETERIA LA Y PITALITO</t>
  </si>
  <si>
    <t>80021649901</t>
  </si>
  <si>
    <t>AGOFER S.A.S -YUMBO</t>
  </si>
  <si>
    <t>90022578201</t>
  </si>
  <si>
    <t>900225782-2</t>
  </si>
  <si>
    <t>SERVIMEZCLAS CENTER S.A.S "CHIA"</t>
  </si>
  <si>
    <t>CHIA - CUNDINAMARCA</t>
  </si>
  <si>
    <t>9313141300</t>
  </si>
  <si>
    <t>93131413-9</t>
  </si>
  <si>
    <t>CONDE LUNA MAURICIO/M Y T FERRECONDE</t>
  </si>
  <si>
    <t>CHICORAL - TOLIMA</t>
  </si>
  <si>
    <t>80021649900</t>
  </si>
  <si>
    <t>AGOFER S.A.S -BUGA</t>
  </si>
  <si>
    <t>90136195300</t>
  </si>
  <si>
    <t>901361953-0</t>
  </si>
  <si>
    <t>DISTRIBUCIONES AGROFER AL S.A.S.</t>
  </si>
  <si>
    <t>8318143600</t>
  </si>
  <si>
    <t>83181436-5</t>
  </si>
  <si>
    <t>PALOMARES MOTTA JUAQUIN/FERRETERIA EL SURTIDOR</t>
  </si>
  <si>
    <t>8600968404</t>
  </si>
  <si>
    <t>CYRGO S.A.S- MEDELLIN</t>
  </si>
  <si>
    <t>763299534</t>
  </si>
  <si>
    <t>76329953-4</t>
  </si>
  <si>
    <t>CAMAYO GRUESCO YIMER/FERRETERIA FERROLAMINAS DEL CAUCA</t>
  </si>
  <si>
    <t>90078352100</t>
  </si>
  <si>
    <t>900783521-1</t>
  </si>
  <si>
    <t>ARCOE S.A.S. "VILLAVICENCIO PORVENIR"</t>
  </si>
  <si>
    <t>VILLAVICENCIO - META</t>
  </si>
  <si>
    <t>90015510703</t>
  </si>
  <si>
    <t>CENCOSUD COLOMBIA S.A. "EASY AMERICAS"</t>
  </si>
  <si>
    <t>90013663800</t>
  </si>
  <si>
    <t>900136638-8</t>
  </si>
  <si>
    <t>CERVECERIA DEL VALLE S.A.S</t>
  </si>
  <si>
    <t>90084709901</t>
  </si>
  <si>
    <t>900847099-9</t>
  </si>
  <si>
    <t>FERRETERIA AGROTODO S.A.S "GIRON"</t>
  </si>
  <si>
    <t>GIRON - SANTANDER</t>
  </si>
  <si>
    <t>81101242711</t>
  </si>
  <si>
    <t>811012427-5</t>
  </si>
  <si>
    <t>FERRETERIA LOS FIERROS S.A.S "CEDI"</t>
  </si>
  <si>
    <t>ITAGUI - ANTIOQUIA</t>
  </si>
  <si>
    <t>3789083300</t>
  </si>
  <si>
    <t>37890833-0</t>
  </si>
  <si>
    <t>TAPIAS MARTHA/SURTIPINTURAS</t>
  </si>
  <si>
    <t>1621983300</t>
  </si>
  <si>
    <t>16219833-9</t>
  </si>
  <si>
    <t>MAFLA ARCILA JORGE/COLPINTURAS WARNER</t>
  </si>
  <si>
    <t>90056410100</t>
  </si>
  <si>
    <t>900564101-0</t>
  </si>
  <si>
    <t>SOSA DISTRIBUCIONES S.A.S.</t>
  </si>
  <si>
    <t>ALFONSO ALBA - LOCALIDAD SUBA</t>
  </si>
  <si>
    <t>80013042619</t>
  </si>
  <si>
    <t>G Y J  FERRETERIAS S.A. - BARRANCA</t>
  </si>
  <si>
    <t>1735196300</t>
  </si>
  <si>
    <t>17351963-5</t>
  </si>
  <si>
    <t>MOSQUERA GONZALEZ JAIRO/DEPOSITO Y FERRETERIA LA LEY DEL MONTE "GRANADA"</t>
  </si>
  <si>
    <t>GRANADA - META</t>
  </si>
  <si>
    <t>90114706800</t>
  </si>
  <si>
    <t>901147068-0</t>
  </si>
  <si>
    <t>DISTRIBUIDORA TERINSA SAS</t>
  </si>
  <si>
    <t>90124539100</t>
  </si>
  <si>
    <t>901245391-5</t>
  </si>
  <si>
    <t>C M L FERRETERIAS EL CONSTRUCTOR S.A.S.</t>
  </si>
  <si>
    <t>SASAIMA - CUNDINAMARCA</t>
  </si>
  <si>
    <t>90015510704</t>
  </si>
  <si>
    <t>CENCOSUD COLOMBIA S.A. "EASY SOACHA"</t>
  </si>
  <si>
    <t>SOACHA - CUNDINAMARCA</t>
  </si>
  <si>
    <t>1220883100</t>
  </si>
  <si>
    <t>12208831</t>
  </si>
  <si>
    <t>TRUJILLO GUZMAN BERNE/FERRETERIA  PICHI</t>
  </si>
  <si>
    <t>INIRIDA - GUAINIA</t>
  </si>
  <si>
    <t>90081878800</t>
  </si>
  <si>
    <t>900818788-1</t>
  </si>
  <si>
    <t>PINTURAS MATIZ S.A.S.</t>
  </si>
  <si>
    <t>DIANA ARENAS - SABANA OCCIDENTE</t>
  </si>
  <si>
    <t>90015510713</t>
  </si>
  <si>
    <t>CENCOSUD COLOMBIA S.A. "EASY BOSA"</t>
  </si>
  <si>
    <t>90055659101</t>
  </si>
  <si>
    <t>900556591-2</t>
  </si>
  <si>
    <t>CENTRO HIERROS S.A.S "Principal"</t>
  </si>
  <si>
    <t>90123645300</t>
  </si>
  <si>
    <t>901236453-5</t>
  </si>
  <si>
    <t>MILMUGA PATIA S.A.S. ZOMAC</t>
  </si>
  <si>
    <t>PATIA - CAUCA</t>
  </si>
  <si>
    <t>90048403300</t>
  </si>
  <si>
    <t>900484033-4</t>
  </si>
  <si>
    <t>TUPERSA SAS</t>
  </si>
  <si>
    <t>649783600</t>
  </si>
  <si>
    <t>6497836-5</t>
  </si>
  <si>
    <t>DE LA CRUZ DE LA CRUZ IMER ANDRES</t>
  </si>
  <si>
    <t>90032359900</t>
  </si>
  <si>
    <t>900323599-0</t>
  </si>
  <si>
    <t>ELECTRICOS Y FERRETERIA LA 34 LTDA</t>
  </si>
  <si>
    <t>NORMA AGUILAR - LOCALIDAD PUENTE ARANDA</t>
  </si>
  <si>
    <t>90076746500</t>
  </si>
  <si>
    <t>900767465-8</t>
  </si>
  <si>
    <t>LA CASA DEL COLOR AS S.A.S</t>
  </si>
  <si>
    <t>90131103000</t>
  </si>
  <si>
    <t>901311030-4</t>
  </si>
  <si>
    <t>LA QUIMICA DEL COLOR S.A.S.</t>
  </si>
  <si>
    <t>86005697111</t>
  </si>
  <si>
    <t>LA CAMPANA SERVICIOS DE ACERO S A "COTA"</t>
  </si>
  <si>
    <t>COTA - CUNDINAMARCA</t>
  </si>
  <si>
    <t>90128584800</t>
  </si>
  <si>
    <t>901285848-1</t>
  </si>
  <si>
    <t>COMERCIALIZADORA DIFER S.A.S</t>
  </si>
  <si>
    <t>ALEJANDRO CARANTON -LOCALIDAD KENNEDY</t>
  </si>
  <si>
    <t>80013042622</t>
  </si>
  <si>
    <t>G Y J  FERRETERIAS S.A. -VALLEDUPAR - LA CASITA</t>
  </si>
  <si>
    <t>90044847006</t>
  </si>
  <si>
    <t>HIERROS DE OCCIDENTE FERRETERIAS S.A.S "VIRGINIA"</t>
  </si>
  <si>
    <t>LA VIRGINIA - RISARALDA</t>
  </si>
  <si>
    <t>90084771600</t>
  </si>
  <si>
    <t>900847716-5</t>
  </si>
  <si>
    <t>FERRETERIA  FERROLAMINAS S.A.S.</t>
  </si>
  <si>
    <t>SOGAMOSO - BOYACA</t>
  </si>
  <si>
    <t>WILSON SEPULVEDA - BOYACA</t>
  </si>
  <si>
    <t>90140929500</t>
  </si>
  <si>
    <t>901409295-1</t>
  </si>
  <si>
    <t>COMERCIAL EL ALCARAVAN S.A.S.</t>
  </si>
  <si>
    <t>INDUSTRIAL</t>
  </si>
  <si>
    <t>81101242705</t>
  </si>
  <si>
    <t>FERRETERIA LOS FIERROS S.A.S " RIONEGRO"</t>
  </si>
  <si>
    <t>RIONEGRO - ANTIOQUIA</t>
  </si>
  <si>
    <t>9341649200</t>
  </si>
  <si>
    <t>93416492-5</t>
  </si>
  <si>
    <t>ZULUAGA GOMEZ IVAN/FERRE GUALI-FRESNO</t>
  </si>
  <si>
    <t>FRESNO - TOLIMA</t>
  </si>
  <si>
    <t>300037400</t>
  </si>
  <si>
    <t>3000374-0</t>
  </si>
  <si>
    <t>FLOREZ VENEGAS RICARDO/PROVEEDORA DE ORIENTE-CHOACHI</t>
  </si>
  <si>
    <t>CHOACHI - CUNDINAMARCA</t>
  </si>
  <si>
    <t>90109752000</t>
  </si>
  <si>
    <t>901097520-3</t>
  </si>
  <si>
    <t>PUNTO DEL HIERRO R S.A.S.</t>
  </si>
  <si>
    <t>PIEDECUESTA - SANTANDER</t>
  </si>
  <si>
    <t>81101242709</t>
  </si>
  <si>
    <t>FERRETERIA LOS FIERROS S.A.S "MARINILLA"</t>
  </si>
  <si>
    <t>MARINILLA - ANTIOQUIA</t>
  </si>
  <si>
    <t>83000418400</t>
  </si>
  <si>
    <t>830004184-6</t>
  </si>
  <si>
    <t>SERVICIO TECNICO GONHER FARMACEUTICA LTDA</t>
  </si>
  <si>
    <t>INDUSTRIAL 1</t>
  </si>
  <si>
    <t>8017074300</t>
  </si>
  <si>
    <t>80170743-3</t>
  </si>
  <si>
    <t>CIFUENTES MORENO GIOVANNY ALEXANDER /   PINTURAS ELECTROESTATICA PINTUEXPRES</t>
  </si>
  <si>
    <t>716367900</t>
  </si>
  <si>
    <t>7163679-5</t>
  </si>
  <si>
    <t>RODRIGUEZ PIRAZAN MARIO HERNAN/DOBLADORA Y CORTADORA RODRIGUEZ</t>
  </si>
  <si>
    <t>TUNJA - BOYACA</t>
  </si>
  <si>
    <t>7947297500</t>
  </si>
  <si>
    <t>79472975-8</t>
  </si>
  <si>
    <t>NIÑO BASTIDAS JOSE ISIDRO/DISTRICOLORES " SUCURSAL PRINCIPAL"</t>
  </si>
  <si>
    <t>90147240000</t>
  </si>
  <si>
    <t>901472400-6</t>
  </si>
  <si>
    <t>DISTRIBUIDORA CONTINENTAL RV S.A.S</t>
  </si>
  <si>
    <t>86000969423</t>
  </si>
  <si>
    <t>CYRGO S.A.S -"POPAYAN"</t>
  </si>
  <si>
    <t>103244678100</t>
  </si>
  <si>
    <t>1032446781</t>
  </si>
  <si>
    <t>HIGUERA GOMEZ CATERINE DEL PILAR/MOSTRY PINTURAS</t>
  </si>
  <si>
    <t>TABIO - CUNDINAMARCA</t>
  </si>
  <si>
    <t>7935850500</t>
  </si>
  <si>
    <t>79358505-2</t>
  </si>
  <si>
    <t>CASTRO ROMERO HECTOR/PERFILAMINAS H.C.</t>
  </si>
  <si>
    <t>90068354901</t>
  </si>
  <si>
    <t>900683549-6</t>
  </si>
  <si>
    <t>CEMCO DE COLOMBIA S.A.S. BIC "DUITAMA"</t>
  </si>
  <si>
    <t>DUITAMA - BOYACA</t>
  </si>
  <si>
    <t>89033302310</t>
  </si>
  <si>
    <t>SIDOC S.A.S." POPAYAN"</t>
  </si>
  <si>
    <t>90015510714</t>
  </si>
  <si>
    <t>CENCOSUD COLOMBIA S.A. "EASY CLL 80"</t>
  </si>
  <si>
    <t>90104095700</t>
  </si>
  <si>
    <t>901040957-2</t>
  </si>
  <si>
    <t>DIEGO MARIA LUGO CERTUCHE S.A.S.</t>
  </si>
  <si>
    <t>4977082600</t>
  </si>
  <si>
    <t>49770826-8</t>
  </si>
  <si>
    <t>PEREZ MERCADO MONICA PATRICIA / HIERROS VALLEDUPAR EDA</t>
  </si>
  <si>
    <t>90115770800</t>
  </si>
  <si>
    <t>901157708-9</t>
  </si>
  <si>
    <t>GLOBAL CONSTRUCCIONES LV S.A.S</t>
  </si>
  <si>
    <t>TIBANA - BOYACA</t>
  </si>
  <si>
    <t>3455169300</t>
  </si>
  <si>
    <t>34551693-1</t>
  </si>
  <si>
    <t>GUTIERREZ QUINTERO GLORIA NURY/FERRETERIA POPAYAN</t>
  </si>
  <si>
    <t>109165325701</t>
  </si>
  <si>
    <t>1091653257-1</t>
  </si>
  <si>
    <t>PEREZ QUINTERO ZULEIDY / FERRETERIA EMANUEL Z "SUC VALLEDUPAR"</t>
  </si>
  <si>
    <t>1227805100</t>
  </si>
  <si>
    <t>12278051-3</t>
  </si>
  <si>
    <t>QUIPO MUÑOZ JOSE OBEIMAR/SURTI PERFILES DEL HUILA</t>
  </si>
  <si>
    <t>1048921100</t>
  </si>
  <si>
    <t>10489211-3</t>
  </si>
  <si>
    <t>BORJA BANGUERO JHON JAIRO/ALMACEN FERROPINTURAS EL SAMAN</t>
  </si>
  <si>
    <t>90013674200</t>
  </si>
  <si>
    <t>900136742-6</t>
  </si>
  <si>
    <t>DISTRIBUIDORA DE PINTURAS Y ACABADOS 1A S.A.S.</t>
  </si>
  <si>
    <t>GIRARDOT - CUNDINAMARCA</t>
  </si>
  <si>
    <t>2068890000</t>
  </si>
  <si>
    <t>20688900-1</t>
  </si>
  <si>
    <t>OCHOA BAYONA LADY PAOLA / DEPOSITO Y FERRETERIA OCHOA</t>
  </si>
  <si>
    <t>LA MESA - CUNDINAMARCA</t>
  </si>
  <si>
    <t>3655279400</t>
  </si>
  <si>
    <t>36552794-9</t>
  </si>
  <si>
    <t>DUQUE LUZ ESTELA/FERRETERIA CENTRAL DE MATERIALES</t>
  </si>
  <si>
    <t>PEREIRA - RISARALDA</t>
  </si>
  <si>
    <t>90015510711</t>
  </si>
  <si>
    <t>CENCOSUD COLOMBIA S.A. "EASY CALLE 170"</t>
  </si>
  <si>
    <t>90015510709</t>
  </si>
  <si>
    <t>CENCOSUD COLOMBIA S.A. "EASY 4 SUR"</t>
  </si>
  <si>
    <t>80021649906</t>
  </si>
  <si>
    <t>AGOFER S.A.S -PEREIRA</t>
  </si>
  <si>
    <t>2079397400</t>
  </si>
  <si>
    <t>20793974-3</t>
  </si>
  <si>
    <t>RUBIANO LUZ MIRYAM/ALMACEN EL LATONERO</t>
  </si>
  <si>
    <t>PACHO - CUNDINAMARCA</t>
  </si>
  <si>
    <t>90015510710</t>
  </si>
  <si>
    <t>CENCOSUD COLOMBIA S.A. "EASY HAYUELOS"</t>
  </si>
  <si>
    <t>89033302304</t>
  </si>
  <si>
    <t>SIDOC S.A.S."JAMUNDI TIENDA JAMUNDI"</t>
  </si>
  <si>
    <t>JAMUNDI - VALLE DEL CAUCA</t>
  </si>
  <si>
    <t>112353040500</t>
  </si>
  <si>
    <t>1123530405-0</t>
  </si>
  <si>
    <t>GIL SUAREZ EDINSON SNEYDER</t>
  </si>
  <si>
    <t>90044847010</t>
  </si>
  <si>
    <t>HIERROS DE OCCIDENTE FERRETERIAS S.A.S "MARIQUITA"</t>
  </si>
  <si>
    <t>90182947900</t>
  </si>
  <si>
    <t>901829479-1</t>
  </si>
  <si>
    <t>FERRETERIA INDUSTRIALES DE ORIENTE S.A.S</t>
  </si>
  <si>
    <t>80021649904</t>
  </si>
  <si>
    <t>AGOFER S.A.S - PUENTE ARANDA"</t>
  </si>
  <si>
    <t>5517129500</t>
  </si>
  <si>
    <t>55171295-9</t>
  </si>
  <si>
    <t>ORTIZ ORTIZ OLGA/FERRETERIA LOS PAISAS</t>
  </si>
  <si>
    <t>2798105700</t>
  </si>
  <si>
    <t>27981057-6</t>
  </si>
  <si>
    <t>GAONA VANEGAS AURA MARIA</t>
  </si>
  <si>
    <t>BARBOSA - SANTANDER</t>
  </si>
  <si>
    <t>80021649908</t>
  </si>
  <si>
    <t>AGOFER S.A.S -BARRANQUILLA</t>
  </si>
  <si>
    <t>90044847015</t>
  </si>
  <si>
    <t>HIERROS DE OCCIDENTE FERRETERIAS S.A.S "NEIVA"</t>
  </si>
  <si>
    <t>90042968200</t>
  </si>
  <si>
    <t>900429682-0</t>
  </si>
  <si>
    <t>FERRETERIA LA GRAN REBAJA DE CAMPOALEGRE S.A.S</t>
  </si>
  <si>
    <t>CAMPOALEGRE - HUILA</t>
  </si>
  <si>
    <t>83011982800</t>
  </si>
  <si>
    <t>830119828-5</t>
  </si>
  <si>
    <t>OLVERA PUBLICIDAD LTDA</t>
  </si>
  <si>
    <t>CRUCE DE CUENTAS</t>
  </si>
  <si>
    <t>1002969700</t>
  </si>
  <si>
    <t>10029697-6</t>
  </si>
  <si>
    <t>GRISALES SERNA HERNANDO/PINTURAS Y ACABADOS GRISALES</t>
  </si>
  <si>
    <t>90044847012</t>
  </si>
  <si>
    <t>HIERROS DE OCCIDENTE FERRETERIAS S.A.S "ESPINAL"</t>
  </si>
  <si>
    <t>ESPINAL - TOLIMA</t>
  </si>
  <si>
    <t>90189804700</t>
  </si>
  <si>
    <t>901898047-8</t>
  </si>
  <si>
    <t>TIENDA DEL PINTOR No 1 SAS ZOMAC</t>
  </si>
  <si>
    <t>80021649910</t>
  </si>
  <si>
    <t>AGOFER S.A.S - VILLAVICENCIO</t>
  </si>
  <si>
    <t>7948060800</t>
  </si>
  <si>
    <t>79480608-3</t>
  </si>
  <si>
    <t>RODRIGUEZ SOSA JAIRO/PINTURAS J R P</t>
  </si>
  <si>
    <t>8604143500</t>
  </si>
  <si>
    <t>86041435-9</t>
  </si>
  <si>
    <t>DALEL SUAIN YAMEL HUSEIN</t>
  </si>
  <si>
    <t>100759082200</t>
  </si>
  <si>
    <t>1007590822-4</t>
  </si>
  <si>
    <t>GOMAJOA DAVILA SAMUEL ESTEBAN / ORNAMENTAL CALI</t>
  </si>
  <si>
    <t>86053551000</t>
  </si>
  <si>
    <t>860535510-1</t>
  </si>
  <si>
    <t>PINTUBOSA LTDA</t>
  </si>
  <si>
    <t>ALEJANDRO CARANTON -LOCALIDAD BOSA</t>
  </si>
  <si>
    <t>90179302200</t>
  </si>
  <si>
    <t>901793022-2</t>
  </si>
  <si>
    <t>FERRATERIA LA UNIVERSAL DE MITU SAS</t>
  </si>
  <si>
    <t>MITU - VAUPES</t>
  </si>
  <si>
    <t>81101242702</t>
  </si>
  <si>
    <t>FERRETERIA LOS FIERROS S.A.S "COMERCIAL LOS PUENTES"</t>
  </si>
  <si>
    <t>83007169600</t>
  </si>
  <si>
    <t>830071696-0</t>
  </si>
  <si>
    <t>METALCENTER S.A. "SUC COTA"</t>
  </si>
  <si>
    <t>90178284400</t>
  </si>
  <si>
    <t>901782844-2</t>
  </si>
  <si>
    <t>HIERROS Y PERFILES LA 13 SAS</t>
  </si>
  <si>
    <t>90156897800</t>
  </si>
  <si>
    <t>901568978-4</t>
  </si>
  <si>
    <t>INVERSIONES CONSTRUCTIVAS VILLA SAS</t>
  </si>
  <si>
    <t>80021649917</t>
  </si>
  <si>
    <t>AGOFER S.A.S -MONTERIA</t>
  </si>
  <si>
    <t>MONTERIA - CORDOBA</t>
  </si>
  <si>
    <t>CRISTIAN BETANCOURT - COSTA ATLANTICA SUR</t>
  </si>
  <si>
    <t>111364499900</t>
  </si>
  <si>
    <t>1113644999-7</t>
  </si>
  <si>
    <t>TORRES PEREZ CHRISTIAN ANDRES</t>
  </si>
  <si>
    <t>81101242704</t>
  </si>
  <si>
    <t>FERRETERIA LOS FIERROS S.A.S "BELLO"</t>
  </si>
  <si>
    <t>BELLO - ANTIOQUIA</t>
  </si>
  <si>
    <t>90104086000</t>
  </si>
  <si>
    <t>901040860-7</t>
  </si>
  <si>
    <t>FERRETERIA Y DEPOSITO LA H S.A.S.</t>
  </si>
  <si>
    <t>107075184400</t>
  </si>
  <si>
    <t>1070751844-7</t>
  </si>
  <si>
    <t>SARMIENTO MUÑOZ ANYI SIRLEY / SERVIPERFILES C Y S</t>
  </si>
  <si>
    <t>FUSAGASUGA - CUNDINAMARCA</t>
  </si>
  <si>
    <t>80001911200</t>
  </si>
  <si>
    <t>800019102-9</t>
  </si>
  <si>
    <t>INTERASESORES S.A.</t>
  </si>
  <si>
    <t>80013042638</t>
  </si>
  <si>
    <t>G Y J  FERRETERIAS S.A. - MARINILLA</t>
  </si>
  <si>
    <t>5511197200</t>
  </si>
  <si>
    <t>55111972-0</t>
  </si>
  <si>
    <t>MOSQUERA FIERRO SILVIA/FERRETERIA MULTICENTRO</t>
  </si>
  <si>
    <t>GIGANTE - HUILA</t>
  </si>
  <si>
    <t>90151227600</t>
  </si>
  <si>
    <t>901512276-1</t>
  </si>
  <si>
    <t>GENERACION DESIGN SAS</t>
  </si>
  <si>
    <t>INDUSTRIAL 3</t>
  </si>
  <si>
    <t>90100392600</t>
  </si>
  <si>
    <t>901003926-7</t>
  </si>
  <si>
    <t>CASTRO FERRETERIA &amp; CONSTRUCCIONES S.A.S.</t>
  </si>
  <si>
    <t>EL ZULIA - NORTE DE SANTANDER</t>
  </si>
  <si>
    <t>90180638200</t>
  </si>
  <si>
    <t>901806382-7</t>
  </si>
  <si>
    <t>LA CASA DEL HIERRO CT S.A.S</t>
  </si>
  <si>
    <t>90015510712</t>
  </si>
  <si>
    <t>CENCOSUD COLOMBIA S.A. "EASY AUTOPISTA SUR"</t>
  </si>
  <si>
    <t>81101242712</t>
  </si>
  <si>
    <t>FERRETERIA LOS FIERROS S.A.S "LAS AMERICAS"</t>
  </si>
  <si>
    <t>80013042625</t>
  </si>
  <si>
    <t>G Y J  FERRETERIAS S.A.  - SINCELEJO</t>
  </si>
  <si>
    <t>SINCELEJO - SUCRE</t>
  </si>
  <si>
    <t>90160154300</t>
  </si>
  <si>
    <t>901601543-5</t>
  </si>
  <si>
    <t>PINTURAS GABICOLOR V G S A S</t>
  </si>
  <si>
    <t>ALEJANDRO CARANTON -LOCALIDAD RAFAEL URIBE URIBE</t>
  </si>
  <si>
    <t>3124757700</t>
  </si>
  <si>
    <t>31247577-1</t>
  </si>
  <si>
    <t>CASTRO LIDA/FERRETERIA Y MUEBLERIA EL LIBANO</t>
  </si>
  <si>
    <t>90165448200</t>
  </si>
  <si>
    <t>901654482-1</t>
  </si>
  <si>
    <t>COMPAÑIA MATERIALES DE COLOMBIA SAS</t>
  </si>
  <si>
    <t>90084709900</t>
  </si>
  <si>
    <t>FERRETERIA AGROTODO S.A.S "BMANGA"</t>
  </si>
  <si>
    <t>7941703700</t>
  </si>
  <si>
    <t>79417037-0</t>
  </si>
  <si>
    <t>GARCIA GOMEZ JOSE RAUL/MILTONOS</t>
  </si>
  <si>
    <t>80024210600</t>
  </si>
  <si>
    <t>800242106-2</t>
  </si>
  <si>
    <t>SODIMAC COLOMBIA S.A.</t>
  </si>
  <si>
    <t>80013042633</t>
  </si>
  <si>
    <t>G Y J  FERRETERIAS S.A. - PEREIRA</t>
  </si>
  <si>
    <t>90125688001</t>
  </si>
  <si>
    <t>901256880-2</t>
  </si>
  <si>
    <t>FERRETERIA QUINTERO LA GRAN ESQUINA S.A.S "SAN MARTIN"</t>
  </si>
  <si>
    <t>SAN MARTIN - CESAR</t>
  </si>
  <si>
    <t>9134521300</t>
  </si>
  <si>
    <t>91345213-4</t>
  </si>
  <si>
    <t>SANDOVAL GOMEZ ARQUIMIDES/HIERROS DEL FONCE</t>
  </si>
  <si>
    <t>SAN GIL - SANTANDER</t>
  </si>
  <si>
    <t>90038880100</t>
  </si>
  <si>
    <t>900388801-3</t>
  </si>
  <si>
    <t>HIERROS BOGOTA FERRETERIAS &amp; CIA S.A.S</t>
  </si>
  <si>
    <t>ALFONSO ALBA -  LOCALIDAD ENGATIVA</t>
  </si>
  <si>
    <t>81101242700</t>
  </si>
  <si>
    <t>FERRETERIA LOS FIERROS S.A.S "ITAGUI"</t>
  </si>
  <si>
    <t>90192239400</t>
  </si>
  <si>
    <t>901922394-1</t>
  </si>
  <si>
    <t>FERRECORTES JF S.A.S</t>
  </si>
  <si>
    <t>7983254600</t>
  </si>
  <si>
    <t>79303961-1</t>
  </si>
  <si>
    <t>GONZALEZ QUIROGA JOSE/PINTURAS J.G</t>
  </si>
  <si>
    <t>90082583600</t>
  </si>
  <si>
    <t>900825836-6</t>
  </si>
  <si>
    <t>INVERSIONES Y CONSTRUCCIONES TECHAR SAS</t>
  </si>
  <si>
    <t>86000969406</t>
  </si>
  <si>
    <t>CYRGO S.A.S-PASTO</t>
  </si>
  <si>
    <t>90159245900</t>
  </si>
  <si>
    <t>901592459-4</t>
  </si>
  <si>
    <t>FERRETERIA FERREFACA S.A.S.</t>
  </si>
  <si>
    <t>FACATATIVA - CUNDINAMARCA</t>
  </si>
  <si>
    <t>90044847011</t>
  </si>
  <si>
    <t>HIERROS DE OCCIDENTE FERRETERIAS S.A.S "LA DORADA"</t>
  </si>
  <si>
    <t>LA DORADA - CALDAS</t>
  </si>
  <si>
    <t>104961551100</t>
  </si>
  <si>
    <t>1049615511-1</t>
  </si>
  <si>
    <t>CAMARGO CORONADO LUIS ALFREDO / FERRECOLORES C.P</t>
  </si>
  <si>
    <t>1667969400</t>
  </si>
  <si>
    <t>16679694-4</t>
  </si>
  <si>
    <t>DIAZ MOSQUERA RAMIRO/PINTURAS AMERICA</t>
  </si>
  <si>
    <t>90137811700</t>
  </si>
  <si>
    <t>901378117-4</t>
  </si>
  <si>
    <t>FERROELECTRICOS VARGAS S.A.S.</t>
  </si>
  <si>
    <t>80021649911</t>
  </si>
  <si>
    <t>AGOFER S.A.S -PASTO</t>
  </si>
  <si>
    <t>90109307800</t>
  </si>
  <si>
    <t>901093078-0</t>
  </si>
  <si>
    <t>JUAN CARLOS AVILA VELEZ S.A.S.</t>
  </si>
  <si>
    <t>1931566500</t>
  </si>
  <si>
    <t>19223918-2</t>
  </si>
  <si>
    <t>MARROQUIN VARGAS JESUS ALFONSO/HIERROS DEL ARIARI</t>
  </si>
  <si>
    <t>90015510707</t>
  </si>
  <si>
    <t>CENCOSUD COLOMBIA S.A. "EASY PRADO"</t>
  </si>
  <si>
    <t>90008696200</t>
  </si>
  <si>
    <t>900086962-4</t>
  </si>
  <si>
    <t>INTECNO LTDA</t>
  </si>
  <si>
    <t>SOPO - CUNDINAMARCA</t>
  </si>
  <si>
    <t>89033302302</t>
  </si>
  <si>
    <t>SIDOC S.A.S. "CALI TIENDA SANTA ELENA"</t>
  </si>
  <si>
    <t>1480148600</t>
  </si>
  <si>
    <t>14801486-4</t>
  </si>
  <si>
    <t>ACEVEDO GUSTAVO/MATERIALES Y PINTURAS LA 30 ESQUINA</t>
  </si>
  <si>
    <t>90082310600</t>
  </si>
  <si>
    <t>900823106-9</t>
  </si>
  <si>
    <t>FERRETERIA LA 15 LA INDUSTRIA S.A.S.</t>
  </si>
  <si>
    <t>82300187800</t>
  </si>
  <si>
    <t>823001878-1</t>
  </si>
  <si>
    <t>DISTRIBUIDORA NACIONAL SAS</t>
  </si>
  <si>
    <t>7915550100</t>
  </si>
  <si>
    <t>79155501-1</t>
  </si>
  <si>
    <t>OCHOA MILLAN HECTOR MANUEL/FERRESURTIR OCHOA</t>
  </si>
  <si>
    <t>90065151200</t>
  </si>
  <si>
    <t>900651512-7</t>
  </si>
  <si>
    <t>FERRETERIA GUACAMAYAS S.A.S</t>
  </si>
  <si>
    <t>NORMA AGUILAR - LOCALIDAD SAN CRISTOBAL</t>
  </si>
  <si>
    <t>90044847008</t>
  </si>
  <si>
    <t>HIERROS DE OCCIDENTE FERRETERIAS S.A.S "SANTA ROSA DE CABAL"</t>
  </si>
  <si>
    <t>SANTA ROSA DE CABAL - RISARALD</t>
  </si>
  <si>
    <t>89090016800</t>
  </si>
  <si>
    <t>890900168-1</t>
  </si>
  <si>
    <t>CERVECERIA UNION S.A.</t>
  </si>
  <si>
    <t>83009776700</t>
  </si>
  <si>
    <t>830097767-8</t>
  </si>
  <si>
    <t>A S C MAKROCOLOR E. U.</t>
  </si>
  <si>
    <t>90057413100</t>
  </si>
  <si>
    <t>900574131-4</t>
  </si>
  <si>
    <t>FERREINDUSTRIAS S.A.S</t>
  </si>
  <si>
    <t>GARZON - HUILA</t>
  </si>
  <si>
    <t>2656430200</t>
  </si>
  <si>
    <t>26564302-4</t>
  </si>
  <si>
    <t>BRAVO GARCE LUZ MARINA/FERRETERIA FERROPLAS</t>
  </si>
  <si>
    <t>90134413200</t>
  </si>
  <si>
    <t>901344132-9</t>
  </si>
  <si>
    <t>CENTRAL DE MATERIALES DE COTA S.A.S</t>
  </si>
  <si>
    <t>90022578200</t>
  </si>
  <si>
    <t>SERVIMEZCLAS CENTER  S.A.S. " BOYACA"</t>
  </si>
  <si>
    <t>CHIQUINQUIRA - BOYACA</t>
  </si>
  <si>
    <t>90044847013</t>
  </si>
  <si>
    <t>HIERROS DE OCCIDENTE FERRETERIAS S.A.S "PEREIRA"</t>
  </si>
  <si>
    <t>90078266100</t>
  </si>
  <si>
    <t>900782661-8</t>
  </si>
  <si>
    <t>DISTRIBUIDORA LAMINAS S.A.S.</t>
  </si>
  <si>
    <t>89033302303</t>
  </si>
  <si>
    <t>SIDOC S.A.S."CALI TIENDA LOPEZ"</t>
  </si>
  <si>
    <t>90104160000</t>
  </si>
  <si>
    <t>901041600-3</t>
  </si>
  <si>
    <t>LAMINAS Y PERFILES JJ S.A.S</t>
  </si>
  <si>
    <t>90036184800</t>
  </si>
  <si>
    <t>900361848-1</t>
  </si>
  <si>
    <t>INGETRANS WS S.A.S.</t>
  </si>
  <si>
    <t>AIPE - HUILA</t>
  </si>
  <si>
    <t>7986477000</t>
  </si>
  <si>
    <t>79864770-8</t>
  </si>
  <si>
    <t>MONTAÑEZ SILVA WILSON ANDRES/FERRETERIA EL DIAMANTE EL PUNTO FIJO</t>
  </si>
  <si>
    <t>5164671500</t>
  </si>
  <si>
    <t>51646715-6</t>
  </si>
  <si>
    <t>ORTEGON MYRIAM/FERRETERIA MUNDIAL M.O</t>
  </si>
  <si>
    <t>NILO - CUNDINAMARCA</t>
  </si>
  <si>
    <t>1718088400</t>
  </si>
  <si>
    <t>17180884-7</t>
  </si>
  <si>
    <t>MELO SANABRIA SIXTO ANTONIO/FERRETERIA MONSERRATE</t>
  </si>
  <si>
    <t>MACHETA - CUNDINAMARCA</t>
  </si>
  <si>
    <t>83000622400</t>
  </si>
  <si>
    <t>830006224-1</t>
  </si>
  <si>
    <t>ENTREPISOS Y MODULARES S.A.S</t>
  </si>
  <si>
    <t>90120435500</t>
  </si>
  <si>
    <t>901204355-4</t>
  </si>
  <si>
    <t>FERRECONSTRUCCIONES AMBIENTALES LA ROCA S.A.S.</t>
  </si>
  <si>
    <t>MONTERREY - CASANARE</t>
  </si>
  <si>
    <t>WILSON SEPULVEDA - CASANARE</t>
  </si>
  <si>
    <t>81101242715</t>
  </si>
  <si>
    <t>FERRETERIA LOS FIERROS S.A.S "LA CEJA"</t>
  </si>
  <si>
    <t>LA CEJA - ANTIOQUIA</t>
  </si>
  <si>
    <t>2882100500</t>
  </si>
  <si>
    <t>28821005</t>
  </si>
  <si>
    <t>VELOZA NINI/FERREPINTURAS LIBANO</t>
  </si>
  <si>
    <t>90105810900</t>
  </si>
  <si>
    <t>901058109-2</t>
  </si>
  <si>
    <t>PINTUMAKROS S.A.S.</t>
  </si>
  <si>
    <t>9445723100</t>
  </si>
  <si>
    <t>94457231-9</t>
  </si>
  <si>
    <t>GOLONDRINO VALENZUELA ALVARO /  METRO PINTURAS FERRETERIA</t>
  </si>
  <si>
    <t>80021649923</t>
  </si>
  <si>
    <t>AGOFER S.A.S - MEDELLIN</t>
  </si>
  <si>
    <t>90035501000</t>
  </si>
  <si>
    <t>900355010-2</t>
  </si>
  <si>
    <t>OBRAJE S.A.S</t>
  </si>
  <si>
    <t>1916978400</t>
  </si>
  <si>
    <t>19169784-1</t>
  </si>
  <si>
    <t>PIÑEROS MARTIN ERNESTO/PINTURAS JHUDANNY</t>
  </si>
  <si>
    <t>NORMA AGUILAR - LOCALIDAD USME</t>
  </si>
  <si>
    <t>1384697300</t>
  </si>
  <si>
    <t>13846973-1</t>
  </si>
  <si>
    <t>GALVIS ANAYA JUAN DE JESUS/AGROTODO</t>
  </si>
  <si>
    <t>90109720100</t>
  </si>
  <si>
    <t>901097201-9</t>
  </si>
  <si>
    <t>COMERCIALIZADORA DE TUBOS S.A.S</t>
  </si>
  <si>
    <t>FLORIDABLANCA - SANTANDER</t>
  </si>
  <si>
    <t>90149464500</t>
  </si>
  <si>
    <t>901494645-8</t>
  </si>
  <si>
    <t>QUE FERRETERIA S.A.S.</t>
  </si>
  <si>
    <t>EL CERRITO - VALLE DEL CAUCA</t>
  </si>
  <si>
    <t>2830861400</t>
  </si>
  <si>
    <t>28308614-8</t>
  </si>
  <si>
    <t>GONZALEZ DIAZ NYDIA CECILIA/DISTRIHIERROS MG</t>
  </si>
  <si>
    <t>90113998400</t>
  </si>
  <si>
    <t>901139984-9</t>
  </si>
  <si>
    <t>FERRECONSTRUCTOR D&amp;F SAS</t>
  </si>
  <si>
    <t>80029477502</t>
  </si>
  <si>
    <t>G Y J  FERRETERIAS S.A.-MIROLINDO</t>
  </si>
  <si>
    <t>2650906800</t>
  </si>
  <si>
    <t>26509068-1</t>
  </si>
  <si>
    <t>PERDOMO DE VIEDA MARIA ESTHER/FERRETERIA VIEDA PERDOMO</t>
  </si>
  <si>
    <t>GUADALUPE - HUILA</t>
  </si>
  <si>
    <t>90156307700</t>
  </si>
  <si>
    <t>901563077-0</t>
  </si>
  <si>
    <t>ORO GRIS FERRETERIA S.A.S</t>
  </si>
  <si>
    <t>89020889000</t>
  </si>
  <si>
    <t>890208890-2</t>
  </si>
  <si>
    <t>ALDIA S.A.S.</t>
  </si>
  <si>
    <t>1927087000</t>
  </si>
  <si>
    <t>19270870-8</t>
  </si>
  <si>
    <t>WILCHES ANZOLA LUIS ANTONIO/FERRETERIA M. CHACON</t>
  </si>
  <si>
    <t>VELEZ - SANTANDER</t>
  </si>
  <si>
    <t>7418882600</t>
  </si>
  <si>
    <t>74188826-3</t>
  </si>
  <si>
    <t>BOHORQUEZ GALVIS ISNARDO ACESTO/FERREMATERIALES EL PROYECTO</t>
  </si>
  <si>
    <t>81101242703</t>
  </si>
  <si>
    <t>FERRETERIA LOS FIERROS S.A.S"SUCURSAL CARIBE"</t>
  </si>
  <si>
    <t>108425578200</t>
  </si>
  <si>
    <t>1084255782-2</t>
  </si>
  <si>
    <t>CAMPOS CAICEDO MARLY JANETH / FERRETERIA CENTRAL C Y M</t>
  </si>
  <si>
    <t>ISNOS - HUILA</t>
  </si>
  <si>
    <t>80021649920</t>
  </si>
  <si>
    <t>AGOFER S.A.S -CALI CLL 34</t>
  </si>
  <si>
    <t>1222686400</t>
  </si>
  <si>
    <t>12226864-1</t>
  </si>
  <si>
    <t>CALDERON GONZALEZ RODOLFO / MISCELANEA Y FERRETERIA TECNIPINTURAS</t>
  </si>
  <si>
    <t>7617540800</t>
  </si>
  <si>
    <t>76175408-9</t>
  </si>
  <si>
    <t>ALARCON RIASCOS WILMER / FERROMETALICAS W</t>
  </si>
  <si>
    <t>TIMBIO - CAUCA</t>
  </si>
  <si>
    <t>90090508001</t>
  </si>
  <si>
    <t>900905080-9</t>
  </si>
  <si>
    <t>HIERROS H.D DEL NORTE S.A.S. "SUC LA DORADA"</t>
  </si>
  <si>
    <t>90088047000</t>
  </si>
  <si>
    <t>900880470-8</t>
  </si>
  <si>
    <t>ELMAN DE LAS PINTURAS S.A.S.</t>
  </si>
  <si>
    <t>EL ROSAL - CUNDINAMARCA</t>
  </si>
  <si>
    <t>1735196301</t>
  </si>
  <si>
    <t>MOSQUERA GONZALEZ JAIRO/DEPOSITO Y FERRETERIA LA LEY DEL MONTE "ACACIAS"</t>
  </si>
  <si>
    <t>ACACIAS- META</t>
  </si>
  <si>
    <t>80021649903</t>
  </si>
  <si>
    <t>AGOFER S.A.S -ARMENIA</t>
  </si>
  <si>
    <t>90058754000</t>
  </si>
  <si>
    <t>900587540-1</t>
  </si>
  <si>
    <t>FERRETERIA Y PERFILERIA HUNZA S.A.S.</t>
  </si>
  <si>
    <t>90092873700</t>
  </si>
  <si>
    <t>900928737-8</t>
  </si>
  <si>
    <t>VALVESOLUTIONS S.A.S</t>
  </si>
  <si>
    <t>86000522400</t>
  </si>
  <si>
    <t>860005224-6</t>
  </si>
  <si>
    <t>BAVARIA &amp;  CIA  S.C.A</t>
  </si>
  <si>
    <t>1714363200</t>
  </si>
  <si>
    <t>17143632-0</t>
  </si>
  <si>
    <t>REYES BONILLA DAVID/PINTURAS DON DAVID</t>
  </si>
  <si>
    <t>9135163700</t>
  </si>
  <si>
    <t>91351637</t>
  </si>
  <si>
    <t>RINCON GALVIS JUAN DE JESUS/HIERROS J R LA 11</t>
  </si>
  <si>
    <t>107360235400</t>
  </si>
  <si>
    <t>1073602354-2</t>
  </si>
  <si>
    <t>CHAVEZ GARCIA OLGA CRISTINA / FERREPINTURAS Y VARIEDAD</t>
  </si>
  <si>
    <t>2083037500</t>
  </si>
  <si>
    <t>20830375-0</t>
  </si>
  <si>
    <t>MURCIA PEREZ ADRIANA MARCELA / EL STAND DEL COLOR</t>
  </si>
  <si>
    <t>HONDA - TOLIMA</t>
  </si>
  <si>
    <t>2911108000</t>
  </si>
  <si>
    <t>29111080-1</t>
  </si>
  <si>
    <t>FERRETERIA COLOR CALI</t>
  </si>
  <si>
    <t>90144414600</t>
  </si>
  <si>
    <t>901444146-0</t>
  </si>
  <si>
    <t>MULTIACEROS B&amp;M SAS</t>
  </si>
  <si>
    <t>90118615300</t>
  </si>
  <si>
    <t>901186153-5</t>
  </si>
  <si>
    <t>AGROCENTRO RIVERA S.A.S</t>
  </si>
  <si>
    <t>RIVERA - HUILA</t>
  </si>
  <si>
    <t>90048158600</t>
  </si>
  <si>
    <t>900481586-1</t>
  </si>
  <si>
    <t>CORLANC S.A.S.</t>
  </si>
  <si>
    <t>SABANETA - ANTIOQUIA</t>
  </si>
  <si>
    <t>80021649921</t>
  </si>
  <si>
    <t>AGOFER S.A.S - VALLEDUPAR PRINCIPAL</t>
  </si>
  <si>
    <t>5186700300</t>
  </si>
  <si>
    <t>51867002-1</t>
  </si>
  <si>
    <t>CAMACHO JURADO NUBIA/CENTRO DE ACOPIO EL REY</t>
  </si>
  <si>
    <t>730905800</t>
  </si>
  <si>
    <t>7309058-0</t>
  </si>
  <si>
    <t>RUIZ CARLOS JULIO/FERRETERIA EL FERROL</t>
  </si>
  <si>
    <t>90031242000</t>
  </si>
  <si>
    <t>900312420-4</t>
  </si>
  <si>
    <t>FERRETERIA FERRE UNO S.A.S</t>
  </si>
  <si>
    <t>90042196300</t>
  </si>
  <si>
    <t>900421963-9</t>
  </si>
  <si>
    <t>HIERROS Y LAMINAS LA 20 SAS</t>
  </si>
  <si>
    <t>90128947200</t>
  </si>
  <si>
    <t>901289472-2</t>
  </si>
  <si>
    <t>ALMACEN Y FERRETRIA EL TORNILLO S.A.S. ZOMAC</t>
  </si>
  <si>
    <t>89033302307</t>
  </si>
  <si>
    <t>SIDOC S.A.S. "MOJICA"</t>
  </si>
  <si>
    <t>7947297501</t>
  </si>
  <si>
    <t>NIÑO BASTIDAS JOSE ISIDRO/DISTRICOLORES "SUCURSAL II"</t>
  </si>
  <si>
    <t>90127021000</t>
  </si>
  <si>
    <t>901270210-6</t>
  </si>
  <si>
    <t>FERRETERIA DON CARLOS TIMBIO SAS</t>
  </si>
  <si>
    <t>80021649912</t>
  </si>
  <si>
    <t>AGOFER S.A.S -BMANGA 2</t>
  </si>
  <si>
    <t>83012495600</t>
  </si>
  <si>
    <t>830124956-1</t>
  </si>
  <si>
    <t>CONSTRUENCOFRADOS Y EQUIPOS S,A.S"BODEGA PRINCIPAL"</t>
  </si>
  <si>
    <t>90152638100</t>
  </si>
  <si>
    <t>901526381-8</t>
  </si>
  <si>
    <t>SPARSA SAS</t>
  </si>
  <si>
    <t>MOSTRADOR</t>
  </si>
  <si>
    <t>3616999900</t>
  </si>
  <si>
    <t>36169999</t>
  </si>
  <si>
    <t>ORTEGA QUINTERO MARIBETH/FERRETERIA CENTRAL DEL CONSTRUCTOR</t>
  </si>
  <si>
    <t>5514390500</t>
  </si>
  <si>
    <t>55143905-4</t>
  </si>
  <si>
    <t>PALACIOS ENCISO MARTHA CECILIA/MAKROLAMINAS</t>
  </si>
  <si>
    <t>90190709900</t>
  </si>
  <si>
    <t>901907099-0</t>
  </si>
  <si>
    <t>DEPÓSITO Y FERRETERÍA A.T. SAN CIPRIANO S.A.S</t>
  </si>
  <si>
    <t>90071402300</t>
  </si>
  <si>
    <t>900714023-9</t>
  </si>
  <si>
    <t>PINTUOMEGA S.A.S.</t>
  </si>
  <si>
    <t>90019387900</t>
  </si>
  <si>
    <t>900193879-9</t>
  </si>
  <si>
    <t>CONSTRUIMOS DEL HUILA FERRETERIA</t>
  </si>
  <si>
    <t>7923774100</t>
  </si>
  <si>
    <t>79237741-5</t>
  </si>
  <si>
    <t>CORONEL CAMARGO PEDRO ANTONIO/IMPORTFERRETERIA</t>
  </si>
  <si>
    <t>1054890200</t>
  </si>
  <si>
    <t>10548902-8</t>
  </si>
  <si>
    <t>ANACONA PIAMBA PLINIO/MOTO Y BICICLETAS LA 13</t>
  </si>
  <si>
    <t>90070342800</t>
  </si>
  <si>
    <t>900703428-0</t>
  </si>
  <si>
    <t>FERREMETALICAS H&amp;E S.A.S.</t>
  </si>
  <si>
    <t>ALEJANDRO CARANTON -LOCALIDAD TUNJUELITO</t>
  </si>
  <si>
    <t>1625139200</t>
  </si>
  <si>
    <t>16251392-7</t>
  </si>
  <si>
    <t>HOLGUIN VELASCO MARINO/PINTUFIBRAS</t>
  </si>
  <si>
    <t>89033302305</t>
  </si>
  <si>
    <t>SIDOC S.A.S." PALMIRA"</t>
  </si>
  <si>
    <t>86005697108</t>
  </si>
  <si>
    <t>LA CAMPANA SERVICIOS DE ACERO S A "PALOQUEMAO"</t>
  </si>
  <si>
    <t>101848113500</t>
  </si>
  <si>
    <t>1018481135-5</t>
  </si>
  <si>
    <t>VILLAMARIN AVILA JUAN CARLOS /FERRETERIA SAVY</t>
  </si>
  <si>
    <t>90145232600</t>
  </si>
  <si>
    <t>901452326-3</t>
  </si>
  <si>
    <t>EL PUNTO DE LAS TEJAS S.A.S. ZOMAC</t>
  </si>
  <si>
    <t>MOCOA - PUTUMAYO</t>
  </si>
  <si>
    <t>JORGE CASTRO - PUTUMAYO</t>
  </si>
  <si>
    <t>1053406200</t>
  </si>
  <si>
    <t>10534062-5</t>
  </si>
  <si>
    <t>PINZON SALAZAR GUILLERMO/ALMACEN COMBI YA</t>
  </si>
  <si>
    <t>722393200</t>
  </si>
  <si>
    <t>7223932-2</t>
  </si>
  <si>
    <t>NIÑO SANTAMARIA EDGAR/FERRETERIA TOTAL</t>
  </si>
  <si>
    <t>90169035700</t>
  </si>
  <si>
    <t>901690357-1</t>
  </si>
  <si>
    <t>TALLER INALMET S.A.S</t>
  </si>
  <si>
    <t>7432812600</t>
  </si>
  <si>
    <t>74328126-8</t>
  </si>
  <si>
    <t>PINZON REYES OLINTO / TALLER METALICAS PINZON</t>
  </si>
  <si>
    <t>SANTANA - BOYACA</t>
  </si>
  <si>
    <t>3551282400</t>
  </si>
  <si>
    <t>35512824-7</t>
  </si>
  <si>
    <t>CEPEDA RINCON ANA JULIETA/ALMACEN DE PINTURAS PUNTO COLOR</t>
  </si>
  <si>
    <t>90130601100</t>
  </si>
  <si>
    <t>901306011-4</t>
  </si>
  <si>
    <t>VILLA DEL GRES S.A.S</t>
  </si>
  <si>
    <t>81101242701</t>
  </si>
  <si>
    <t>FERRETERIA LOS FIERROS S.A.S "CARABOBO"</t>
  </si>
  <si>
    <t>90000947000</t>
  </si>
  <si>
    <t>900009470-4</t>
  </si>
  <si>
    <t>COMPAÑIA INGENIERIA LATINOAMERICANA CIL LTDA</t>
  </si>
  <si>
    <t>2657206600</t>
  </si>
  <si>
    <t>26572066-4</t>
  </si>
  <si>
    <t>CUELLAR MENESES NORALBA / FERREAGRO LA REBAJA</t>
  </si>
  <si>
    <t>SALADOBLANCO - HUILA</t>
  </si>
  <si>
    <t>8027465700</t>
  </si>
  <si>
    <t>80274657-5</t>
  </si>
  <si>
    <t>CASTIBLANCO CUARTAS GUILLERMO/COOCENTRAL DE PINTURAS</t>
  </si>
  <si>
    <t>90124538200</t>
  </si>
  <si>
    <t>901245382-9</t>
  </si>
  <si>
    <t>PINTURAS Y MEZCLAS LA PAZ S.A.S.</t>
  </si>
  <si>
    <t>ZIPAQUIRA - CUNDINAMARCA</t>
  </si>
  <si>
    <t>9337442000</t>
  </si>
  <si>
    <t>93374420-3</t>
  </si>
  <si>
    <t>GOMEZ GUZMAN FREDDY GIOVANNY/MANGUECOLOR</t>
  </si>
  <si>
    <t>PURIFICACION - TOLIMA</t>
  </si>
  <si>
    <t>90147520300</t>
  </si>
  <si>
    <t>901475203-5</t>
  </si>
  <si>
    <t>FERRETERIA LA VELEÑITA AL S.A.S.</t>
  </si>
  <si>
    <t>90115386800</t>
  </si>
  <si>
    <t>901153868-0</t>
  </si>
  <si>
    <t>MATERIALES ALVAREZ CONSTRUCCIONES S.A.S. "SUC. AGUACHICA"</t>
  </si>
  <si>
    <t>1383294400</t>
  </si>
  <si>
    <t>13832944-5</t>
  </si>
  <si>
    <t>HERNANDEZ MORALES JOSE NESTOR /FERRETERIA LAMINAS Y HIERROS</t>
  </si>
  <si>
    <t>1152218700</t>
  </si>
  <si>
    <t>11522187-9</t>
  </si>
  <si>
    <t>FAJARDO HUGO/DEPOSITO DE MATERIALES EL CONSTRUCTOR-PACHO</t>
  </si>
  <si>
    <t>250007700</t>
  </si>
  <si>
    <t>25000770-4</t>
  </si>
  <si>
    <t>GIRALDO BURITICA YAMILET/ FERREVARIOS JEWI</t>
  </si>
  <si>
    <t>3765516800</t>
  </si>
  <si>
    <t>37655168-4</t>
  </si>
  <si>
    <t>FERREIRA ESTUPIÑAN MARLENE/FERRELECTRICO Y VARIEDADES MARVIT</t>
  </si>
  <si>
    <t>SAN VICENTE DE CHUCURI - SANTA</t>
  </si>
  <si>
    <t>81101242708</t>
  </si>
  <si>
    <t>FERRETERIA LOS FIERROS S.A.S "ENVIGADO"</t>
  </si>
  <si>
    <t>ENVIGADO - ANTIOQUIA</t>
  </si>
  <si>
    <t>90153159000</t>
  </si>
  <si>
    <t>901531590-0</t>
  </si>
  <si>
    <t>JIMENEZ LEON &amp; COMPAÑIA S.A.S.</t>
  </si>
  <si>
    <t>86006799804</t>
  </si>
  <si>
    <t>860067998-3</t>
  </si>
  <si>
    <t>MULTIALAMBRES S A S" POPAYAN "</t>
  </si>
  <si>
    <t>80017895600</t>
  </si>
  <si>
    <t>800178956-2</t>
  </si>
  <si>
    <t>DEPOSITO LA CONCORDIA LTDA</t>
  </si>
  <si>
    <t>NORMA AGUILAR - LOCALIDAD CANDELARIA</t>
  </si>
  <si>
    <t>83200233500</t>
  </si>
  <si>
    <t>832002335-1</t>
  </si>
  <si>
    <t>DEPOSITO Y FERRETERIA LA CASA DEL ARQUITECTO LTDA</t>
  </si>
  <si>
    <t>SAN FRANCISCO - CUNDINAMARCA</t>
  </si>
  <si>
    <t>90020952300</t>
  </si>
  <si>
    <t>900209523-4</t>
  </si>
  <si>
    <t>HIERROS Y ACEROS TOLIMA S.A.</t>
  </si>
  <si>
    <t>730907100</t>
  </si>
  <si>
    <t>7309061-3</t>
  </si>
  <si>
    <t>SANCHEZ SANCHEZ WILSON ORLANDO/SERVIMEZCLAS-CHIQUINQUIRA</t>
  </si>
  <si>
    <t>80021649914</t>
  </si>
  <si>
    <t>AGOFER S.A.S -NEIVA</t>
  </si>
  <si>
    <t>1912450801</t>
  </si>
  <si>
    <t>19124508-1</t>
  </si>
  <si>
    <t>NIÑO PEDRO JAIRO/FERRETERIA NIÑO "SUC PACHO"</t>
  </si>
  <si>
    <t>90086569500</t>
  </si>
  <si>
    <t>900865695-5</t>
  </si>
  <si>
    <t>FERRECORTES S.A.S.</t>
  </si>
  <si>
    <t>90044847004</t>
  </si>
  <si>
    <t>HIERROS DE OCCIDENTE FERRETERIAS S.A.S "QUIMBAYA"</t>
  </si>
  <si>
    <t>QUIMBAYA - QUINDIO</t>
  </si>
  <si>
    <t>86051813100</t>
  </si>
  <si>
    <t>860518131-1</t>
  </si>
  <si>
    <t>ANGLO PHARMA S.A.</t>
  </si>
  <si>
    <t>90136058300</t>
  </si>
  <si>
    <t>901360583-4</t>
  </si>
  <si>
    <t>FERROLAM EL VALLADO S.A.S.</t>
  </si>
  <si>
    <t>INACTIVO</t>
  </si>
  <si>
    <t>100051578500</t>
  </si>
  <si>
    <t>1000515785-5</t>
  </si>
  <si>
    <t>CASTILLO GONZALEZ CAMILO ANDRES / PINTURAS FULL COLOR</t>
  </si>
  <si>
    <t>DIANA ARENAS - LOCALIDAD FONTIBON</t>
  </si>
  <si>
    <t>90146227000</t>
  </si>
  <si>
    <t>901462270-2</t>
  </si>
  <si>
    <t>CONSTRUCCIONES ABRAHAM S.A.S</t>
  </si>
  <si>
    <t>PUERTO GAITAN - META</t>
  </si>
  <si>
    <t>1223219700</t>
  </si>
  <si>
    <t>12232197-1</t>
  </si>
  <si>
    <t>BOLAÑOS IMBACHI OMAR/EL PROVEEDOR FERRETERO DEL HUILA</t>
  </si>
  <si>
    <t>8046833700</t>
  </si>
  <si>
    <t>80468337-7</t>
  </si>
  <si>
    <t>HOLGUIN BARRANTES JESUS ANTONIO /  FERRE HIERROS HOLGUIN</t>
  </si>
  <si>
    <t>LA VEGA - CUNDINAMARCA</t>
  </si>
  <si>
    <t>2879777400</t>
  </si>
  <si>
    <t>28797774-4</t>
  </si>
  <si>
    <t>NAVARRO TORRES ELIZABETH/PINTAMASS</t>
  </si>
  <si>
    <t>LERIDA - TOLIMA</t>
  </si>
  <si>
    <t>112186435200</t>
  </si>
  <si>
    <t>1121864352-5</t>
  </si>
  <si>
    <t>MARROQUIN GONZALEZ LEONARDO ALFONSO/HIERROS DEL CASANARE</t>
  </si>
  <si>
    <t>VILLANUEVA  - CASANARE</t>
  </si>
  <si>
    <t>1424127600</t>
  </si>
  <si>
    <t>14198161-9</t>
  </si>
  <si>
    <t>PEREZ GARZON TOBIAS/LA SINFONIA DE LAS PINTURAS</t>
  </si>
  <si>
    <t>2883713600</t>
  </si>
  <si>
    <t>28837136-8</t>
  </si>
  <si>
    <t>SANCHEZ FANNY/PINTURAS EL PROFESIONAL</t>
  </si>
  <si>
    <t>86006799806</t>
  </si>
  <si>
    <t>MULTIALAMBRES S A S " PALOQUEMAO "</t>
  </si>
  <si>
    <t>1423681600</t>
  </si>
  <si>
    <t>14236816-8</t>
  </si>
  <si>
    <t>OLAYA CHARRY MARTIN/FERRETERIA OLAYA</t>
  </si>
  <si>
    <t>5237681800</t>
  </si>
  <si>
    <t>52376818-0</t>
  </si>
  <si>
    <t>GARZON ORDOÑEZ  LUZ MERY / PERFIHIERROS LUZ</t>
  </si>
  <si>
    <t>TENA - CUNDINAMARCA</t>
  </si>
  <si>
    <t>90166357300</t>
  </si>
  <si>
    <t>901663573-1</t>
  </si>
  <si>
    <t>INVERSIONES RIBER SALAMANCA SAS</t>
  </si>
  <si>
    <t>90142405800</t>
  </si>
  <si>
    <t>901424058-5</t>
  </si>
  <si>
    <t>FERRO METALES MARTINEZ S.A.S.</t>
  </si>
  <si>
    <t>80012119901</t>
  </si>
  <si>
    <t>HIERROS HB S.A - ITAGUI ANTIOQUIA</t>
  </si>
  <si>
    <t>80013042639</t>
  </si>
  <si>
    <t>G Y J  FERRETERIAS S.A. - CALI</t>
  </si>
  <si>
    <t>108018576400</t>
  </si>
  <si>
    <t>1080185764-4</t>
  </si>
  <si>
    <t>SIERRA ROMERO ADRIANA</t>
  </si>
  <si>
    <t>80013042616</t>
  </si>
  <si>
    <t>G Y J  FERRETERIAS S.A. - BELLO ANTIOQUIA</t>
  </si>
  <si>
    <t>90110250800</t>
  </si>
  <si>
    <t>901102508-6</t>
  </si>
  <si>
    <t>FERRETERIA EL MAESTRO AGUA DE DIOS S.A.S.</t>
  </si>
  <si>
    <t>AGUA DE DIOS - CUNDINAMARCA</t>
  </si>
  <si>
    <t>80024569500</t>
  </si>
  <si>
    <t>800245695-2</t>
  </si>
  <si>
    <t>EL FRUTO DE LA VIDA LTDA</t>
  </si>
  <si>
    <t>SAN LUIS DE CUBARRAL - META</t>
  </si>
  <si>
    <t>8600989600</t>
  </si>
  <si>
    <t>86009896-6</t>
  </si>
  <si>
    <t>MORENO RUBIANO JHON FREDY / DEPOSITO Y FERRETERIA EL OBRERO</t>
  </si>
  <si>
    <t>86000211900</t>
  </si>
  <si>
    <t>860002119-7</t>
  </si>
  <si>
    <t>HUNTER DOUGLAS DE COLOMBIA S.A.</t>
  </si>
  <si>
    <t>TENJO - CUNDINAMARCA</t>
  </si>
  <si>
    <t>86005697113</t>
  </si>
  <si>
    <t>LA CAMPANA SERVICIOS DE ACERO S A "VILLAVICENCIO"</t>
  </si>
  <si>
    <t>718554700</t>
  </si>
  <si>
    <t>7185547-6</t>
  </si>
  <si>
    <t>DESALVADOR VARGAS EDWIN  GIOVANNI / MULTICOLORES DE LA SABANA</t>
  </si>
  <si>
    <t>90024939700</t>
  </si>
  <si>
    <t>900249397-3</t>
  </si>
  <si>
    <t>TERRAVILLA S.A.S.</t>
  </si>
  <si>
    <t>90168684000</t>
  </si>
  <si>
    <t>901686840-2</t>
  </si>
  <si>
    <t>FERRETERIA VICU S A S</t>
  </si>
  <si>
    <t>107565329200</t>
  </si>
  <si>
    <t>23799909-2</t>
  </si>
  <si>
    <t>RIVEROS BLANCA MARLENY/LA CATEDRAL DEL COLOR</t>
  </si>
  <si>
    <t>80012119904</t>
  </si>
  <si>
    <t>HIERROS HB S.A - RIONEGRO</t>
  </si>
  <si>
    <t>2063158900</t>
  </si>
  <si>
    <t>20631589-6</t>
  </si>
  <si>
    <t>ANGEL ESTHER/DEPOSITO DEL ORIENTE EJAR</t>
  </si>
  <si>
    <t>ALEJANDRO CARANTON -SOACHA - SIBATE</t>
  </si>
  <si>
    <t>90173221500</t>
  </si>
  <si>
    <t>901732215-6</t>
  </si>
  <si>
    <t>TUBOS Y LAMINAS LEBRIJA S.A.S.</t>
  </si>
  <si>
    <t>LEBRIJA - SANTANDER</t>
  </si>
  <si>
    <t>90090359700</t>
  </si>
  <si>
    <t>900903597-5</t>
  </si>
  <si>
    <t>LA FERRETERIA HERRAMIENTAS Y SUMINISTROS S.A.S.</t>
  </si>
  <si>
    <t>90145381400</t>
  </si>
  <si>
    <t>901453814-0</t>
  </si>
  <si>
    <t>TORNILLOS Y CONSTRUCCION S.A.S</t>
  </si>
  <si>
    <t>19148489</t>
  </si>
  <si>
    <t>LOPEZ SANCHEZ JOSE LAZARO/FERREPINTURAS LOPEZ</t>
  </si>
  <si>
    <t>90147917700</t>
  </si>
  <si>
    <t>901479177-1</t>
  </si>
  <si>
    <t>FERRETERIA SAN PEDRO L&amp;L SAS</t>
  </si>
  <si>
    <t>MADRID - CUNDINAMARCA</t>
  </si>
  <si>
    <t>8046974600</t>
  </si>
  <si>
    <t>80469746-0</t>
  </si>
  <si>
    <t>LEMUS QUIROGA HUGO/FERRETERIA METRO COLINA</t>
  </si>
  <si>
    <t>8036618100</t>
  </si>
  <si>
    <t>80366181-7</t>
  </si>
  <si>
    <t>FARFAN ROJAS JORGE ENRIQUE/EL PROVEEDOR GACHANCIPA</t>
  </si>
  <si>
    <t>GACHANCIPA - CUNDINAMARCA</t>
  </si>
  <si>
    <t>90150777000</t>
  </si>
  <si>
    <t>901507770-9</t>
  </si>
  <si>
    <t>DOBLADORA Y CORTADORA NUEVA MACGREGORY SAS</t>
  </si>
  <si>
    <t>80023741201</t>
  </si>
  <si>
    <t>800237412-1</t>
  </si>
  <si>
    <t>FERRICENTROS S.A.S "BODEGA"</t>
  </si>
  <si>
    <t>DIANA ARENAS - LOCALIDAD CHAPINERO</t>
  </si>
  <si>
    <t>82500060300</t>
  </si>
  <si>
    <t>825000603-4</t>
  </si>
  <si>
    <t>DISTRIMAT E.U.</t>
  </si>
  <si>
    <t>BARRANCAS - LA GUAJIRA</t>
  </si>
  <si>
    <t>121473100</t>
  </si>
  <si>
    <t>12142731-1</t>
  </si>
  <si>
    <t>JIMENEZ SAMBONY MANUEL/FERRETERIA IDEAL</t>
  </si>
  <si>
    <t>90020489400</t>
  </si>
  <si>
    <t>900204894-9</t>
  </si>
  <si>
    <t>FERRI OLIVER LTDA</t>
  </si>
  <si>
    <t>6033564800</t>
  </si>
  <si>
    <t>60335648-9</t>
  </si>
  <si>
    <t>ARDILA CASTRO MERY / HIERROS DEL NORTE</t>
  </si>
  <si>
    <t>90168798800</t>
  </si>
  <si>
    <t>901687988-8</t>
  </si>
  <si>
    <t>TECNIMETALICAS BEETHOWEN SAS</t>
  </si>
  <si>
    <t>90013719200</t>
  </si>
  <si>
    <t>900137192-1</t>
  </si>
  <si>
    <t>EL PERFIL E U</t>
  </si>
  <si>
    <t>90125680300</t>
  </si>
  <si>
    <t>901256803-5</t>
  </si>
  <si>
    <t>INDUSTRIAS EL MINERO BG S.A.S</t>
  </si>
  <si>
    <t>90068354900</t>
  </si>
  <si>
    <t>CEMCO DE COLOMBIA S.A.S. BIC "SOGAMOSO"</t>
  </si>
  <si>
    <t>7633179200</t>
  </si>
  <si>
    <t>76331792-1</t>
  </si>
  <si>
    <t>CERON GALINDEZ WILMER ORLANDO / CORTULAMINAS</t>
  </si>
  <si>
    <t>3879468100</t>
  </si>
  <si>
    <t>38794681-0</t>
  </si>
  <si>
    <t>PINEDA MARTINEZ LUZ MIRYAM /FERREMEJIA JR</t>
  </si>
  <si>
    <t>MARTIN BALLESTEROS - VALLE DEL CAUCA</t>
  </si>
  <si>
    <t>8041983800</t>
  </si>
  <si>
    <t>80419838-6</t>
  </si>
  <si>
    <t>TORRES GUTIERREZ JOSE ANTONIO/DEPOSITO Y FERRETERIA SAN CIPRIANO</t>
  </si>
  <si>
    <t>81101242710</t>
  </si>
  <si>
    <t>FERRETERIA LOS FIERROS S.A.S "COPACABANA"</t>
  </si>
  <si>
    <t>COPACABANA - ANTIOQUIA</t>
  </si>
  <si>
    <t>80013042621</t>
  </si>
  <si>
    <t>G Y J  FERRETERIAS S.A. - CARTAGO</t>
  </si>
  <si>
    <t>5172369700</t>
  </si>
  <si>
    <t>51723697-1</t>
  </si>
  <si>
    <t>ARCHILA SARMIENTO ANA LUCINDA/FERRETERIA VARGAS CENTRO</t>
  </si>
  <si>
    <t>9249596900</t>
  </si>
  <si>
    <t>92495969-1</t>
  </si>
  <si>
    <t>OLMOS NAVARRO ARGEMIRO LUIS/ALMACEN PINTUMEZCLA-SINCELEJO</t>
  </si>
  <si>
    <t>107786415700</t>
  </si>
  <si>
    <t>1077864157-6</t>
  </si>
  <si>
    <t>MIRANDA CASTAÑEDA ANGELA ROCIO / EL PINTOR DE GARZON</t>
  </si>
  <si>
    <t>730647500</t>
  </si>
  <si>
    <t>7306475-5</t>
  </si>
  <si>
    <t>CASTIBLANCO RUSSI JAIME ARTURO / FERRETERIA EL SURTIDOR</t>
  </si>
  <si>
    <t>1561028300</t>
  </si>
  <si>
    <t>15610283-1</t>
  </si>
  <si>
    <t>GRANDA ORREGO JESUS OVIDIO /  FERRETERIA EL MARTILLO</t>
  </si>
  <si>
    <t>8023416400</t>
  </si>
  <si>
    <t>80234164-5</t>
  </si>
  <si>
    <t>REYES SANTOS GUSTAVO DE JESUS/DIST. DE PINTURAS EL GRAN MAYORISTA</t>
  </si>
  <si>
    <t>4039901000</t>
  </si>
  <si>
    <t>40399010-2</t>
  </si>
  <si>
    <t>RIVERA PIÑEROS NANCY/ALMACEN Y DEPOSITO EL GIRASOL DEL MITU</t>
  </si>
  <si>
    <t>80013042612</t>
  </si>
  <si>
    <t>G Y J  FERRETERIAS S.A.  - NEIVA</t>
  </si>
  <si>
    <t>2848561100</t>
  </si>
  <si>
    <t>28485611-3</t>
  </si>
  <si>
    <t>SAAVEDRA SEDANO MARIA DEL CARMEN /DEPOSITO Y FERRETERIA EL JORDAN</t>
  </si>
  <si>
    <t>86006799800</t>
  </si>
  <si>
    <t>MULTIALAMBRES S A S " COTA "</t>
  </si>
  <si>
    <t>80013042610</t>
  </si>
  <si>
    <t>G Y J  FERRETERIAS S.A. - VILLAVICENCIO</t>
  </si>
  <si>
    <t>90053930300</t>
  </si>
  <si>
    <t>900539303-6</t>
  </si>
  <si>
    <t>FERROHIDRAULICAS T &amp; C S.A.S</t>
  </si>
  <si>
    <t>90115386802</t>
  </si>
  <si>
    <t>MATERIALES ALVAREZ CONSTRUCCIONES S.A.S. "SUC VALLEDUPAR"</t>
  </si>
  <si>
    <t>610209500</t>
  </si>
  <si>
    <t>6102095-1</t>
  </si>
  <si>
    <t>DIAZ REBOLLEDO MAURICIO FERNANDO / /DISTRIBUCIONES PINTUMOOR DEL 7 DE AGOSTO</t>
  </si>
  <si>
    <t>2362004200</t>
  </si>
  <si>
    <t>23620042-3</t>
  </si>
  <si>
    <t>RODRIGUEZ LUZ MARINA/FERRETERIA MARCA</t>
  </si>
  <si>
    <t>NATAGAIMA - TOLIMA</t>
  </si>
  <si>
    <t>101843149800</t>
  </si>
  <si>
    <t>1018431498-1</t>
  </si>
  <si>
    <t>URQUINA ROJAS HERNAN RODOLFO / FERRETERIA LA FORTUNA HERU</t>
  </si>
  <si>
    <t>ACEVEDO - HUILA</t>
  </si>
  <si>
    <t>90031575200</t>
  </si>
  <si>
    <t>900315752-8</t>
  </si>
  <si>
    <t>GRUPO INNOVAR COLOMBIA SAS</t>
  </si>
  <si>
    <t>629445400</t>
  </si>
  <si>
    <t>6294454-3</t>
  </si>
  <si>
    <t>ECHEVERRI AMAYA LUIS ERNESTO/FERRETERIA Y PINTURAS BUENOS AIRES</t>
  </si>
  <si>
    <t>90139072800</t>
  </si>
  <si>
    <t>901390728-3</t>
  </si>
  <si>
    <t>DEPOSITO Y FERRETERIA  ALQUERIA S.A.S. " JARDIN NORTE</t>
  </si>
  <si>
    <t>80013042601</t>
  </si>
  <si>
    <t>G Y J FERRETERIAS S.A. - DUITAMA AMERICAS</t>
  </si>
  <si>
    <t>90133350300</t>
  </si>
  <si>
    <t>901333503-0</t>
  </si>
  <si>
    <t>FERRETERIA BERVAR S.A.S</t>
  </si>
  <si>
    <t>4399824700</t>
  </si>
  <si>
    <t>43998247-1</t>
  </si>
  <si>
    <t>CARDONA ARIZTIZABAL MAR DORIS/LEO PINTURAS</t>
  </si>
  <si>
    <t>1213270000</t>
  </si>
  <si>
    <t>12132700-8</t>
  </si>
  <si>
    <t>PAREDES MUNOZ LUIS ALBERTO/FERRETERIA FERREPAREDES</t>
  </si>
  <si>
    <t>101905239000</t>
  </si>
  <si>
    <t>1019052390-0</t>
  </si>
  <si>
    <t>REYES GIL JUAN DAVID / REYES HERMANOS DISTRIBUCIONES</t>
  </si>
  <si>
    <t>7964709900</t>
  </si>
  <si>
    <t>79647099-3</t>
  </si>
  <si>
    <t>REYES TOTENA LUIS EDUARDO</t>
  </si>
  <si>
    <t>ANAPOIMA - CUNDINAMARCA</t>
  </si>
  <si>
    <t>6033370500</t>
  </si>
  <si>
    <t>60333705-1</t>
  </si>
  <si>
    <t>JAIMES YAMILE  / TODOHIERRO</t>
  </si>
  <si>
    <t>PAMPLONA - NORTE DE SANTANDER</t>
  </si>
  <si>
    <t>90109653900</t>
  </si>
  <si>
    <t>901096539-8</t>
  </si>
  <si>
    <t>MATERIALES DE ORNAMENTACION EL LLANITO S.A.S</t>
  </si>
  <si>
    <t>EVELIO GARCIA - SANTANDER II</t>
  </si>
  <si>
    <t>89033302311</t>
  </si>
  <si>
    <t>SIDOC S.A.S. "BUENAVENTURA</t>
  </si>
  <si>
    <t>BUENAVENTURA - VALLE DEL CAUCA</t>
  </si>
  <si>
    <t>3179131700</t>
  </si>
  <si>
    <t>31791317-5</t>
  </si>
  <si>
    <t>ECHEVERRI JARAMILLO SANDRA/SURTI COLORS LA 33 "SUC TULUA"</t>
  </si>
  <si>
    <t>7199273100</t>
  </si>
  <si>
    <t>71992731-1</t>
  </si>
  <si>
    <t>RENDON ESCOBAR WILMER DE JESUS/PINTURAS TRILAC</t>
  </si>
  <si>
    <t>90105487000</t>
  </si>
  <si>
    <t>901054870-1</t>
  </si>
  <si>
    <t>DISFERRELECTRICOS S.A.S.</t>
  </si>
  <si>
    <t>90123010000</t>
  </si>
  <si>
    <t>901230100-3</t>
  </si>
  <si>
    <t>CUBIERTAS Y LAMINAS DE OCCIDENTE S.A.S.</t>
  </si>
  <si>
    <t>90084771601</t>
  </si>
  <si>
    <t>FERRETERIA  FERROLAMINAS S.A.S. "SEDE NORTE"</t>
  </si>
  <si>
    <t>106170886500</t>
  </si>
  <si>
    <t>1061708865-7</t>
  </si>
  <si>
    <t>GRISALES ENRIQUEZ SANDRA VIVIANA/FERREDESCUENTOS DEL VALLE Y SUROCCIDENTE</t>
  </si>
  <si>
    <t>PIENDAMO - CAUCA</t>
  </si>
  <si>
    <t>7975661600</t>
  </si>
  <si>
    <t>79756616-9</t>
  </si>
  <si>
    <t>SALAZAR CASTILLO CARLOS ALBERTO/ELECTRORESISTENCIAS CHIA C. S.</t>
  </si>
  <si>
    <t>80029477500</t>
  </si>
  <si>
    <t>G Y J FERRETERIAS  S.A.-CR 1</t>
  </si>
  <si>
    <t>9338524200</t>
  </si>
  <si>
    <t>93385242-6</t>
  </si>
  <si>
    <t>FIERRO BARRETO ERNESTO/FERRETODO</t>
  </si>
  <si>
    <t>80021649928</t>
  </si>
  <si>
    <t>AGOFER S.A.S -CUCUTA</t>
  </si>
  <si>
    <t>90134884800</t>
  </si>
  <si>
    <t>901348848-1</t>
  </si>
  <si>
    <t>FERRETERIA LOS PAISAS GV S.A.S.</t>
  </si>
  <si>
    <t>GUACARI - VALLE DEL CAUCA</t>
  </si>
  <si>
    <t>81300005200</t>
  </si>
  <si>
    <t>813000052-2</t>
  </si>
  <si>
    <t>INVERSIONES PROIN S.A.S.</t>
  </si>
  <si>
    <t>90136365900</t>
  </si>
  <si>
    <t>901363659-9</t>
  </si>
  <si>
    <t>HIERROS Y METALES DE SANTANDER S A S</t>
  </si>
  <si>
    <t>90090508000</t>
  </si>
  <si>
    <t>HIERROS H.D DEL NORTE S.A.S. "SUC LERIDA"</t>
  </si>
  <si>
    <t>5160903100</t>
  </si>
  <si>
    <t>51609031-1</t>
  </si>
  <si>
    <t>SORIANO MORENO YOLANDA/DEPOSITO COLONIAL</t>
  </si>
  <si>
    <t>90041079500</t>
  </si>
  <si>
    <t>900410795-0</t>
  </si>
  <si>
    <t>FERROPAZ SAS</t>
  </si>
  <si>
    <t>90191189400</t>
  </si>
  <si>
    <t>901911894-5</t>
  </si>
  <si>
    <t>FERREPINTURAS M&amp;S S.A.S</t>
  </si>
  <si>
    <t>83011445200</t>
  </si>
  <si>
    <t>830114452-7</t>
  </si>
  <si>
    <t>KNO ENVIRONMENTAL SOLUTIONS LTDA</t>
  </si>
  <si>
    <t>83012101500</t>
  </si>
  <si>
    <t>830121015-0</t>
  </si>
  <si>
    <t>PINTURAS MEJIA LEON LTDA</t>
  </si>
  <si>
    <t>90127200400</t>
  </si>
  <si>
    <t>901272004-4</t>
  </si>
  <si>
    <t>INNOVAR FERRETERÍA SAS</t>
  </si>
  <si>
    <t>90049694400</t>
  </si>
  <si>
    <t>900496944-0</t>
  </si>
  <si>
    <t>PRODUCTOS Y SERVICIOS PS SAS</t>
  </si>
  <si>
    <t>NORCASIA - CALDAS</t>
  </si>
  <si>
    <t>8304050800</t>
  </si>
  <si>
    <t>83040508-2</t>
  </si>
  <si>
    <t>URBANO CALDERON JUAN CARLOS / FERREINSUMOS DE GUACACALLO</t>
  </si>
  <si>
    <t>80013042606</t>
  </si>
  <si>
    <t>G Y J  FERRETERIAS S.A.  - UNES YOPAL</t>
  </si>
  <si>
    <t>YOPAL - CASANARE</t>
  </si>
  <si>
    <t>90125210300</t>
  </si>
  <si>
    <t>901252103-1</t>
  </si>
  <si>
    <t>LA VALENCIANA MATERIALES PARA LA CONSTRUCCION S.A.S.</t>
  </si>
  <si>
    <t>LOS PATIOS - NORTE DE SANTANDE</t>
  </si>
  <si>
    <t>1930121200</t>
  </si>
  <si>
    <t>19301212-6</t>
  </si>
  <si>
    <t>ORTIZ PEÑA PEDRO/ELECTROFERRETODO</t>
  </si>
  <si>
    <t>ALFONSO ALBA - LOCALIDAD USAQUEN</t>
  </si>
  <si>
    <t>1765614000</t>
  </si>
  <si>
    <t>17656140-0</t>
  </si>
  <si>
    <t>NEUTA DIAZ JUAN CARLOS/TECNICOLOR-PITALITO</t>
  </si>
  <si>
    <t>90060795900</t>
  </si>
  <si>
    <t>900607959-9</t>
  </si>
  <si>
    <t>SOCIEDAD DISTRIBUIDORA COLOMBIANA MD S.A.S.</t>
  </si>
  <si>
    <t>108036089500</t>
  </si>
  <si>
    <t>1080360895-0</t>
  </si>
  <si>
    <t>RODRIGUEZ HURTADO YERI JACSON/FERREQUINTA SUAZA</t>
  </si>
  <si>
    <t>SUAZA - HUILA</t>
  </si>
  <si>
    <t>86006799801</t>
  </si>
  <si>
    <t>MULTIALAMBRES S A S " NEIVA "</t>
  </si>
  <si>
    <t>584203100</t>
  </si>
  <si>
    <t>5842031-1</t>
  </si>
  <si>
    <t>CASTAÑEDA RAMIRO/FERRETERIA EL PENTAGONO</t>
  </si>
  <si>
    <t>90097311000</t>
  </si>
  <si>
    <t>900973110-1</t>
  </si>
  <si>
    <t>ELECTRICOS EL SOL DEL HUILA S.A.S.</t>
  </si>
  <si>
    <t>90026901600</t>
  </si>
  <si>
    <t>900269016-8</t>
  </si>
  <si>
    <t>PREFABRICADOS MODULARES SU HOGAR LTDA</t>
  </si>
  <si>
    <t>INDUSTRIAL 2</t>
  </si>
  <si>
    <t>1134926200</t>
  </si>
  <si>
    <t>11349262-2</t>
  </si>
  <si>
    <t>CONTRERAS PACHON LUIS FERNANDO/PINTURAS ZIPA</t>
  </si>
  <si>
    <t>80800362800</t>
  </si>
  <si>
    <t>808003628-1</t>
  </si>
  <si>
    <t>TODO HIERROS GIRARDOT S.A.S.</t>
  </si>
  <si>
    <t>90153519500</t>
  </si>
  <si>
    <t>901535195-2</t>
  </si>
  <si>
    <t>DOBLADORA Y COMERCIALIZADORA 243 S.A.S.</t>
  </si>
  <si>
    <t>90190562400</t>
  </si>
  <si>
    <t>901905624-9</t>
  </si>
  <si>
    <t>DISTRIFERRE RYR S.A.S.</t>
  </si>
  <si>
    <t>5194259600</t>
  </si>
  <si>
    <t>51942596-5</t>
  </si>
  <si>
    <t>QUIÑONES GARCIA OLGA LUCIA/FERRE PINTURAS LA MAGIA DEL COLOR</t>
  </si>
  <si>
    <t>5220770000</t>
  </si>
  <si>
    <t>52207700-7</t>
  </si>
  <si>
    <t>PORRAS PEÑALOZA CLAUDIA PATRICIA/PUNTO CENTRAL DE PINTURAS</t>
  </si>
  <si>
    <t>8036514700</t>
  </si>
  <si>
    <t>80365147-1</t>
  </si>
  <si>
    <t>TORRES MORENO PABLO ENRIQUE/DEPOSITO DE MATERIALES PARA CONSTRUCCIONES ALFONSO LOPEZ</t>
  </si>
  <si>
    <t>1915543800</t>
  </si>
  <si>
    <t>19155438-7</t>
  </si>
  <si>
    <t>LIZARAZO GREGORIO/FERRETERIA D ROGER S</t>
  </si>
  <si>
    <t>108386865200</t>
  </si>
  <si>
    <t>1083868652-0</t>
  </si>
  <si>
    <t>HOME MAJE EDGAR / HOMECAB FERRETERIA</t>
  </si>
  <si>
    <t>411343100</t>
  </si>
  <si>
    <t>4113431-1</t>
  </si>
  <si>
    <t>BLANCO NIÑO JOSE ALONSO/GRIFOS Y ELECTRICOS DE LA 90</t>
  </si>
  <si>
    <t>112486209800</t>
  </si>
  <si>
    <t>1124862098-0</t>
  </si>
  <si>
    <t>GARZON RODRIGUEZ BYRON HARLEY ROBINSON / FERREGARDEL</t>
  </si>
  <si>
    <t>4001646500</t>
  </si>
  <si>
    <t>40016465-7</t>
  </si>
  <si>
    <t>HERRAN GARCIA MARIA SONIA / FERRETERIA EL GRAN TRIUNFO HYS</t>
  </si>
  <si>
    <t>VILLA DE LEYVA - BOYACA</t>
  </si>
  <si>
    <t>90123380601</t>
  </si>
  <si>
    <t>PINTURAS WILLY MEZCLAS S.A.S. "SAN ALBERTO"</t>
  </si>
  <si>
    <t>SAN ALBERTO - CESAR</t>
  </si>
  <si>
    <t>86005697109</t>
  </si>
  <si>
    <t>LA CAMPANA SERVICIOS DE ACERO S A "MOSQUERA"</t>
  </si>
  <si>
    <t>MOSQUERA - CUNDINAMARCA</t>
  </si>
  <si>
    <t>3118910200</t>
  </si>
  <si>
    <t>31189102-8</t>
  </si>
  <si>
    <t>SAAVEDRA CARMEN ROSA/ALMACEN PINTUFLORIDA</t>
  </si>
  <si>
    <t>FLORIDA - VALLE DEL CAUCA</t>
  </si>
  <si>
    <t>80013042640</t>
  </si>
  <si>
    <t>G Y J  FERRETERIAS S.A. - GIRON</t>
  </si>
  <si>
    <t>109165384400</t>
  </si>
  <si>
    <t>1091653844-3</t>
  </si>
  <si>
    <t>TRIGOS ALVAREZ JUAQUIN / FERREMETALICAS D &amp; J</t>
  </si>
  <si>
    <t>716264200</t>
  </si>
  <si>
    <t>7162642-9</t>
  </si>
  <si>
    <t>FIGUEREDO JOSE ANDRES/FERRETERIA Y ELECTRICOS J F</t>
  </si>
  <si>
    <t>105571018900</t>
  </si>
  <si>
    <t>1055710189-0</t>
  </si>
  <si>
    <t>VARGAS AGUILERA ANA PAOLA / AGROFER SUTAMARCHAN</t>
  </si>
  <si>
    <t>SUTAMARCHAN - BOYACA</t>
  </si>
  <si>
    <t>80900246800</t>
  </si>
  <si>
    <t>809002468-7</t>
  </si>
  <si>
    <t>DISTRIBUIDORA ALMARA S.A.S.</t>
  </si>
  <si>
    <t>ALVARADO - TOLIMA</t>
  </si>
  <si>
    <t>9427046300</t>
  </si>
  <si>
    <t>94270463-6</t>
  </si>
  <si>
    <t>ROSERO SUAREZ EDISON / FERRETERIA EL VECINO ER</t>
  </si>
  <si>
    <t>90052595400</t>
  </si>
  <si>
    <t>900525954-1</t>
  </si>
  <si>
    <t>PERFILAM &amp; ACEROS S.A.S.</t>
  </si>
  <si>
    <t>83008861500</t>
  </si>
  <si>
    <t>830088615-9</t>
  </si>
  <si>
    <t>ESTRUCTURAS Y MECANIZADOS S A S</t>
  </si>
  <si>
    <t>7508690100</t>
  </si>
  <si>
    <t>75086901-3</t>
  </si>
  <si>
    <t>GARCIA LONDOÑO JOSE GILDARDO / EL PINTOR VILLAMARIA JA</t>
  </si>
  <si>
    <t>VILLAMARIA - CALDAS</t>
  </si>
  <si>
    <t>81500153500</t>
  </si>
  <si>
    <t>815001535-1</t>
  </si>
  <si>
    <t>REFORMA INGENIERIA Y SUMINISTROS S.A.S. "PALMIRA"</t>
  </si>
  <si>
    <t>80021649916</t>
  </si>
  <si>
    <t>AGOFER S.A.S -MARTIRES</t>
  </si>
  <si>
    <t>101847163300</t>
  </si>
  <si>
    <t>1018471633-9</t>
  </si>
  <si>
    <t>RAVELO SALAMANCA LORENA / PINTURAS RAVELO S</t>
  </si>
  <si>
    <t>EL COLEGIO - CUNDINAMARCA</t>
  </si>
  <si>
    <t>5261634900</t>
  </si>
  <si>
    <t>52616349-9</t>
  </si>
  <si>
    <t>PARADA CARRILLO DANIA/FERRECONSTRUCCIONES DANIA</t>
  </si>
  <si>
    <t>3970486000</t>
  </si>
  <si>
    <t>39704860-1</t>
  </si>
  <si>
    <t>CASTIBLANCO YOLANDA/EL RINCONCITO DE LAS PINTURAS</t>
  </si>
  <si>
    <t>80019477500</t>
  </si>
  <si>
    <t>G Y J FERRETERIAS  S.A. -DORADA</t>
  </si>
  <si>
    <t>90188199800</t>
  </si>
  <si>
    <t>901881998-2</t>
  </si>
  <si>
    <t>DEPOSITO Y FERRETERIA PLAZA S.A.S</t>
  </si>
  <si>
    <t>80013042643</t>
  </si>
  <si>
    <t>G Y J  FERRETERIAS S.A. - SUCURSAL CRA 60</t>
  </si>
  <si>
    <t>1296018600</t>
  </si>
  <si>
    <t>12960186-3</t>
  </si>
  <si>
    <t>ZUTTA BURBANO JORGE EFRAIN/LAMINAS Y ALUMINIOS DE NARIÑO</t>
  </si>
  <si>
    <t>86005697107</t>
  </si>
  <si>
    <t>LA CAMPANA SERVICIOS DE ACERO S A "RICAURTE 1"</t>
  </si>
  <si>
    <t>90063309400</t>
  </si>
  <si>
    <t>900633094-3</t>
  </si>
  <si>
    <t>PINTACASA SANTA LUCIA S.A.S.</t>
  </si>
  <si>
    <t>90140696500</t>
  </si>
  <si>
    <t>901406965-4</t>
  </si>
  <si>
    <t>ESTRUCTURAS ROG S.A.S.</t>
  </si>
  <si>
    <t>83200473700</t>
  </si>
  <si>
    <t>832004737-6</t>
  </si>
  <si>
    <t>FERREDEPOSITO EL CONSTRUCTOR S.A.S.</t>
  </si>
  <si>
    <t>SIBATE - CUNDINAMARCA</t>
  </si>
  <si>
    <t>80013042609</t>
  </si>
  <si>
    <t>G Y J  FERRETERIAS S.A. - TUNJA</t>
  </si>
  <si>
    <t>4036619700</t>
  </si>
  <si>
    <t>40366197-9</t>
  </si>
  <si>
    <t>CARREÑO YOLANDA/FERREPINTURAS DEL PUERTO "SUC PUERTO LOPEZ"</t>
  </si>
  <si>
    <t>PUERTO LOPEZ - META</t>
  </si>
  <si>
    <t>3976048600</t>
  </si>
  <si>
    <t>39760486-8</t>
  </si>
  <si>
    <t>JIMENEZ MENDIETA MARTHA LEONOR</t>
  </si>
  <si>
    <t>90139298300</t>
  </si>
  <si>
    <t>901392983-4</t>
  </si>
  <si>
    <t>SURTITEJAS LA 28 S.A.S.</t>
  </si>
  <si>
    <t>7961798100</t>
  </si>
  <si>
    <t>79617981-7</t>
  </si>
  <si>
    <t>FIGUEREDO VANEGAS ORLANDO/PINTURAS RAVELO</t>
  </si>
  <si>
    <t>90144441700</t>
  </si>
  <si>
    <t>901444417-1</t>
  </si>
  <si>
    <t>DEPOSITO JC GARAVITO S.A.S.</t>
  </si>
  <si>
    <t>VILLETA - CUNDINAMARCA</t>
  </si>
  <si>
    <t>83003398200</t>
  </si>
  <si>
    <t>830033982-0</t>
  </si>
  <si>
    <t>INDUSTRIAS PROTON LIMITADA</t>
  </si>
  <si>
    <t>90027239100</t>
  </si>
  <si>
    <t>900272391-6</t>
  </si>
  <si>
    <t>COMERCIALIZADORA NUEVO PORVENIR DIAZ Y CIA S EN C</t>
  </si>
  <si>
    <t>ALEJANDRO CARANTON -LOCALIDAD ANTONIO NARIÑO</t>
  </si>
  <si>
    <t>2895178700</t>
  </si>
  <si>
    <t>28951787-1</t>
  </si>
  <si>
    <t>UBILLUS BARBOSA MARABIYIDS NERIETH / FERRETERIA MARA</t>
  </si>
  <si>
    <t>3542917900</t>
  </si>
  <si>
    <t>35429179-1</t>
  </si>
  <si>
    <t>CORREA CHABUR YAMELY / HIERROS TEJAS Y PERFILES HRP</t>
  </si>
  <si>
    <t>7957703500</t>
  </si>
  <si>
    <t>79577035-1</t>
  </si>
  <si>
    <t>CHAPARRO CHAPARRO JULIO ROBERTO//FERRELECTRICOS A.B</t>
  </si>
  <si>
    <t>90135029200</t>
  </si>
  <si>
    <t>901350292-3</t>
  </si>
  <si>
    <t>FERRETERIA NARANJOS S.A.S</t>
  </si>
  <si>
    <t>80800213500</t>
  </si>
  <si>
    <t>808002135-6</t>
  </si>
  <si>
    <t>DISMAFUSA Y COMPAÑIA LTDA</t>
  </si>
  <si>
    <t>83007169604</t>
  </si>
  <si>
    <t>METALCENTER S.A. "SUC PITALITO"</t>
  </si>
  <si>
    <t>90057088700</t>
  </si>
  <si>
    <t>900570887-5</t>
  </si>
  <si>
    <t>GRUPO KONEXO S.A.S.</t>
  </si>
  <si>
    <t>7212296300</t>
  </si>
  <si>
    <t>7212963-3</t>
  </si>
  <si>
    <t>GOMEZ LIZARAZO JESUS/FERROPAZ FERRETERIA PAZ DEL RIO</t>
  </si>
  <si>
    <t>2694605300</t>
  </si>
  <si>
    <t>26946053-5</t>
  </si>
  <si>
    <t>CUELLO MORENO LINA/DEPOSITO DE MATERIALES TIQUIZA</t>
  </si>
  <si>
    <t>80021649918</t>
  </si>
  <si>
    <t>AGOFER S.A.S -PALOQUEMAO</t>
  </si>
  <si>
    <t>5284868500</t>
  </si>
  <si>
    <t>52848685-4</t>
  </si>
  <si>
    <t>MOLINA CUBILLOS ANDREA/FERREANDEST</t>
  </si>
  <si>
    <t>NORMA AGUILAR  - LOCALIDAD CIUDAD BOLIVAR</t>
  </si>
  <si>
    <t>101424028800</t>
  </si>
  <si>
    <t>1014240288-5</t>
  </si>
  <si>
    <t>RODRIGUEZ RAMIREZ ANGELICA ROXANA / TECNI - PINTURAS VILLANUEVA</t>
  </si>
  <si>
    <t>VILLANUEVA - CASANARE</t>
  </si>
  <si>
    <t>80021649913</t>
  </si>
  <si>
    <t>AGOFER S.A.S -ITAGUI</t>
  </si>
  <si>
    <t>74362351</t>
  </si>
  <si>
    <t>74362351-2</t>
  </si>
  <si>
    <t>RINCON ALVAREZ JOSE MAURICIO/PINTU RINCON</t>
  </si>
  <si>
    <t>90104573500</t>
  </si>
  <si>
    <t>901045735-7</t>
  </si>
  <si>
    <t>FLEBAR GLOBAL S.A.S.</t>
  </si>
  <si>
    <t>DIANA ARENAS - LOCALIDAD TEUSAQUILLO</t>
  </si>
  <si>
    <t>489627200</t>
  </si>
  <si>
    <t>4896272-6</t>
  </si>
  <si>
    <t>RIVAS BRAN GABRIEL / FERRETERIA LA NOVENA DE TESALIA</t>
  </si>
  <si>
    <t>TESALIA - HUILA</t>
  </si>
  <si>
    <t>90093682500</t>
  </si>
  <si>
    <t>900936825-1</t>
  </si>
  <si>
    <t>FERROGASES  JG S.A.S.</t>
  </si>
  <si>
    <t>8042006300</t>
  </si>
  <si>
    <t>80420063-7</t>
  </si>
  <si>
    <t>MELO CRUZ EDGAR ARTURO/CERRADURAS BABILONIA</t>
  </si>
  <si>
    <t>90045596500</t>
  </si>
  <si>
    <t>900455965-1</t>
  </si>
  <si>
    <t>GRUPO PEP S.A.S - PINTUPLUS MAX</t>
  </si>
  <si>
    <t>89110115800</t>
  </si>
  <si>
    <t>891101158-1</t>
  </si>
  <si>
    <t>COOPERATIVA CENTRAL DE CAFICULTORES DEL HUILA</t>
  </si>
  <si>
    <t>90158257400</t>
  </si>
  <si>
    <t>901582574-0</t>
  </si>
  <si>
    <t>DEPOSITO DE MATERIALES FERROPERFILES VICAR SAS</t>
  </si>
  <si>
    <t>2405288200</t>
  </si>
  <si>
    <t>24052882-1</t>
  </si>
  <si>
    <t>PARRA PARRA YANETH EDILMA/FERREPINTURAS MILENIO</t>
  </si>
  <si>
    <t>2101781700</t>
  </si>
  <si>
    <t>21017817-1</t>
  </si>
  <si>
    <t>SALAZAR HERNANDEZ MARIA DEL PILAR/FIGUHIERROS TOCAIMA</t>
  </si>
  <si>
    <t>TOCAIMA - CUNDINAMARCA</t>
  </si>
  <si>
    <t>38393200</t>
  </si>
  <si>
    <t>383932-2</t>
  </si>
  <si>
    <t>VILLALOBOS MUÑOZ MARTIN / ARTE PINTURAS Y CERRAJERIA</t>
  </si>
  <si>
    <t>2060614600</t>
  </si>
  <si>
    <t>20606146-1</t>
  </si>
  <si>
    <t>GUZMAN DE GOMEZ SIXTA TULIA</t>
  </si>
  <si>
    <t>SALDAÑA - TOLIMA</t>
  </si>
  <si>
    <t>83012175300</t>
  </si>
  <si>
    <t>830121753-8</t>
  </si>
  <si>
    <t>MATERIALES PARA CONSTRUCCION MATECORPINTURAS LTDA</t>
  </si>
  <si>
    <t>7715468802</t>
  </si>
  <si>
    <t>77154688-8</t>
  </si>
  <si>
    <t>RUIZ YERENA JAIME ENRRIQUE / FERRETERIA RUIZ</t>
  </si>
  <si>
    <t>LA JAGUA DE IBIRICO - CESAR</t>
  </si>
  <si>
    <t>900416432000</t>
  </si>
  <si>
    <t>900416432-1</t>
  </si>
  <si>
    <t>PUERTAS METALICAS COLOMBIANAS SAS "SANTANDER"</t>
  </si>
  <si>
    <t>2534195300</t>
  </si>
  <si>
    <t>25341953-8</t>
  </si>
  <si>
    <t>FLOR PULICHE FATIMA VIVIANA/FERROPINTURAS MUNDO COLOR</t>
  </si>
  <si>
    <t>8038819600</t>
  </si>
  <si>
    <t>80388196-1</t>
  </si>
  <si>
    <t>SANCHEZ RODRIGO/FERRETRIA CASA GRANDE</t>
  </si>
  <si>
    <t>3165589800</t>
  </si>
  <si>
    <t>31655898-0</t>
  </si>
  <si>
    <t>ARGAEZ RIVERA MARTHA LUCIA/ALMACEN PINTUTRIPLEX</t>
  </si>
  <si>
    <t>107565403500</t>
  </si>
  <si>
    <t>1075654035-8</t>
  </si>
  <si>
    <t>MALAGON MERCHAN OSCAR JAVIER / EL PUNTO DEL COLOR</t>
  </si>
  <si>
    <t>80013042620</t>
  </si>
  <si>
    <t>G Y J  FERRETERIAS S.A. -  GIRARDOT</t>
  </si>
  <si>
    <t>1744700700</t>
  </si>
  <si>
    <t>17447007</t>
  </si>
  <si>
    <t>AJIACO REYES CESAR ESNEIDER/PINTURAS TRIBAL</t>
  </si>
  <si>
    <t>GUAMAL - META</t>
  </si>
  <si>
    <t>86001631000</t>
  </si>
  <si>
    <t>860016310-9</t>
  </si>
  <si>
    <t>PROGEN S.A</t>
  </si>
  <si>
    <t>8006013801</t>
  </si>
  <si>
    <t>80060138-5</t>
  </si>
  <si>
    <t>CAMPOS SALCEDO JORGE MARIO/ELECTRO PINTURAS DEL SUR "SUC SAN ANTONIO"</t>
  </si>
  <si>
    <t>SAN ANTONIO - TOLIMA</t>
  </si>
  <si>
    <t>83012495601</t>
  </si>
  <si>
    <t>CONSTRUENCOFRADOS Y EQUIPOS S,A.S "BODEGA ALQUILERES"</t>
  </si>
  <si>
    <t>2911338500</t>
  </si>
  <si>
    <t>29113385-1</t>
  </si>
  <si>
    <t>MONTENEGRO CARMEN/FERRETERIA METRO PINTURAS SAN LUIS</t>
  </si>
  <si>
    <t>3550086200</t>
  </si>
  <si>
    <t>35500862-5</t>
  </si>
  <si>
    <t>ARENAS MARIA ANGELICA/PINTURAS Y FERRETERIA SAN JOSE</t>
  </si>
  <si>
    <t>3977918100</t>
  </si>
  <si>
    <t>39779181-0</t>
  </si>
  <si>
    <t>MARTIN MARTHA CECILIA/FERRETERIA EL MINUTO</t>
  </si>
  <si>
    <t>90133998600</t>
  </si>
  <si>
    <t>901339986-1</t>
  </si>
  <si>
    <t>INVERSIONES ALFA Y OMEGA AJ S.A.S - ZOMAC</t>
  </si>
  <si>
    <t>90108854500</t>
  </si>
  <si>
    <t>901088545-9</t>
  </si>
  <si>
    <t>CONSTRUPISCINAS S.A.S</t>
  </si>
  <si>
    <t>CARMEN APICALA - TOLIMA</t>
  </si>
  <si>
    <t>722288400</t>
  </si>
  <si>
    <t>7222884-2</t>
  </si>
  <si>
    <t>MALDONADO ARTURO/FERREDEPOSITO LA QUINTA</t>
  </si>
  <si>
    <t>7955799100</t>
  </si>
  <si>
    <t>79557991-2</t>
  </si>
  <si>
    <t>ALARCON JIMENEZ ESNEIDE/ALMACEN DE PINTURAS PAVI PINTURAS A J</t>
  </si>
  <si>
    <t>90156918700</t>
  </si>
  <si>
    <t>901569187-1</t>
  </si>
  <si>
    <t>FLEXTEK INVERSIONES A&amp;G S.A.S.</t>
  </si>
  <si>
    <t>7437177900</t>
  </si>
  <si>
    <t>74371779-9</t>
  </si>
  <si>
    <t>SANDOVAL PUERTO JOOMER MIGUEL/COMERCIALIZADORA PINTUCARIBE</t>
  </si>
  <si>
    <t>90056045200</t>
  </si>
  <si>
    <t>900560452-2</t>
  </si>
  <si>
    <t>FERROCCIDENTE CONSTRUCTOR SAS</t>
  </si>
  <si>
    <t>7986841600</t>
  </si>
  <si>
    <t>79868416-3</t>
  </si>
  <si>
    <t>MORA TORRES CHRISTIAN DANIEL/TECNICA Y COLOR RIONEGRO</t>
  </si>
  <si>
    <t>319055000</t>
  </si>
  <si>
    <t>3190550-4</t>
  </si>
  <si>
    <t>GOMEZ MOLINA ALEXANDER/FERRETERIA FERRE-EXITO</t>
  </si>
  <si>
    <t>SUPATA - CUNDINAMARCA</t>
  </si>
  <si>
    <t>90169384200</t>
  </si>
  <si>
    <t>901693842-6</t>
  </si>
  <si>
    <t>PINTURAS PINTARK SAS</t>
  </si>
  <si>
    <t>90189575100</t>
  </si>
  <si>
    <t>901895751-1</t>
  </si>
  <si>
    <t>GRUPO EMPRESARIAL INPROHID SAS</t>
  </si>
  <si>
    <t>E - COMMERCE</t>
  </si>
  <si>
    <t>1352609300</t>
  </si>
  <si>
    <t>13526093-0</t>
  </si>
  <si>
    <t>DUARTE TIRADO LISANDRO/FERRETERIA ARTE - MIO DE LA 162</t>
  </si>
  <si>
    <t>86005697104</t>
  </si>
  <si>
    <t>LA CAMPANA SERVICIOS DE ACERO S A "SOACHA"</t>
  </si>
  <si>
    <t>83200895500</t>
  </si>
  <si>
    <t>832008955-3</t>
  </si>
  <si>
    <t>SURTIDOR DE MATERIALES VILLA LUZ GUATAVITA LTDA</t>
  </si>
  <si>
    <t>GUATAVITA - CUNDINAMARCA</t>
  </si>
  <si>
    <t>105231344000</t>
  </si>
  <si>
    <t>1052313440-1</t>
  </si>
  <si>
    <t>CASTRO DAVILA LIYER YUBELLY/ FERRELECTRICOS CENTRAL JM</t>
  </si>
  <si>
    <t>BELEN - BOYACA</t>
  </si>
  <si>
    <t>1334806400</t>
  </si>
  <si>
    <t>13348064-3</t>
  </si>
  <si>
    <t>RINCON MARIÑO ANGEL RAFAEL/FERRETERIA NICHOLSON</t>
  </si>
  <si>
    <t>90115386801</t>
  </si>
  <si>
    <t>MATERIALES ALVAREZ CONSTRUCCIONES S.A.S. "SUC SAN ALBERTO"</t>
  </si>
  <si>
    <t>86005697105</t>
  </si>
  <si>
    <t>LA CAMPANA SERVICIOS DE ACERO S A "7 DE AGOSTO"</t>
  </si>
  <si>
    <t>90109250100</t>
  </si>
  <si>
    <t>901092501-0</t>
  </si>
  <si>
    <t>FERRE - ELECTRICOS M. R. S.A.S</t>
  </si>
  <si>
    <t>90122371900</t>
  </si>
  <si>
    <t>901223719-2</t>
  </si>
  <si>
    <t>C &amp; F S.A.S.</t>
  </si>
  <si>
    <t>LA VICTORIA - BOYACA</t>
  </si>
  <si>
    <t>83200219200</t>
  </si>
  <si>
    <t>832002192-3</t>
  </si>
  <si>
    <t>PRODUCTOS DISANFER S.A.S.</t>
  </si>
  <si>
    <t>100641585400</t>
  </si>
  <si>
    <t>1006415854-8</t>
  </si>
  <si>
    <t>SOSA BUITRAGO ANDREY ANTONIO / PINTURAS Y ACABADOS LA 18</t>
  </si>
  <si>
    <t>4548377200</t>
  </si>
  <si>
    <t>45483772-3</t>
  </si>
  <si>
    <t>GARCIA MANJARRES LUZ CARI DEL CARMEN /  PINTUMEZCLAX Y MAX</t>
  </si>
  <si>
    <t>LORICA - CORDOBA</t>
  </si>
  <si>
    <t>80011476600</t>
  </si>
  <si>
    <t>800114766-5</t>
  </si>
  <si>
    <t>FRESKALECHE S.A.S.</t>
  </si>
  <si>
    <t>9308605500</t>
  </si>
  <si>
    <t>93086055-2</t>
  </si>
  <si>
    <t>GOMEZ GUZMAN VICTOR FABIAN</t>
  </si>
  <si>
    <t>GUAMO - TOLIMA</t>
  </si>
  <si>
    <t>675166400</t>
  </si>
  <si>
    <t>6751664-4</t>
  </si>
  <si>
    <t>HERNANDEZ BARAJAS CARLOS ALBERTO /CALHEB DISTRIBUCIONES</t>
  </si>
  <si>
    <t>6347573000</t>
  </si>
  <si>
    <t>63475730</t>
  </si>
  <si>
    <t>ROJAS DORIS/MATERIALES PARA LA CONSTRUCCION</t>
  </si>
  <si>
    <t>111049952600</t>
  </si>
  <si>
    <t>1110499526-4</t>
  </si>
  <si>
    <t>REYES OLAYA EDWIN DAVID / INVERSIONES FERRETEROS 21A</t>
  </si>
  <si>
    <t>8036976300</t>
  </si>
  <si>
    <t>80369763</t>
  </si>
  <si>
    <t>CORTES ALBAÑIL JAVIER DE JESUS/ALMACEN DE PINTURAS ALTERNATIVAS</t>
  </si>
  <si>
    <t>5221392900</t>
  </si>
  <si>
    <t>52213929-0</t>
  </si>
  <si>
    <t>GIL SIERRA MARIA NELA/CERRAJERIA AUTOSEGURIDAD</t>
  </si>
  <si>
    <t>90042048800</t>
  </si>
  <si>
    <t>900420488-7</t>
  </si>
  <si>
    <t>HERMA SOLUCIONES S A S</t>
  </si>
  <si>
    <t>101363499400</t>
  </si>
  <si>
    <t>1013634994-5</t>
  </si>
  <si>
    <t>ALFONSO AREVALO MIGUEL ANGEL/PATTY KOLOR</t>
  </si>
  <si>
    <t>731878500</t>
  </si>
  <si>
    <t>7318785-5</t>
  </si>
  <si>
    <t>CELIS GONZALEZ WILSON ALEXANDER</t>
  </si>
  <si>
    <t>COGUA - CUNDINAMARCA</t>
  </si>
  <si>
    <t>901859663-9</t>
  </si>
  <si>
    <t>METALICAS ARIZA SELD S.A.S</t>
  </si>
  <si>
    <t>107000486100</t>
  </si>
  <si>
    <t>1070004861-9</t>
  </si>
  <si>
    <t>GUTIERREZ CAMACHO CARLOS ANDRES/FERRETERIA MULTIPERFILES</t>
  </si>
  <si>
    <t>7972134400</t>
  </si>
  <si>
    <t>79721344-1</t>
  </si>
  <si>
    <t>RODRIGUEZ CASTILLO ALEX/RODIPINTURAS "SUC AMBERES"</t>
  </si>
  <si>
    <t>7507700200</t>
  </si>
  <si>
    <t>75077002-9</t>
  </si>
  <si>
    <t>GOMEZ ARANGO CARLOS ALBERTO / FERROMETALES DEL VALLE</t>
  </si>
  <si>
    <t>299394900</t>
  </si>
  <si>
    <t>2993949-1</t>
  </si>
  <si>
    <t>BARRIGA RUBEN DARIO/HIERROS Y PERFILES</t>
  </si>
  <si>
    <t>1913675600</t>
  </si>
  <si>
    <t>19136756-3</t>
  </si>
  <si>
    <t>PARRA AGUIRRE JOSE MANUEL VICENTE / DEPOSITO Y FERRETERIA PARRA</t>
  </si>
  <si>
    <t>70005696800</t>
  </si>
  <si>
    <t>700056968-4</t>
  </si>
  <si>
    <t>VERU LISCANO JAIME ANDRES / SUPERTODO LA PRIMERA</t>
  </si>
  <si>
    <t>5506357800</t>
  </si>
  <si>
    <t>55063578-5</t>
  </si>
  <si>
    <t>PARRA GUTIERREZ LIANA MARCEDES/CASAKOLOR 1</t>
  </si>
  <si>
    <t>90103835300</t>
  </si>
  <si>
    <t>901038353-8</t>
  </si>
  <si>
    <t>FERRETERIA Y CACHARRERIA SALAMANCA S.A.S.</t>
  </si>
  <si>
    <t>677275600</t>
  </si>
  <si>
    <t>6772756-3</t>
  </si>
  <si>
    <t>SANABRIA PALACIOS JOSE ANACLETO/GRAN FERRETERIA DON SEGUNDO</t>
  </si>
  <si>
    <t>81101242706</t>
  </si>
  <si>
    <t>FERRETERIA LOS FIERROS S.A.S "SABANETA"</t>
  </si>
  <si>
    <t>86006799803</t>
  </si>
  <si>
    <t>MULTIALAMBRES S A S " PASTO "</t>
  </si>
  <si>
    <t>90147742000</t>
  </si>
  <si>
    <t>901477420-6</t>
  </si>
  <si>
    <t>PINTUMEZCLAS QUINTERO SAS</t>
  </si>
  <si>
    <t>TOCANCIPA - CUNDINAMARCA</t>
  </si>
  <si>
    <t>90111646500</t>
  </si>
  <si>
    <t>901116465-9</t>
  </si>
  <si>
    <t>EL GIGANTE DE LA CONSTRUCCION G.B. S.A.S</t>
  </si>
  <si>
    <t>90069914400</t>
  </si>
  <si>
    <t>900699144-7</t>
  </si>
  <si>
    <t>ACEROS FACAR S.A.S. "ANAPOIMA"</t>
  </si>
  <si>
    <t>90049753800</t>
  </si>
  <si>
    <t>900497538-8</t>
  </si>
  <si>
    <t>CPNS S A S</t>
  </si>
  <si>
    <t>4178460900</t>
  </si>
  <si>
    <t>41784609-8</t>
  </si>
  <si>
    <t>MOYANO JUDITH/PINTURAS EL FAROLITO</t>
  </si>
  <si>
    <t>80010833000</t>
  </si>
  <si>
    <t>800108330-3</t>
  </si>
  <si>
    <t>SERVIPERFILES SAS</t>
  </si>
  <si>
    <t>90037889300</t>
  </si>
  <si>
    <t>900378893-8</t>
  </si>
  <si>
    <t>A.R. CONSTRUCCIONES S.A.S</t>
  </si>
  <si>
    <t>1734926900</t>
  </si>
  <si>
    <t>17349269-5</t>
  </si>
  <si>
    <t>GONZALEZ SANCHEZ RAUL/FERRELECTRICOS LA SEPTIMA R.G.S</t>
  </si>
  <si>
    <t>80016606400</t>
  </si>
  <si>
    <t>800166064-6</t>
  </si>
  <si>
    <t>INDUSTRIA WASVELT S.A.S.</t>
  </si>
  <si>
    <t>102629924500</t>
  </si>
  <si>
    <t>1026299245-7</t>
  </si>
  <si>
    <t>MELO RODRIGUEZ LEONARDO/DISTRIBUIDORA PINTURAS CHIPAQUE</t>
  </si>
  <si>
    <t>7920460500</t>
  </si>
  <si>
    <t>79204605-1</t>
  </si>
  <si>
    <t>GALEANO CENDALES CARLOS ALBERTO/DEPOSITO DE MATERIALES FERRE 22</t>
  </si>
  <si>
    <t>1214387800</t>
  </si>
  <si>
    <t>12143878-7</t>
  </si>
  <si>
    <t>PALADINEZ GOMEZ CARLOS ARTURO / PALADINEZ PINTURA</t>
  </si>
  <si>
    <t>111820063000</t>
  </si>
  <si>
    <t>1118200630-8</t>
  </si>
  <si>
    <t>GAVIRIA BARRERA JEISON ANDRES/PINTURAS TODO COLOR JMK</t>
  </si>
  <si>
    <t>80023275600</t>
  </si>
  <si>
    <t>800232756-7</t>
  </si>
  <si>
    <t>DEPOSITO DE MATERIALES EL CONDOR LTDA</t>
  </si>
  <si>
    <t>80021649919</t>
  </si>
  <si>
    <t>AGOFER S.A.S -CALI ALFONSO LOPEZ</t>
  </si>
  <si>
    <t>5271119100</t>
  </si>
  <si>
    <t>52711191-9</t>
  </si>
  <si>
    <t>MORA BOTERO  MARIA ISABEL/DISTRIBUCIONES PINTUMOOR DEL 7 DE AGOSTO</t>
  </si>
  <si>
    <t>6668238800</t>
  </si>
  <si>
    <t>66682388-8</t>
  </si>
  <si>
    <t>HURTADO IBARBO ANA LUCIA/ARQUITECTONICOS PINTUGAS</t>
  </si>
  <si>
    <t>ZARZAL - VALLE DEL CAUCA</t>
  </si>
  <si>
    <t>112182177300</t>
  </si>
  <si>
    <t>1121821773-8</t>
  </si>
  <si>
    <t>PIÑEROS LONDOÑO CRISTIAN CAMILO / PINTURA AUTOMOTRIZ COLOR EXPRESS</t>
  </si>
  <si>
    <t>86000086200</t>
  </si>
  <si>
    <t>860000862-2</t>
  </si>
  <si>
    <t>TECMO SOCIEDAD ANONIMA</t>
  </si>
  <si>
    <t>80025195900</t>
  </si>
  <si>
    <t>800251959-6</t>
  </si>
  <si>
    <t>EL CLUB DE LOS COLORES S.A.S</t>
  </si>
  <si>
    <t>4973045800</t>
  </si>
  <si>
    <t>49730458-1</t>
  </si>
  <si>
    <t>ALM. Y FERR. PINTUCOLOR</t>
  </si>
  <si>
    <t>566314700</t>
  </si>
  <si>
    <t>5663147-7</t>
  </si>
  <si>
    <t>GONZALEZ DIAZ LUIS/HIERROS ALGOMAR</t>
  </si>
  <si>
    <t>8008845300</t>
  </si>
  <si>
    <t>80088453-2</t>
  </si>
  <si>
    <t>GUTIERREZ SANTOS RICARDO/FERREDEPOSITO SANTANDER R.G</t>
  </si>
  <si>
    <t>90124767600</t>
  </si>
  <si>
    <t>901247676-8</t>
  </si>
  <si>
    <t>SANCHEZ HOYOS S.A.S</t>
  </si>
  <si>
    <t>MISTRATO - RISARALDA</t>
  </si>
  <si>
    <t>83050190700</t>
  </si>
  <si>
    <t>830501907-6</t>
  </si>
  <si>
    <t>CENTRAL DE MATERIALES DEL NORTE EU</t>
  </si>
  <si>
    <t>1348744700</t>
  </si>
  <si>
    <t>13487447-6</t>
  </si>
  <si>
    <t>NAVARRETE MENDOZA LUIS/FERRETERIA NAVARRETE</t>
  </si>
  <si>
    <t>90125882400</t>
  </si>
  <si>
    <t>901258824-9</t>
  </si>
  <si>
    <t>FERRESUMINISTROS LIM S.A.S</t>
  </si>
  <si>
    <t>8321610200</t>
  </si>
  <si>
    <t>83216102-3</t>
  </si>
  <si>
    <t>CHAVARRO GOMEZ JESUS ESTEBAN / AGROFERRETERIA TODO PARA EL CAMPO</t>
  </si>
  <si>
    <t>90087643600</t>
  </si>
  <si>
    <t>900876436-1</t>
  </si>
  <si>
    <t>EDYHAR  FERRETERIA S.A.S.</t>
  </si>
  <si>
    <t>593390300</t>
  </si>
  <si>
    <t>5933903-8</t>
  </si>
  <si>
    <t>VEGA MANUEL GUILLERMO/INDUSTRIAS METALICAS MGV</t>
  </si>
  <si>
    <t>52542119700</t>
  </si>
  <si>
    <t>52542197-7</t>
  </si>
  <si>
    <t>MEDINA GONZALEZ OLGA LUCIA/TODO COLOR</t>
  </si>
  <si>
    <t>1702717400</t>
  </si>
  <si>
    <t>17027174-2</t>
  </si>
  <si>
    <t>ESPINOSA GARCIA JOSE GREGORIO / ALMACEN FERRE ELECTRICOS VENTAQUEMADA</t>
  </si>
  <si>
    <t>VENTAQUEMADA - BOYACA</t>
  </si>
  <si>
    <t>478385500</t>
  </si>
  <si>
    <t>4783855-4</t>
  </si>
  <si>
    <t>BANGUERO HENAO CARLOS ALBERTO / FERRETERIA CASA GRANDE</t>
  </si>
  <si>
    <t>90105075100</t>
  </si>
  <si>
    <t>901050751-5</t>
  </si>
  <si>
    <t>INVERCADEMO S.A.S</t>
  </si>
  <si>
    <t>90172433600</t>
  </si>
  <si>
    <t>901724336-5</t>
  </si>
  <si>
    <t>AJ FERRETERIA SAS</t>
  </si>
  <si>
    <t>90005314200</t>
  </si>
  <si>
    <t>900053142-1</t>
  </si>
  <si>
    <t>FUNDACION SIDOC</t>
  </si>
  <si>
    <t>OFICINA</t>
  </si>
  <si>
    <t>1892510500</t>
  </si>
  <si>
    <t>18925105-0</t>
  </si>
  <si>
    <t>QUINTERO URIBE JOSUE/ LA CATEDRAL DE LA MEZCLA</t>
  </si>
  <si>
    <t>5518144000</t>
  </si>
  <si>
    <t>55181440-3</t>
  </si>
  <si>
    <t>MUÑOZ SANCHEZ JULY JAQUELINE/PINTURAS Y ACABADOS DEL SUR</t>
  </si>
  <si>
    <t>86045156900</t>
  </si>
  <si>
    <t>860451569-3</t>
  </si>
  <si>
    <t>F Y R INGENIEROS LTDA</t>
  </si>
  <si>
    <t>90144699800</t>
  </si>
  <si>
    <t>901446998-8</t>
  </si>
  <si>
    <t>DEPOSITO Y FERRETERIA TUNA S A S</t>
  </si>
  <si>
    <t>80019340300</t>
  </si>
  <si>
    <t>800193403-4</t>
  </si>
  <si>
    <t>FERREFORMAS LTDA</t>
  </si>
  <si>
    <t>86006799805</t>
  </si>
  <si>
    <t>MULTIALAMBRES S A S" TULUA "</t>
  </si>
  <si>
    <t>90016294200</t>
  </si>
  <si>
    <t>900162942-2</t>
  </si>
  <si>
    <t>JARAMILLO B HERMANOS LTDA</t>
  </si>
  <si>
    <t>80501881800</t>
  </si>
  <si>
    <t>805018818-7</t>
  </si>
  <si>
    <t>PINTURAS INDUSTRIALES LA 15  S..A.S.</t>
  </si>
  <si>
    <t>90128615600</t>
  </si>
  <si>
    <t>901286156-6</t>
  </si>
  <si>
    <t>SUMINISTROS DE CONSTRUCCION A Y G S.A.S.</t>
  </si>
  <si>
    <t>86005697110</t>
  </si>
  <si>
    <t>LA CAMPANA SERVICIOS DE ACERO S A "RICAURTE 2"</t>
  </si>
  <si>
    <t>8603941500</t>
  </si>
  <si>
    <t>86039415-5</t>
  </si>
  <si>
    <t>LARA PEDRO MARIO/PINTURAS SILOH</t>
  </si>
  <si>
    <t>90104160001</t>
  </si>
  <si>
    <t>LAMINAS Y PERFILES JJ S.A.S - SUC TABIO -</t>
  </si>
  <si>
    <t>86000969405</t>
  </si>
  <si>
    <t>CYRGO S.A.S-NEIVA</t>
  </si>
  <si>
    <t>80021649915</t>
  </si>
  <si>
    <t>AGOFER S.A.S -RICAURTE</t>
  </si>
  <si>
    <t>90120898803</t>
  </si>
  <si>
    <t>901208988-4</t>
  </si>
  <si>
    <t>FERRETERIA TU CASITA S.A. "LA VEGA"</t>
  </si>
  <si>
    <t>90042288700</t>
  </si>
  <si>
    <t>900422887-1</t>
  </si>
  <si>
    <t>NORTCON S.A.S.</t>
  </si>
  <si>
    <t>3627614200</t>
  </si>
  <si>
    <t>36276142-3</t>
  </si>
  <si>
    <t>GALINDEZ CERON LUZ MARIELA/FERRETERIA AGROPECUARIA EL CAMPO</t>
  </si>
  <si>
    <t>90136577600</t>
  </si>
  <si>
    <t>901365776-1</t>
  </si>
  <si>
    <t>INVERSIONES MONTEPINCIO S.A.S.</t>
  </si>
  <si>
    <t>90152692800</t>
  </si>
  <si>
    <t>901526928-6</t>
  </si>
  <si>
    <t>DISTRIHIERROS J.U. SAS</t>
  </si>
  <si>
    <t>90144563300</t>
  </si>
  <si>
    <t>901445633-0</t>
  </si>
  <si>
    <t>PINTURAS ARTEKOLOR SAS</t>
  </si>
  <si>
    <t>90123176500</t>
  </si>
  <si>
    <t>901231765-5</t>
  </si>
  <si>
    <t>ALMACEN EL TRIUNFO DE COGUA S.A.S</t>
  </si>
  <si>
    <t>90106312200</t>
  </si>
  <si>
    <t>901063122-9</t>
  </si>
  <si>
    <t>INVERSIONES RODRIGUEZ JIMENEZ HRJ S.A.S.</t>
  </si>
  <si>
    <t>86006799802</t>
  </si>
  <si>
    <t>MULTIALAMBRES S A S " CALI "</t>
  </si>
  <si>
    <t>90010489900</t>
  </si>
  <si>
    <t>900104899-6</t>
  </si>
  <si>
    <t>PERFIACEROS DE COLOMBIA S.A.S</t>
  </si>
  <si>
    <t>90147389000</t>
  </si>
  <si>
    <t>901473890-6</t>
  </si>
  <si>
    <t>FERRETERIA EMANUEL.Z1 SAS</t>
  </si>
  <si>
    <t>OCAÑA - NORTE DE SANTANDER</t>
  </si>
  <si>
    <t>100121851000</t>
  </si>
  <si>
    <t>1001218510-7</t>
  </si>
  <si>
    <t>ALARCON RODRIGUEZ NAIRA MANUELA - PAVI PINTURAS</t>
  </si>
  <si>
    <t>83014125500</t>
  </si>
  <si>
    <t>830141255-7</t>
  </si>
  <si>
    <t>COMERCIAL METALURGICA DEL SUR E.U.</t>
  </si>
  <si>
    <t>86000969422</t>
  </si>
  <si>
    <t>CYRGO S.A.S -"ZIPAQUIRA"</t>
  </si>
  <si>
    <t>109920221200</t>
  </si>
  <si>
    <t>1099202212-3</t>
  </si>
  <si>
    <t>ARIZA ESCAMILLA WILSON / PINTUMEZCLAS ARIZA</t>
  </si>
  <si>
    <t>8085236100</t>
  </si>
  <si>
    <t>80852361-0</t>
  </si>
  <si>
    <t>VELANDIA GONZALEZ HISNARDO/FERRETERIA CD</t>
  </si>
  <si>
    <t>8309067500</t>
  </si>
  <si>
    <t>83090675-8</t>
  </si>
  <si>
    <t>MEDINA HERNANDEZ JAIBER / PINTURAS ART ATTACK</t>
  </si>
  <si>
    <t>83010942000</t>
  </si>
  <si>
    <t>830109420-1</t>
  </si>
  <si>
    <t>BRAND CENTER S.A.S.</t>
  </si>
  <si>
    <t>424979300</t>
  </si>
  <si>
    <t>4249793-7</t>
  </si>
  <si>
    <t>HERNANDEZ HERNANDEZ FERNANDO/AGROCHISCAS</t>
  </si>
  <si>
    <t>119327526600</t>
  </si>
  <si>
    <t>1193275266-4</t>
  </si>
  <si>
    <t>ORDOÑEZ VASQUEZ JOSEPH DOMINIK / FERROPINTURAS DOMINIK</t>
  </si>
  <si>
    <t>90144394700</t>
  </si>
  <si>
    <t>901443947-9</t>
  </si>
  <si>
    <t>FERRELAMINAS DE LOS ANDES S.A.S.</t>
  </si>
  <si>
    <t>MALAGA - SANTANDER</t>
  </si>
  <si>
    <t>80001961500</t>
  </si>
  <si>
    <t>800019615-5</t>
  </si>
  <si>
    <t>SYMRISE LTDA</t>
  </si>
  <si>
    <t>90115288300</t>
  </si>
  <si>
    <t>901152883-7</t>
  </si>
  <si>
    <t>MATERIALES Y COLORES S.A.S</t>
  </si>
  <si>
    <t>83051461000</t>
  </si>
  <si>
    <t>830514610-0</t>
  </si>
  <si>
    <t>AMBIENTES CERAMICOS LTDA</t>
  </si>
  <si>
    <t>90175759800</t>
  </si>
  <si>
    <t>901757598-1</t>
  </si>
  <si>
    <t>INVERSIONES DELGADO Y CIA S.A.S.</t>
  </si>
  <si>
    <t>90107870100</t>
  </si>
  <si>
    <t>901078701-9</t>
  </si>
  <si>
    <t>C.E.C CENTRO ESPECIALIZADO CANINO S.A.S</t>
  </si>
  <si>
    <t>90182737900</t>
  </si>
  <si>
    <t>901827379-4</t>
  </si>
  <si>
    <t>HERRAMIENTAS INDUSTRIALES Y CONSUMIBLES S A S</t>
  </si>
  <si>
    <t>80013042618</t>
  </si>
  <si>
    <t>G Y J  FERRETERIAS S.A. - " TIBASOSA "</t>
  </si>
  <si>
    <t>TIBASOSA - BOYACA</t>
  </si>
  <si>
    <t>3550817900</t>
  </si>
  <si>
    <t>35508179-9</t>
  </si>
  <si>
    <t>CARREÑO ROSENDA/DHC FERRETERIA Y PINTURAS</t>
  </si>
  <si>
    <t>3537613300</t>
  </si>
  <si>
    <t>35376133-2</t>
  </si>
  <si>
    <t>CARO ALVARADO LUZ JANETH / TEJIPERFILES J.J</t>
  </si>
  <si>
    <t>90085187300</t>
  </si>
  <si>
    <t>900851873-9</t>
  </si>
  <si>
    <t>FERREPINTURAS PUNTO COLOR S.A.S.</t>
  </si>
  <si>
    <t>90163204700</t>
  </si>
  <si>
    <t>901632047-6</t>
  </si>
  <si>
    <t>FERROCUCUTA SAS</t>
  </si>
  <si>
    <t>MARTIN BALLESTEROS - SANTANDER / NTE SANTANDER</t>
  </si>
  <si>
    <t>5205555300</t>
  </si>
  <si>
    <t>52055553-7</t>
  </si>
  <si>
    <t>CIFUENTES ARDILA GLORIA YAZMIN / FERRETERIA RAMIREZ CIFUENTES</t>
  </si>
  <si>
    <t>8047277700</t>
  </si>
  <si>
    <t>80472777-1</t>
  </si>
  <si>
    <t>WILCHES SANCHEZ DARIO / FERRESOLUCIONES DW</t>
  </si>
  <si>
    <t>1124550900</t>
  </si>
  <si>
    <t>11245509-9</t>
  </si>
  <si>
    <t>BOHORQUEZ RODRIGUEZ CESAR EUSTASIO / HIERROS Y PERFILES B Y R</t>
  </si>
  <si>
    <t>90175558700</t>
  </si>
  <si>
    <t>901755587-1</t>
  </si>
  <si>
    <t>FERRETEROS VIHER SAS</t>
  </si>
  <si>
    <t>90051574100</t>
  </si>
  <si>
    <t>900515741-5</t>
  </si>
  <si>
    <t>RADAR ELECTRICOS SAS</t>
  </si>
  <si>
    <t>900438870-7</t>
  </si>
  <si>
    <t>FERRETERIA EL MARTILLO ESPINAL S.A.S</t>
  </si>
  <si>
    <t>110022050700</t>
  </si>
  <si>
    <t>1100220507-1</t>
  </si>
  <si>
    <t>MUÑOZ GUTIERREZ OSCAR JAVIER / DEPOSITO Y FERRETERIA SANTANDER F</t>
  </si>
  <si>
    <t>MOGOTES - SANTANDER</t>
  </si>
  <si>
    <t>90061390200</t>
  </si>
  <si>
    <t>900613902-4</t>
  </si>
  <si>
    <t>PLASANFILM S.A.S.</t>
  </si>
  <si>
    <t>81500153501</t>
  </si>
  <si>
    <t>REFORMA INGENIERIA Y SUMINISTROS S.A.S. "CERRITO"</t>
  </si>
  <si>
    <t>577217900</t>
  </si>
  <si>
    <t>5772179--1</t>
  </si>
  <si>
    <t>CAMACHO QUIROGA RAFAEL EDUARDO  / FERRELECTRICOS CAMACHO</t>
  </si>
  <si>
    <t>90077539100</t>
  </si>
  <si>
    <t>900775391-5</t>
  </si>
  <si>
    <t>PINTURAS LA VIA DEL COLOR S.A.S</t>
  </si>
  <si>
    <t>80021649926</t>
  </si>
  <si>
    <t>AGOFER S.A.S - SANTA MARTA 11 NOVIEMBRE</t>
  </si>
  <si>
    <t>SANTA MARTA - MAGDALENA</t>
  </si>
  <si>
    <t>105773652700</t>
  </si>
  <si>
    <t>1057736527-7</t>
  </si>
  <si>
    <t>BERNAL AVILA FREDY HERNANDO / FERRIMUNDO SB</t>
  </si>
  <si>
    <t>107266010400</t>
  </si>
  <si>
    <t>1072660104-1</t>
  </si>
  <si>
    <t>DESALVADOR VARGAS EDILSON ARISMENDY / CITY PINTURAS LAS SABANA</t>
  </si>
  <si>
    <t>107081515500</t>
  </si>
  <si>
    <t>1070815155-7</t>
  </si>
  <si>
    <t>MORA BALLERTEROS ALVARO MANUEL  / FERRETERIA Y ELECTRICOS LA 15</t>
  </si>
  <si>
    <t>90120898800</t>
  </si>
  <si>
    <t>FERRETERIA TU CASITA S.A. "UBATE"</t>
  </si>
  <si>
    <t>UBATE - CUNDINAMARCA</t>
  </si>
  <si>
    <t>4135578900</t>
  </si>
  <si>
    <t>41355789-5</t>
  </si>
  <si>
    <t>DIAZ DIAZ RUTH TRANSITO/CENTRO HOGAR OCCIDENTE</t>
  </si>
  <si>
    <t>90190328000</t>
  </si>
  <si>
    <t>901903280-1</t>
  </si>
  <si>
    <t>EL CONSTRUCTOR DE SAN FRANCISCO DE SALES SAS</t>
  </si>
  <si>
    <t>4038718600</t>
  </si>
  <si>
    <t>40387186-8</t>
  </si>
  <si>
    <t>PARRADO MURCIA LUZ MILA/DISTRIBUIDORA ITALCOL</t>
  </si>
  <si>
    <t>GUAYABETAL - CUNDINAMARCA</t>
  </si>
  <si>
    <t>316627100</t>
  </si>
  <si>
    <t>3166271-3</t>
  </si>
  <si>
    <t>AGUILAR SANCHEZ MANUEL ANTONIO / FERRELECTRICOS A Y G</t>
  </si>
  <si>
    <t>580508200</t>
  </si>
  <si>
    <t>5805092-1</t>
  </si>
  <si>
    <t>PARRAGA LOZANO ISRAEL/FERRETERIA UNICA</t>
  </si>
  <si>
    <t>8819686900</t>
  </si>
  <si>
    <t>88196869-4</t>
  </si>
  <si>
    <t>MARTINEZ MONTEALEGRE JAVIER / FERRETERIA EL RODEO</t>
  </si>
  <si>
    <t>TAME - ARAUCA</t>
  </si>
  <si>
    <t>EVELIO GARCIA - ARAUCA</t>
  </si>
  <si>
    <t>90014297000</t>
  </si>
  <si>
    <t>900142970-3</t>
  </si>
  <si>
    <t>HIPER CENTER MAESTRO E.U</t>
  </si>
  <si>
    <t>89010896100</t>
  </si>
  <si>
    <t>890108961-8</t>
  </si>
  <si>
    <t>HIDROMAC S.A.S</t>
  </si>
  <si>
    <t>SOLEDAD - ATLANTICO</t>
  </si>
  <si>
    <t>8091889800</t>
  </si>
  <si>
    <t>80918898-9</t>
  </si>
  <si>
    <t>PINZON GONZALEZ FABIO FERRETODO F Y R</t>
  </si>
  <si>
    <t>90178556300</t>
  </si>
  <si>
    <t>901785563-1</t>
  </si>
  <si>
    <t>FERRETODO2 SAS</t>
  </si>
  <si>
    <t>90033281100</t>
  </si>
  <si>
    <t>900332811-6</t>
  </si>
  <si>
    <t>CONSTRUSOLAR BJ S.A.S.</t>
  </si>
  <si>
    <t>90135951400</t>
  </si>
  <si>
    <t>901359514-4</t>
  </si>
  <si>
    <t>MUNDIAL DE HIERROS Y PERFILES LA SABANA S.A.S.</t>
  </si>
  <si>
    <t>SESQUILE - CUNDINAMARCA</t>
  </si>
  <si>
    <t>80016791600</t>
  </si>
  <si>
    <t>800167916-0</t>
  </si>
  <si>
    <t>CORPORACION EDUCATIVA LOS ALCAPARROS</t>
  </si>
  <si>
    <t>LA CALERA - CUNDINAMARCA</t>
  </si>
  <si>
    <t>90129324300</t>
  </si>
  <si>
    <t>901293243-8</t>
  </si>
  <si>
    <t>ECOPINTURAS MADRID SAS</t>
  </si>
  <si>
    <t>86007762000</t>
  </si>
  <si>
    <t>860077620-8</t>
  </si>
  <si>
    <t>TALLER Y FERRETERIA EL CONDOR LTDA</t>
  </si>
  <si>
    <t>90079022301</t>
  </si>
  <si>
    <t>JV HIERROS Y ESTRUCTURAS S.A.S. CARRERA OCTAVA</t>
  </si>
  <si>
    <t>2816170600</t>
  </si>
  <si>
    <t>28161706-3</t>
  </si>
  <si>
    <t>JAIMES TARAZONA LUZ / FERRETERIA DONDE WILSON</t>
  </si>
  <si>
    <t>83200128500</t>
  </si>
  <si>
    <t>832001285-5</t>
  </si>
  <si>
    <t>FERRETERIA SAN PABLO COMPANIA LTDA</t>
  </si>
  <si>
    <t>1224010200</t>
  </si>
  <si>
    <t>12240102-6</t>
  </si>
  <si>
    <t>BARRERA VARGAS HENRY / FERREAGRO JJ</t>
  </si>
  <si>
    <t>TIMANA - HUILA</t>
  </si>
  <si>
    <t>90135554600</t>
  </si>
  <si>
    <t>901355546-1</t>
  </si>
  <si>
    <t>DEPOSITO EL AVENTURERO S.A.S</t>
  </si>
  <si>
    <t>655748500</t>
  </si>
  <si>
    <t>6557485-1</t>
  </si>
  <si>
    <t>BALLESTEROS RIOS FERNANDO/ALMACEN PINTU VALLE</t>
  </si>
  <si>
    <t>80025294400</t>
  </si>
  <si>
    <t>800252944-0</t>
  </si>
  <si>
    <t>LA DISTRIBUIDORA MARACAIBO S.A.</t>
  </si>
  <si>
    <t>90144899400</t>
  </si>
  <si>
    <t>901448994-8</t>
  </si>
  <si>
    <t>FERRETERIA NRR S.A.S.</t>
  </si>
  <si>
    <t>106152825500</t>
  </si>
  <si>
    <t>1061528255-1</t>
  </si>
  <si>
    <t>ARANDA IBARRA EDER ALCY / CONSTRUPIENDAA</t>
  </si>
  <si>
    <t>2349618800</t>
  </si>
  <si>
    <t>23496188-8</t>
  </si>
  <si>
    <t>CASTELLANOS  PARRA MARLEN/FERRETERIA HIPERCONSTRUCTOR</t>
  </si>
  <si>
    <t>81101242713</t>
  </si>
  <si>
    <t>FERRETERIA LOS FIERROS S.A.S "CDS ITAGUI"</t>
  </si>
  <si>
    <t>2843719500</t>
  </si>
  <si>
    <t>28437195-6</t>
  </si>
  <si>
    <t>QUIROGA PEREZ FLOR ELVA/FERRELECTRICOS EL DIAMANTE</t>
  </si>
  <si>
    <t>86005697112</t>
  </si>
  <si>
    <t>LA CAMPANA SERVICIOS DE ACERO S A "CENTRO"</t>
  </si>
  <si>
    <t>90161093600</t>
  </si>
  <si>
    <t>901610936-4</t>
  </si>
  <si>
    <t>SIGMA &amp; OMEGA CONSTRUCCION SAS</t>
  </si>
  <si>
    <t>9004112700</t>
  </si>
  <si>
    <t>900410127-0</t>
  </si>
  <si>
    <t>FERRETERIA Y DEPOSITO ALTO DE LA VIRGEN S.A.S.</t>
  </si>
  <si>
    <t>SILVANIA - CUNDINAMARCA</t>
  </si>
  <si>
    <t>110022192200</t>
  </si>
  <si>
    <t>1100221922-8</t>
  </si>
  <si>
    <t>MUÑOZ GUTIERREZ DIEGO FERNANDO/DEPOSITO DE MATERIALES LA ROJA</t>
  </si>
  <si>
    <t>80021649922</t>
  </si>
  <si>
    <t>AGOFER S.A.S - SOACHA</t>
  </si>
  <si>
    <t>90100939900</t>
  </si>
  <si>
    <t>901009399-2</t>
  </si>
  <si>
    <t>FIGUEROA SALAZAR S.A.S.</t>
  </si>
  <si>
    <t>7936747700</t>
  </si>
  <si>
    <t>79367477-2</t>
  </si>
  <si>
    <t>GALINDO GONZALEZ JHON FREDY/SUEÑO Y DISEÑO  MAGISTRAL</t>
  </si>
  <si>
    <t>90150585400</t>
  </si>
  <si>
    <t>901505854-1</t>
  </si>
  <si>
    <t>ELECTRICOS DE LA SEPTIMA SAS</t>
  </si>
  <si>
    <t>4124101200</t>
  </si>
  <si>
    <t>41241012-1</t>
  </si>
  <si>
    <t>CARBONELLY CARDONA LUZ MIRIAM/LA TIENDA DEL PINTOR No. 2</t>
  </si>
  <si>
    <t>107874882900</t>
  </si>
  <si>
    <t>1078748829-4</t>
  </si>
  <si>
    <t>TAPIERO TRIVIÑO IVAN / FERRE TAPIEROS</t>
  </si>
  <si>
    <t>1732832200</t>
  </si>
  <si>
    <t>17328322-8</t>
  </si>
  <si>
    <t>HERNANDEZ HENRY/FERRETALLER HERNANDEZ HERMANOS</t>
  </si>
  <si>
    <t>90190828300</t>
  </si>
  <si>
    <t>901908283-4</t>
  </si>
  <si>
    <t>FERRE-DEPOSITO EL PAÍS S.A.S</t>
  </si>
  <si>
    <t>80020719200</t>
  </si>
  <si>
    <t>800207192-8</t>
  </si>
  <si>
    <t>SYNTOFARMA S A</t>
  </si>
  <si>
    <t>90166378900</t>
  </si>
  <si>
    <t>901663789-5</t>
  </si>
  <si>
    <t>CONSTRUCENTER NG S.A.S</t>
  </si>
  <si>
    <t>90182430200</t>
  </si>
  <si>
    <t>901824302-4</t>
  </si>
  <si>
    <t>FERRACEL CAJICA D.B SAS</t>
  </si>
  <si>
    <t>7900217400</t>
  </si>
  <si>
    <t>79002174-1</t>
  </si>
  <si>
    <t>BUSTOS JOSE EDILBERTO/DEPOSITO DE MATERIALES PROGRESAR</t>
  </si>
  <si>
    <t>GUADUAS - CUNDINAMARCA</t>
  </si>
  <si>
    <t>90095420200</t>
  </si>
  <si>
    <t>900954202-1</t>
  </si>
  <si>
    <t>GRUPO HE S.A.S.</t>
  </si>
  <si>
    <t>MONTELIBANO - CORDOBA</t>
  </si>
  <si>
    <t>90100559000</t>
  </si>
  <si>
    <t>901005590-5</t>
  </si>
  <si>
    <t>HIPERCENTRO MATATIGRES S.A.S.</t>
  </si>
  <si>
    <t>731511100</t>
  </si>
  <si>
    <t>7315111-8</t>
  </si>
  <si>
    <t>ISAZA SUAREZ CESAR LIBARDO</t>
  </si>
  <si>
    <t>90185816900</t>
  </si>
  <si>
    <t>901858169-7</t>
  </si>
  <si>
    <t>FERRETERIA LA NOTA SAS</t>
  </si>
  <si>
    <t>1220615800</t>
  </si>
  <si>
    <t>12206158-4</t>
  </si>
  <si>
    <t>PERDOMO ISRAEL/ FERRETO I V 2</t>
  </si>
  <si>
    <t>90152717800</t>
  </si>
  <si>
    <t>901527178-3</t>
  </si>
  <si>
    <t>VENTURANOI INMOBILIARIA SAS</t>
  </si>
  <si>
    <t>80013042627</t>
  </si>
  <si>
    <t>G Y J  FERRETERIAS S.A. - IBAGUE JARDIN</t>
  </si>
  <si>
    <t>90131053400</t>
  </si>
  <si>
    <t>901310534-1</t>
  </si>
  <si>
    <t>FERREEBANISTA DORADAL S.A.S</t>
  </si>
  <si>
    <t>PUERTO TRIUNFO - ANTIOQUIA</t>
  </si>
  <si>
    <t>5312457800</t>
  </si>
  <si>
    <t>53124578-0</t>
  </si>
  <si>
    <t>DIAZ ALFONSO SANDRA / CENTRAL DE PINTURAS S.M</t>
  </si>
  <si>
    <t>90110005400</t>
  </si>
  <si>
    <t>901100054-5</t>
  </si>
  <si>
    <t>COMERCIALIZADORA SUR ANDINA S.A.S.</t>
  </si>
  <si>
    <t>5261581200</t>
  </si>
  <si>
    <t>52615812-3</t>
  </si>
  <si>
    <t>COTACIO CONEJO ROSA NELLY/ CONSTRUCENTER NC</t>
  </si>
  <si>
    <t>7633043300</t>
  </si>
  <si>
    <t>76330433-8</t>
  </si>
  <si>
    <t>TORRES ZUÑIGA IVAN ENRIQUE</t>
  </si>
  <si>
    <t>90035690200</t>
  </si>
  <si>
    <t>900356902-1</t>
  </si>
  <si>
    <t>TONOCOLOR S.A.S</t>
  </si>
  <si>
    <t>90054529300</t>
  </si>
  <si>
    <t>900545293-5</t>
  </si>
  <si>
    <t>DMENTAL S.A.S</t>
  </si>
  <si>
    <t>8012439000</t>
  </si>
  <si>
    <t>80124390-1</t>
  </si>
  <si>
    <t>CASTILLO MATEUS ALFRED NEY/NEY PINTURAS</t>
  </si>
  <si>
    <t>7972189300</t>
  </si>
  <si>
    <t>79721893-1</t>
  </si>
  <si>
    <t>ROBLES CHABUR VICTOR HUGO</t>
  </si>
  <si>
    <t>1945514900</t>
  </si>
  <si>
    <t>19455149-0</t>
  </si>
  <si>
    <t>HUERTAS ESPINOSA JAIRO / TALLERES HUERTAS E J</t>
  </si>
  <si>
    <t>112484857900</t>
  </si>
  <si>
    <t>1124848579-3</t>
  </si>
  <si>
    <t>DIAZ BURBANO MARIA MAGDALENA/FERRETERIA EL CONSTRUCTOR MOCOA</t>
  </si>
  <si>
    <t>318742000</t>
  </si>
  <si>
    <t>3187420-4</t>
  </si>
  <si>
    <t>MONCADA QUILAGUY JOSE VICENTE/FERRICENTRO SUESCA</t>
  </si>
  <si>
    <t>SUESCA - CUNDINAMARCA</t>
  </si>
  <si>
    <t>5178197100</t>
  </si>
  <si>
    <t>51781971-2</t>
  </si>
  <si>
    <t>SANCHEZ FUENTES ALICIA MARCELA</t>
  </si>
  <si>
    <t>414873400</t>
  </si>
  <si>
    <t>4148734-9</t>
  </si>
  <si>
    <t>RUIZ FERNANDEZ TITO/FERRETERIA CONSTRURUIZ</t>
  </si>
  <si>
    <t>7900056100</t>
  </si>
  <si>
    <t>79000561-8</t>
  </si>
  <si>
    <t>RIOS OLIVERIO/VENTAS LEIDY</t>
  </si>
  <si>
    <t>106892749700</t>
  </si>
  <si>
    <t>1068927497-4</t>
  </si>
  <si>
    <t>GONZALEZ LOZADA DIANA PATRCIA  / FERRE ELECTRICOS EL VIRREY</t>
  </si>
  <si>
    <t>90176343500</t>
  </si>
  <si>
    <t>901763435-2</t>
  </si>
  <si>
    <t>FERRETERIA BRAKHOT SAS</t>
  </si>
  <si>
    <t>103238834100</t>
  </si>
  <si>
    <t>1032388341-1</t>
  </si>
  <si>
    <t>ROJAS LOPEZ CESAR AUGUSTO / FERRELECTRICOS ROJITAS</t>
  </si>
  <si>
    <t>319232700</t>
  </si>
  <si>
    <t>31923277-7</t>
  </si>
  <si>
    <t>TENORIO PEREA FABIOLA/FERRETENORIO</t>
  </si>
  <si>
    <t>3780436300</t>
  </si>
  <si>
    <t>37804363-4</t>
  </si>
  <si>
    <t>SERRANO RUEDA SARA/LA CASA DE LAS PINTURAS-PAMPLONA</t>
  </si>
  <si>
    <t>90172848200</t>
  </si>
  <si>
    <t>901728482-0</t>
  </si>
  <si>
    <t>CABRERA COMEX S.A.S.</t>
  </si>
  <si>
    <t>JORGE CASTRO - AMAZONAS</t>
  </si>
  <si>
    <t>90168170900</t>
  </si>
  <si>
    <t>901681709-2</t>
  </si>
  <si>
    <t>FERREPLASTICS S.A.S.</t>
  </si>
  <si>
    <t>90003292600</t>
  </si>
  <si>
    <t>900032926-7</t>
  </si>
  <si>
    <t>FERRETERIA AVIFER S.A.S.</t>
  </si>
  <si>
    <t>90106963900</t>
  </si>
  <si>
    <t>901069639-1</t>
  </si>
  <si>
    <t>FERREDEPOSITO EL CONSTRUCTOR AGIL SAS</t>
  </si>
  <si>
    <t>108387523800</t>
  </si>
  <si>
    <t>1083875238-3</t>
  </si>
  <si>
    <t>ANACONA PORTELA WENDY DANIELA / FERREANDINOS</t>
  </si>
  <si>
    <t>90181847300</t>
  </si>
  <si>
    <t>901818473-0</t>
  </si>
  <si>
    <t>PINTURA GIG@ S.A.S</t>
  </si>
  <si>
    <t>3972810100</t>
  </si>
  <si>
    <t>39728101-3</t>
  </si>
  <si>
    <t>SABOGAL VELASQUEZ ISMENIA/PINTURAS ISME</t>
  </si>
  <si>
    <t>OROCUE - CASANARE</t>
  </si>
  <si>
    <t>80001363800</t>
  </si>
  <si>
    <t>800013638-7</t>
  </si>
  <si>
    <t>FLORES SAGARO S.A.</t>
  </si>
  <si>
    <t>90196343900</t>
  </si>
  <si>
    <t>901963439-1</t>
  </si>
  <si>
    <t>CONSORCIO CIVIL PA</t>
  </si>
  <si>
    <t>8041697300</t>
  </si>
  <si>
    <t>80416973-9</t>
  </si>
  <si>
    <t>PEREZ ARISMENDY PABLO/PINTURAS MILENIO</t>
  </si>
  <si>
    <t>80023180100</t>
  </si>
  <si>
    <t>800231801-6</t>
  </si>
  <si>
    <t>COLHIERROS LTDA</t>
  </si>
  <si>
    <t>80023804100</t>
  </si>
  <si>
    <t>800238041-7</t>
  </si>
  <si>
    <t>INVERFARMA SAS</t>
  </si>
  <si>
    <t>90030879400</t>
  </si>
  <si>
    <t>900308794-8</t>
  </si>
  <si>
    <t>COMPLEJO LOGISTICO E INDUSTRIAL SIBERIA</t>
  </si>
  <si>
    <t>100391676500</t>
  </si>
  <si>
    <t>1003916765-1</t>
  </si>
  <si>
    <t>QUIROGA GAONA CRISTIAN ANTONIO / FERRE MAC</t>
  </si>
  <si>
    <t>901345813</t>
  </si>
  <si>
    <t>901345813-0</t>
  </si>
  <si>
    <t>DEPOSITO RONOVA S.A.S</t>
  </si>
  <si>
    <t>101428411500</t>
  </si>
  <si>
    <t>1014284115-9</t>
  </si>
  <si>
    <t>CARRANZA DIAZ JAIME ALONSO / FERRETERIA Y PERFILERIA EL AMIGO</t>
  </si>
  <si>
    <t>90140181500</t>
  </si>
  <si>
    <t>901401815-5</t>
  </si>
  <si>
    <t>ENTRE VIAS FERRETERIA S.A.S.</t>
  </si>
  <si>
    <t>2402345100</t>
  </si>
  <si>
    <t>24023451-5</t>
  </si>
  <si>
    <t>RODRIGUEZ SAAVEDRA DEYBY CAROLINA/FERRELECTRICOS EL  CONSTRUCTOR</t>
  </si>
  <si>
    <t>90166222500</t>
  </si>
  <si>
    <t>901662225-9</t>
  </si>
  <si>
    <t>INVERSIONES PINTA KOLOR SAS</t>
  </si>
  <si>
    <t>90120355600</t>
  </si>
  <si>
    <t>901203556-3</t>
  </si>
  <si>
    <t>J J SMITH PERFILERIA S.A.S.</t>
  </si>
  <si>
    <t>90142609400</t>
  </si>
  <si>
    <t>901426094-1</t>
  </si>
  <si>
    <t>DEPOSITO  DE MATERIALES EL CARRIZAL S.A.S</t>
  </si>
  <si>
    <t>3969881400</t>
  </si>
  <si>
    <t>39698814-6</t>
  </si>
  <si>
    <t>BUSTOS ACEVEDO MARIA ELENA/FERRELECTRICOS MARIA INES</t>
  </si>
  <si>
    <t>90145156800</t>
  </si>
  <si>
    <t>901451568-4</t>
  </si>
  <si>
    <t>FERRETERIA Y AGREGADOS LA CIMA S.A.S.</t>
  </si>
  <si>
    <t>90119228600</t>
  </si>
  <si>
    <t>901192286-0</t>
  </si>
  <si>
    <t>GRUPO EMPRESARIAL CUNDINAMARCA SAS</t>
  </si>
  <si>
    <t>83013064800</t>
  </si>
  <si>
    <t>830130648-0</t>
  </si>
  <si>
    <t>CODEGAS S.A. E.S.P.</t>
  </si>
  <si>
    <t>2868290000</t>
  </si>
  <si>
    <t>28682900-1</t>
  </si>
  <si>
    <t>CARRERO SIDNEY/PINTURAS JHAIDER</t>
  </si>
  <si>
    <t>3453378600</t>
  </si>
  <si>
    <t>34533786-1</t>
  </si>
  <si>
    <t>COLLAZOS CASTAÑEDA ALBA LUCIA / FERRETERIA LA ONCE</t>
  </si>
  <si>
    <t>CORINTO - CAUCA</t>
  </si>
  <si>
    <t>90159649400</t>
  </si>
  <si>
    <t>901596494-0</t>
  </si>
  <si>
    <t>CASA HIERRO CUMARAL S.A.S.</t>
  </si>
  <si>
    <t>CUMARAL - META</t>
  </si>
  <si>
    <t>90038656500</t>
  </si>
  <si>
    <t>900386565-0</t>
  </si>
  <si>
    <t>INGSOLCONS S.A.S.</t>
  </si>
  <si>
    <t>4160369300</t>
  </si>
  <si>
    <t>41603693-1</t>
  </si>
  <si>
    <t>HERNANDEZ MYRIAM CONSUELO/ELECTROFERRETERIA EXITO</t>
  </si>
  <si>
    <t>102625358600</t>
  </si>
  <si>
    <t>1026253586-5</t>
  </si>
  <si>
    <t>OLARTE ACOSTA ZULLY ESNEDY</t>
  </si>
  <si>
    <t>90046230900</t>
  </si>
  <si>
    <t>900462309-7</t>
  </si>
  <si>
    <t>W.W CONSTRUC TOR S. A. S.</t>
  </si>
  <si>
    <t>CARMEN DE VIBORAL - ANTIOQUIA</t>
  </si>
  <si>
    <t>90054946000</t>
  </si>
  <si>
    <t>900549460-7</t>
  </si>
  <si>
    <t>DISTRIBUIDORA DE MATERIALES H Y M S.A.S</t>
  </si>
  <si>
    <t>110022185600</t>
  </si>
  <si>
    <t>1100221856-1</t>
  </si>
  <si>
    <t>PINZON ZABALA AURA NAYIBE / FERREDEPOSITO TIBABITA</t>
  </si>
  <si>
    <t>110236710000</t>
  </si>
  <si>
    <t>1102367100-5</t>
  </si>
  <si>
    <t>RICO ROJAS KAREN/HIERROS DEL NORTE</t>
  </si>
  <si>
    <t>1731465700</t>
  </si>
  <si>
    <t>17314657-9</t>
  </si>
  <si>
    <t>UMAÑA LOZANO LUIS MARIA/PINTURAS EL LLANERO</t>
  </si>
  <si>
    <t>327555500</t>
  </si>
  <si>
    <t>3275555-7</t>
  </si>
  <si>
    <t>CESPEDES EDILBERTO/ORIENTAL DE PINTURAS</t>
  </si>
  <si>
    <t>5247729100</t>
  </si>
  <si>
    <t>52477291-3</t>
  </si>
  <si>
    <t>CALDERON SUA MARGARITA DEL CARMEN/PINTURAS TITANIK 2021</t>
  </si>
  <si>
    <t>1134601600</t>
  </si>
  <si>
    <t>11346016-3</t>
  </si>
  <si>
    <t>PATAQUIVA ACHURY RUBEN DARIO</t>
  </si>
  <si>
    <t>90078329700</t>
  </si>
  <si>
    <t>900783297-4</t>
  </si>
  <si>
    <t>LASEFE S.A.S</t>
  </si>
  <si>
    <t>4148021300</t>
  </si>
  <si>
    <t>41480213-1</t>
  </si>
  <si>
    <t>MARTINEZ CAÑON ROSA LILIA/FERRE-DEPOSITO MARTINEZ</t>
  </si>
  <si>
    <t>1016914200</t>
  </si>
  <si>
    <t>10169142</t>
  </si>
  <si>
    <t>CARMONA HERNANDEZ JAIRO/FERRE ESPAÑA</t>
  </si>
  <si>
    <t>5217917600</t>
  </si>
  <si>
    <t>52179176-6</t>
  </si>
  <si>
    <t>HERRAN RODRIGUEZ PURIFICACION/PINTURAS J.P</t>
  </si>
  <si>
    <t>4636502200</t>
  </si>
  <si>
    <t>46365022-6</t>
  </si>
  <si>
    <t>VEGA MORA MARIA OLIVIA/ PERFILAMINAS Y ACEROS</t>
  </si>
  <si>
    <t>8016752800</t>
  </si>
  <si>
    <t>80167528-5</t>
  </si>
  <si>
    <t>ZEA DAZA JUAN CARLOS/SERVIPINTURAS S Y C</t>
  </si>
  <si>
    <t>80015621300</t>
  </si>
  <si>
    <t>800156213-4</t>
  </si>
  <si>
    <t>BIOQUIFAR PHARMACEUTICA S.A.</t>
  </si>
  <si>
    <t>86005697114</t>
  </si>
  <si>
    <t>LA CAMPANA SERVICIOS DE ACERO S A "IBAGUE"</t>
  </si>
  <si>
    <t>2098398500</t>
  </si>
  <si>
    <t>20983985-1</t>
  </si>
  <si>
    <t>CAMACHO JURADO LUCENIA/MULTICONSTRUCTOR L.C.</t>
  </si>
  <si>
    <t>1222953200</t>
  </si>
  <si>
    <t>12229532-5</t>
  </si>
  <si>
    <t>RAMIREZ CARRERO JORGE/FERRE-TRIPLEX Y PINTURAS SAN MIGUEL</t>
  </si>
  <si>
    <t>90015953700</t>
  </si>
  <si>
    <t>900159537-1</t>
  </si>
  <si>
    <t>ESTUDIOS EDIFICACIONES E INTERVENTORIAS EN INGENIERIA EEII S.A.S.</t>
  </si>
  <si>
    <t>86005998500</t>
  </si>
  <si>
    <t>860059985-4</t>
  </si>
  <si>
    <t>REFORPLAS S A S</t>
  </si>
  <si>
    <t>103241665800</t>
  </si>
  <si>
    <t>1032416658-1</t>
  </si>
  <si>
    <t>MORENO ROCHA YULY ANDREA/FERRELECTRICOS MORENO</t>
  </si>
  <si>
    <t>1916758800</t>
  </si>
  <si>
    <t>19167588-5</t>
  </si>
  <si>
    <t>OJEDA CUERVO DANIEL ANTONIO/PINTURAS PUNTO NET 2</t>
  </si>
  <si>
    <t>90072213300</t>
  </si>
  <si>
    <t>900722133-4</t>
  </si>
  <si>
    <t>MATERIALES FERROCAVIR S.A.S.</t>
  </si>
  <si>
    <t>90120898808</t>
  </si>
  <si>
    <t>FERRETERIA TU CASITA S.A. "TAUSA"</t>
  </si>
  <si>
    <t>TAUSA - CUNDINAMARCA</t>
  </si>
  <si>
    <t>1018478826</t>
  </si>
  <si>
    <t>PINZON CARDENAS JAIME ERNESTO / PINTAPINTOR</t>
  </si>
  <si>
    <t>80008342200</t>
  </si>
  <si>
    <t>800083422-2</t>
  </si>
  <si>
    <t>CONSICON LTDA</t>
  </si>
  <si>
    <t>90048943700</t>
  </si>
  <si>
    <t>900489437-9</t>
  </si>
  <si>
    <t>FERRETERIA SAE SAS</t>
  </si>
  <si>
    <t>107242995500</t>
  </si>
  <si>
    <t>1072429955-4</t>
  </si>
  <si>
    <t>SUTACHAN SUAREZ FELIX SHADAY / FERRESUAREZ</t>
  </si>
  <si>
    <t>90055714900</t>
  </si>
  <si>
    <t>900557149-4</t>
  </si>
  <si>
    <t>PUENTES E HIJOS Y CIA S.A.S.</t>
  </si>
  <si>
    <t>100694858600</t>
  </si>
  <si>
    <t>1006948586-6</t>
  </si>
  <si>
    <t>DAZA QUINTERO SAMUEL ALEJANDRO / PINTURAS SELVACOLOR</t>
  </si>
  <si>
    <t>8042058800</t>
  </si>
  <si>
    <t>80420588-1</t>
  </si>
  <si>
    <t>OCHOA AVENDAÑO JULIO ROBETO/VINILPLAST Y REVESTIMIENTOS</t>
  </si>
  <si>
    <t>426894700</t>
  </si>
  <si>
    <t>4268947-5</t>
  </si>
  <si>
    <t>QUINTERO RAMIREZ JOSE MANUEL/MATERIALES DINAMARCA</t>
  </si>
  <si>
    <t>8050402600</t>
  </si>
  <si>
    <t>80504026-6</t>
  </si>
  <si>
    <t>VEGA GARZON JOSE MANUEL</t>
  </si>
  <si>
    <t>7920949900</t>
  </si>
  <si>
    <t>79209499-8</t>
  </si>
  <si>
    <t>BUITRAGO ASTROZ LUIS ALBERTO/PINTURAS MUCHO COLOR</t>
  </si>
  <si>
    <t>90096814800</t>
  </si>
  <si>
    <t>900968148-0</t>
  </si>
  <si>
    <t>ALMACEN EL INGENIERO SAS</t>
  </si>
  <si>
    <t>90141639200</t>
  </si>
  <si>
    <t>901416392-7</t>
  </si>
  <si>
    <t>DJH CONSTRUCCIONES SAS</t>
  </si>
  <si>
    <t>90013521600</t>
  </si>
  <si>
    <t>900135216-9</t>
  </si>
  <si>
    <t>IPERMETAL SOCIAEDAD POR ACCIONES SIMPLIFICADAS</t>
  </si>
  <si>
    <t>102625682400</t>
  </si>
  <si>
    <t>1026256824-7</t>
  </si>
  <si>
    <t>PALACIOS ALDANA OLGA LUCIA/ FERRELECTRICOS JERUSALEN</t>
  </si>
  <si>
    <t>8026336100</t>
  </si>
  <si>
    <t>80263361-3</t>
  </si>
  <si>
    <t>ROJAS PRIETO CARLOS ANTONIO/FERRELECTRICOS EL AMIGO</t>
  </si>
  <si>
    <t>1942647800</t>
  </si>
  <si>
    <t>19426478-5</t>
  </si>
  <si>
    <t>MARTINEZ CAMPOS PEDRO/FERREDEPOSITO E-SMART</t>
  </si>
  <si>
    <t>1941725100</t>
  </si>
  <si>
    <t>19417251-2</t>
  </si>
  <si>
    <t>LEON AGUDELO JORGE/DISTRIELECTRICOS Y FERRETERIA DLEON</t>
  </si>
  <si>
    <t>5256070500</t>
  </si>
  <si>
    <t>52560705-5</t>
  </si>
  <si>
    <t>MARTINEZ MALDONADO FLOR MARLEN</t>
  </si>
  <si>
    <t>117403600</t>
  </si>
  <si>
    <t>1174036-5</t>
  </si>
  <si>
    <t>ROZO JORGE ORLANDO/COMERCIALIZADORA UNIVERSAL DEL HIERRO</t>
  </si>
  <si>
    <t>9334150800</t>
  </si>
  <si>
    <t>93341508-0</t>
  </si>
  <si>
    <t>OTALVARO MARTINEZ WELMESTER/AUTOPINTURAS WEL¨S</t>
  </si>
  <si>
    <t>3977143400</t>
  </si>
  <si>
    <t>39771434-2</t>
  </si>
  <si>
    <t>SALAMANCA MOLINA ANA VERONICA / PINTA COLORPLUSS</t>
  </si>
  <si>
    <t>90149982900</t>
  </si>
  <si>
    <t>901499829-9</t>
  </si>
  <si>
    <t>FERRETERIA AFC SAS</t>
  </si>
  <si>
    <t>5194697200</t>
  </si>
  <si>
    <t>51946972-1</t>
  </si>
  <si>
    <t>GAMBOA QUINTANA ANA VICTORIA / ALMACEN PINTURAS R.A.</t>
  </si>
  <si>
    <t>5200542400</t>
  </si>
  <si>
    <t>52005424-1</t>
  </si>
  <si>
    <t>MONTAÑA RIAÑO FANNY/PINTURAS FANNY MONTAÑA</t>
  </si>
  <si>
    <t>90188340200</t>
  </si>
  <si>
    <t>901883402-4</t>
  </si>
  <si>
    <t>HIERROS GAMA SAS</t>
  </si>
  <si>
    <t>PALERMO - HUILA</t>
  </si>
  <si>
    <t>8608303700</t>
  </si>
  <si>
    <t>86083037-0</t>
  </si>
  <si>
    <t>MURCIA GARAVITO MARCO FIDEL/HIERROS Y PERFILES MURCIA</t>
  </si>
  <si>
    <t>644652900</t>
  </si>
  <si>
    <t>6446529-0</t>
  </si>
  <si>
    <t>FLORES CUBILLOS ROBERT ESNEIDER / ALMACEN MULTIPINTURAS No 2</t>
  </si>
  <si>
    <t>1395612400</t>
  </si>
  <si>
    <t>13956124-5</t>
  </si>
  <si>
    <t>CHACON PARDO FERNEY / METALICAS CHACON</t>
  </si>
  <si>
    <t>5241426200</t>
  </si>
  <si>
    <t>52414262-1</t>
  </si>
  <si>
    <t>GUTIERREZ SANTOS DORIS CLEMENCIA/FERRE DEPOSITO AV CIUDAD DE CALI</t>
  </si>
  <si>
    <t>110929716400</t>
  </si>
  <si>
    <t>1109297164-0</t>
  </si>
  <si>
    <t>ZAPATA SANDOVAL SANDRA LORENA / PINTURAS L J L</t>
  </si>
  <si>
    <t>90055342700</t>
  </si>
  <si>
    <t>900553427-9</t>
  </si>
  <si>
    <t>BAOCONSTRUCCIONES S.A.S.</t>
  </si>
  <si>
    <t>QUIBDO - CHOCO</t>
  </si>
  <si>
    <t>1939521200</t>
  </si>
  <si>
    <t>19395212-9</t>
  </si>
  <si>
    <t>GARCIA PULIDO ALFREDO/FERRETERIA SOLO PINTURAS</t>
  </si>
  <si>
    <t>112184671400</t>
  </si>
  <si>
    <t>1121846714-1</t>
  </si>
  <si>
    <t>CASTILLO PRADO YEISON SALEJANDRO / PINTUMADERAS LOS PINOS</t>
  </si>
  <si>
    <t>9337372100</t>
  </si>
  <si>
    <t>93373721-0</t>
  </si>
  <si>
    <t>ROJAS MEDINA FIDEL/FERRETERIA EL TORREON</t>
  </si>
  <si>
    <t>943332600</t>
  </si>
  <si>
    <t>9433326-7</t>
  </si>
  <si>
    <t>LOPEZ TABACO EDILMER/ EDWIN DISTRISUMINISTROS EYL</t>
  </si>
  <si>
    <t>7939551100</t>
  </si>
  <si>
    <t>79395511-4</t>
  </si>
  <si>
    <t>PAEZ FUQUENE CARLOS ALBERTO/LA CHISPA DEL COLOR</t>
  </si>
  <si>
    <t>83001549200</t>
  </si>
  <si>
    <t>830015492-7</t>
  </si>
  <si>
    <t>MADERAS Y MATERIALES SABOGAL SALAMANCA Y CIA LTDA</t>
  </si>
  <si>
    <t>101427577200</t>
  </si>
  <si>
    <t>1014275772-1</t>
  </si>
  <si>
    <t>ALARCON CALIXTO GINNA ESTEFANIA / FERREDEPOSITO NORMADIA</t>
  </si>
  <si>
    <t>4036619701</t>
  </si>
  <si>
    <t>CARREÑO YOLANDA/FERREPINTURAS DEL PUERTO "SUC VICHADA"</t>
  </si>
  <si>
    <t>1055433300</t>
  </si>
  <si>
    <t>10554333-1</t>
  </si>
  <si>
    <t>CELERIO VIAFARA FRANCISCO / DISTRIBUIDORA PUERTO TEJADA</t>
  </si>
  <si>
    <t>PUERTO TEJADA - CAUCA</t>
  </si>
  <si>
    <t>9129518800</t>
  </si>
  <si>
    <t>91295188-2</t>
  </si>
  <si>
    <t>CORONEL LOPEZ CARLOS EDUARDO  / COMERCIALIZADORA CORONEL " SUCURSAL  GIRON"</t>
  </si>
  <si>
    <t>409730900</t>
  </si>
  <si>
    <t>4097309-1</t>
  </si>
  <si>
    <t>RODRIGUEZ CASTRO JORGE ALVEIRO / FERREPINTURAS JR</t>
  </si>
  <si>
    <t>7962649900</t>
  </si>
  <si>
    <t>79626499-6</t>
  </si>
  <si>
    <t>BOHORQUEZ ALBA HECTOR DANIEL/FERRETERIA DANNER</t>
  </si>
  <si>
    <t>90026873600</t>
  </si>
  <si>
    <t>900268736-8</t>
  </si>
  <si>
    <t>HIERROS Y PERFILES LA 80 LTDA</t>
  </si>
  <si>
    <t>90069375200</t>
  </si>
  <si>
    <t>900693752-8</t>
  </si>
  <si>
    <t>SERVINDUSTRIALES DEL VALLE S.A.S</t>
  </si>
  <si>
    <t>5184467200</t>
  </si>
  <si>
    <t>51844672-7</t>
  </si>
  <si>
    <t>BARRERA LADINO FLOR/DEPOSITO Y FERRETERIA EL CAIMITO</t>
  </si>
  <si>
    <t>112185380400</t>
  </si>
  <si>
    <t>1121853804-5</t>
  </si>
  <si>
    <t>MORENO HERNANDEZ PETER WISSERMAN HARRIS / PINTUMETA</t>
  </si>
  <si>
    <t>1114886508000</t>
  </si>
  <si>
    <t>1114886508-0</t>
  </si>
  <si>
    <t>SANTACRUZ MUÑOZ LUIS CARLOS  / PINTURAS MILTONOS DE MIRANDA</t>
  </si>
  <si>
    <t>MIRANDA - CAUCA</t>
  </si>
  <si>
    <t>80410938300</t>
  </si>
  <si>
    <t>80410938-3</t>
  </si>
  <si>
    <t>OCHOA AVENDAÑO GABRIEL/GRAFI- PINTURAS</t>
  </si>
  <si>
    <t>90094092700</t>
  </si>
  <si>
    <t>900940927-1</t>
  </si>
  <si>
    <t>FERRELECTRICOS PINZON C A XX S.A.S</t>
  </si>
  <si>
    <t>1494389600</t>
  </si>
  <si>
    <t>14943896-1</t>
  </si>
  <si>
    <t>POTOSI TULANDE ELVIO/PINTURAS LA GLORIETA</t>
  </si>
  <si>
    <t>111506559400</t>
  </si>
  <si>
    <t>1115065594-4</t>
  </si>
  <si>
    <t>JHON JAIRO RAMIREZ/SEGUNDAZO JJ</t>
  </si>
  <si>
    <t>90145936500</t>
  </si>
  <si>
    <t>901459365-2</t>
  </si>
  <si>
    <t>PINTURAS DE CHIA S.A.S.</t>
  </si>
  <si>
    <t>109921438500</t>
  </si>
  <si>
    <t>1099214385-0</t>
  </si>
  <si>
    <t>HERRERO VELASCO JULIETH DAYANA / FERRETERIA MH BARBOSA</t>
  </si>
  <si>
    <t>5212510800</t>
  </si>
  <si>
    <t>52125108-3</t>
  </si>
  <si>
    <t>SANCHEZ YANETH/FERREVIDRIOS SAN LUIS</t>
  </si>
  <si>
    <t>90167393600</t>
  </si>
  <si>
    <t>901673936-4</t>
  </si>
  <si>
    <t>FERREPINTURAS KIKE SAS</t>
  </si>
  <si>
    <t>4146548600</t>
  </si>
  <si>
    <t>41465486-0</t>
  </si>
  <si>
    <t>TRIANA ANTONINA/ALMACEN PINTUMEZCLAS-LA DORADA</t>
  </si>
  <si>
    <t>90179490000</t>
  </si>
  <si>
    <t>901794900-9</t>
  </si>
  <si>
    <t>FERRE10 S.A.S</t>
  </si>
  <si>
    <t>2855797300</t>
  </si>
  <si>
    <t>28557973-4</t>
  </si>
  <si>
    <t>ARBELAEZ HURTADO SANDRA LILIANA / FERRETERIA EL TURCO</t>
  </si>
  <si>
    <t>1941905300</t>
  </si>
  <si>
    <t>19419053-1</t>
  </si>
  <si>
    <t>SALAZAR ESCOBAR DIEGO FERNANDO/TRIGO Y CENTENO 2</t>
  </si>
  <si>
    <t>90184357400</t>
  </si>
  <si>
    <t>901843574-1</t>
  </si>
  <si>
    <t>DISTRIBUIDORA FERRECENTER S.A.S</t>
  </si>
  <si>
    <t>AGUAZUL - CASANARE</t>
  </si>
  <si>
    <t>90135580900</t>
  </si>
  <si>
    <t>901355809-3</t>
  </si>
  <si>
    <t>COMERCIALIZADORA PINTUDESPENSA S.A.S.</t>
  </si>
  <si>
    <t>105746365100</t>
  </si>
  <si>
    <t>1057463651-1</t>
  </si>
  <si>
    <t>JIMENEZ CEPEDA ANDREA CAROLINA</t>
  </si>
  <si>
    <t>5163124500</t>
  </si>
  <si>
    <t>51631245-0</t>
  </si>
  <si>
    <t>PEREZ PEREZ ELIZABETH/FERREIDEAL</t>
  </si>
  <si>
    <t>80008092600</t>
  </si>
  <si>
    <t>800080926-9</t>
  </si>
  <si>
    <t>INDUSTRIAS METALCIVIL GEOAMBIENTAL IMGEO S.A.S.</t>
  </si>
  <si>
    <t>90047388101</t>
  </si>
  <si>
    <t>900473881-6</t>
  </si>
  <si>
    <t>DISTRIBUCIONES AGUILAR Y HERRERA S.A.S "SUC CANDELARIA"</t>
  </si>
  <si>
    <t>90108894201</t>
  </si>
  <si>
    <t>901088942-1</t>
  </si>
  <si>
    <t>FERREPINTURAS JP SAS</t>
  </si>
  <si>
    <t>90141136400</t>
  </si>
  <si>
    <t>901411364-8</t>
  </si>
  <si>
    <t>DISTRIBUIDORA DE MATERIALES PARA LA CONSTRUCCION DISTRILOPEZ S.A.S.</t>
  </si>
  <si>
    <t>90155426500</t>
  </si>
  <si>
    <t>901554265-0</t>
  </si>
  <si>
    <t>FERREDEPOSITO PUNTO 67 SAS "SUCURSAL No 1"</t>
  </si>
  <si>
    <t>8305008800</t>
  </si>
  <si>
    <t>830500888-1</t>
  </si>
  <si>
    <t>COMERCIALIZADORA RUSSIS LTDA</t>
  </si>
  <si>
    <t>90198690000</t>
  </si>
  <si>
    <t>901986900-3</t>
  </si>
  <si>
    <t>DISTRILAM EL VALLADO S.A.S.</t>
  </si>
  <si>
    <t>2091655500</t>
  </si>
  <si>
    <t>20916555-0</t>
  </si>
  <si>
    <t>CASTILLO AREVALO PATRICIA / FERRETERIA SANTIMAR</t>
  </si>
  <si>
    <t>5234496100</t>
  </si>
  <si>
    <t>52344961-9</t>
  </si>
  <si>
    <t>MATIZ ARIAS LUZ MARINA/AEROPINTURAS EL REFUGIO SOFI</t>
  </si>
  <si>
    <t>90069914401</t>
  </si>
  <si>
    <t>ACEROS FACAR S.A.S. "TOCAIMA"</t>
  </si>
  <si>
    <t>90090185500</t>
  </si>
  <si>
    <t>900901855-1</t>
  </si>
  <si>
    <t>FERRETERIA LA CASTELLANA S.A.S.</t>
  </si>
  <si>
    <t>3184775900</t>
  </si>
  <si>
    <t>31847759-1</t>
  </si>
  <si>
    <t>SANCHEZ LOPEZ ADIELA/FERRECONDOR LA 44</t>
  </si>
  <si>
    <t>90027171600</t>
  </si>
  <si>
    <t>900271716-1</t>
  </si>
  <si>
    <t>ELECTRO-GRIFERIAS Y PINTURAS DE LA 90 LTDA</t>
  </si>
  <si>
    <t>6339624100</t>
  </si>
  <si>
    <t>63396241-7</t>
  </si>
  <si>
    <t>TORRES HERNANDEZ ANA MILENA/FERRETERIA LA ARBOLEDA TOR2</t>
  </si>
  <si>
    <t>90188443300</t>
  </si>
  <si>
    <t>901884433-7</t>
  </si>
  <si>
    <t>FERRETERIA CONSTRUMAC S.A.S</t>
  </si>
  <si>
    <t>80022810100</t>
  </si>
  <si>
    <t>800228101-8</t>
  </si>
  <si>
    <t>FERRETERIA MUNDIAL LTDA</t>
  </si>
  <si>
    <t>PUERTO BOYACA - BOYACA</t>
  </si>
  <si>
    <t>90122513000</t>
  </si>
  <si>
    <t>901225130-4</t>
  </si>
  <si>
    <t>INVERSIONES G1 SAS</t>
  </si>
  <si>
    <t>5206584600</t>
  </si>
  <si>
    <t>52065846-2</t>
  </si>
  <si>
    <t>FUQUENE FARFAN JACQUELINE / ALMACEN DE PINTURAS DISOLPINT</t>
  </si>
  <si>
    <t>90047414200</t>
  </si>
  <si>
    <t>900474142-6</t>
  </si>
  <si>
    <t>MUÑOZ INGENIERIA S A S EN REORGANIZACION</t>
  </si>
  <si>
    <t>7933269700</t>
  </si>
  <si>
    <t>79332697-5</t>
  </si>
  <si>
    <t>RAMIREZ ACEVEDO OSCAR/LA MAGIA DEL COLOR</t>
  </si>
  <si>
    <t>3191844400</t>
  </si>
  <si>
    <t>31918444-0</t>
  </si>
  <si>
    <t>PUENTES MURIEL LUZMILA/FERREMETALES</t>
  </si>
  <si>
    <t>1919242500</t>
  </si>
  <si>
    <t>19192425-9</t>
  </si>
  <si>
    <t>GRANADOS RUIZ JOSE DARIO / FERRETERIA SANTA TERESA</t>
  </si>
  <si>
    <t>1432043100</t>
  </si>
  <si>
    <t>14320431-5</t>
  </si>
  <si>
    <t>SILVA GARCIA ARTURO/EL STAND DEL COLOR</t>
  </si>
  <si>
    <t>1120318200</t>
  </si>
  <si>
    <t>11203182-4</t>
  </si>
  <si>
    <t>LOPEZ PATARROYO RODRIGO/DEPOSITO PUERTO LOPEZ</t>
  </si>
  <si>
    <t>5168420000</t>
  </si>
  <si>
    <t>51684200-7</t>
  </si>
  <si>
    <t>LOPEZ SANDOVAL FLOR ALBA / FERRETERIA ENMANUEL</t>
  </si>
  <si>
    <t>90162986800</t>
  </si>
  <si>
    <t>901629868-5</t>
  </si>
  <si>
    <t>SODI GROUP S.A.S.</t>
  </si>
  <si>
    <t>111054280600</t>
  </si>
  <si>
    <t>1110542806-5</t>
  </si>
  <si>
    <t>GUERRERO PIZA CARLOS JULIAN / MATERIALES GUERRERO´S</t>
  </si>
  <si>
    <t>90081197500</t>
  </si>
  <si>
    <t>900811975-0</t>
  </si>
  <si>
    <t>PINTULIDER DISTRIBUIDORA S.A.S.</t>
  </si>
  <si>
    <t>79287622-0</t>
  </si>
  <si>
    <t>ESPITIA DUARTE MIGUEL ANGEL / GRUPO FERRELECTRICO</t>
  </si>
  <si>
    <t>80015635400</t>
  </si>
  <si>
    <t>800156354-4</t>
  </si>
  <si>
    <t>NATIONAL OILWELL VARCO DE COLOMBIA</t>
  </si>
  <si>
    <t>1916359200</t>
  </si>
  <si>
    <t>19163592-7</t>
  </si>
  <si>
    <t>DIAZ ARNULFO AMAURY/FERRETERIA ARNULFO AMAURY DIAZ</t>
  </si>
  <si>
    <t>5206728300</t>
  </si>
  <si>
    <t>52067283-5</t>
  </si>
  <si>
    <t>NOVOA SANDRA/FERRELECTRICOS NUEVA DELLY</t>
  </si>
  <si>
    <t>90095152600</t>
  </si>
  <si>
    <t>900951526-7</t>
  </si>
  <si>
    <t>FERRECAMY S.A.S.</t>
  </si>
  <si>
    <t>1138359400</t>
  </si>
  <si>
    <t>11383594-6</t>
  </si>
  <si>
    <t>SALINAS MORENO WILLIAM/LA CASA DE LOS COLORES</t>
  </si>
  <si>
    <t>101361829800</t>
  </si>
  <si>
    <t>1013618298-1</t>
  </si>
  <si>
    <t>SILVA BAQUERO JAIRO MAURICIO</t>
  </si>
  <si>
    <t>80013042605</t>
  </si>
  <si>
    <t>G Y J  FERRETERIAS S.A. - UNES BOGOTA SUR</t>
  </si>
  <si>
    <t>90013651900</t>
  </si>
  <si>
    <t>900136519-1</t>
  </si>
  <si>
    <t>DASA DE COLOMBIA S.A.S.</t>
  </si>
  <si>
    <t>5278867300</t>
  </si>
  <si>
    <t>52788673-8</t>
  </si>
  <si>
    <t>PINEDA ROMERO ANGELICA MARIA/EL PUNTO DEL COLOR</t>
  </si>
  <si>
    <t>90006570400</t>
  </si>
  <si>
    <t>900065704-0</t>
  </si>
  <si>
    <t>HIERROS Y LAMINAS R &amp; N LTDA</t>
  </si>
  <si>
    <t>6578074100</t>
  </si>
  <si>
    <t>65780741-1</t>
  </si>
  <si>
    <t>LINARES CORTES NORMA CONSTANZA/ FERRETERIA Y VIDRIOS LA GAVIOTA</t>
  </si>
  <si>
    <t>90040798700</t>
  </si>
  <si>
    <t>900407987-7</t>
  </si>
  <si>
    <t>GUACAMAYA ENERGY SERVICES S A S</t>
  </si>
  <si>
    <t>5175164900</t>
  </si>
  <si>
    <t>51751649-7</t>
  </si>
  <si>
    <t>GOMEZ ANA ALCIRA/PINTURAS MILENIO I .S.</t>
  </si>
  <si>
    <t>107242156600</t>
  </si>
  <si>
    <t>1072421566-6</t>
  </si>
  <si>
    <t>SUAREZ REYES EDWIN FERNANDO / E F S ORNAMENTACION</t>
  </si>
  <si>
    <t>90194701600</t>
  </si>
  <si>
    <t>901947016-0</t>
  </si>
  <si>
    <t>FERRETERIA ANGULOS LA 35 SAS</t>
  </si>
  <si>
    <t>108029531800</t>
  </si>
  <si>
    <t>1080295318-4</t>
  </si>
  <si>
    <t>SANCHEZ MONTES TANIA ALEJANDRA / DEPOSITO FERREPALERMO</t>
  </si>
  <si>
    <t>90040941300</t>
  </si>
  <si>
    <t>900409413-0</t>
  </si>
  <si>
    <t>CJR INGENIERIA S.A.S.</t>
  </si>
  <si>
    <t>90139072801</t>
  </si>
  <si>
    <t>DEPOSITO Y FERRETERIA  ALQUERIA S.A.S. "ALQUERIA"</t>
  </si>
  <si>
    <t>7424156100</t>
  </si>
  <si>
    <t>74241561-3</t>
  </si>
  <si>
    <t>SUAREZ VIRGILIO/FERREDEPOSITO ROOSVELT</t>
  </si>
  <si>
    <t>3315243100</t>
  </si>
  <si>
    <t>33152431-3</t>
  </si>
  <si>
    <t>NUÑEZ DE CAÑON GRISELDA/FERRETERIA Y ELECTRICOS PANAMA</t>
  </si>
  <si>
    <t>90055197301</t>
  </si>
  <si>
    <t>900551973-1</t>
  </si>
  <si>
    <t>LA ESTRELLA DEL COLOR DF  SAS "SUC PINTU ONCE"</t>
  </si>
  <si>
    <t>86000969411</t>
  </si>
  <si>
    <t>CYRGO S.A.S - FLORENCIA</t>
  </si>
  <si>
    <t>FLORENCIA - CAQUETA</t>
  </si>
  <si>
    <t>107530264700</t>
  </si>
  <si>
    <t>1075302647-5</t>
  </si>
  <si>
    <t>ESTEBAN VIUCHY JOSE LUIS / FERRETERIA LA TERCERA GUADALUPE</t>
  </si>
  <si>
    <t>90110667100</t>
  </si>
  <si>
    <t>901106671-7</t>
  </si>
  <si>
    <t>MATERIALES LA 8VA CON 8VA SAS</t>
  </si>
  <si>
    <t>101845425600</t>
  </si>
  <si>
    <t>1018454256-3</t>
  </si>
  <si>
    <t>RODRIGUEZ CUCAITA WILDER / FERREALPES</t>
  </si>
  <si>
    <t>89020795601</t>
  </si>
  <si>
    <t>INDURRUEDAS S A S "BOGOTA"</t>
  </si>
  <si>
    <t>90054346900</t>
  </si>
  <si>
    <t>900543469-5</t>
  </si>
  <si>
    <t>FERRETERIA HIERROS Y CEMENTOS BARBOSA SAS</t>
  </si>
  <si>
    <t>3608873700</t>
  </si>
  <si>
    <t>36088737-9</t>
  </si>
  <si>
    <t>RIVERA SANTA MARIA MARCELA / LADRILLO CAMPOALEGRE</t>
  </si>
  <si>
    <t>8323037700</t>
  </si>
  <si>
    <t>83230377-1</t>
  </si>
  <si>
    <t>CANO OME ALDEMAR/ICOLPISOS FERRETERIA DE LA 33</t>
  </si>
  <si>
    <t>101232751300</t>
  </si>
  <si>
    <t>1012327513-6</t>
  </si>
  <si>
    <t>FERNANDEZ RODRIGUEZ MARCO ALFONSO/ARCO IRIS DEL META</t>
  </si>
  <si>
    <t>8001304203</t>
  </si>
  <si>
    <t>G Y J FERRETERIAS  S.A. -CUCUTA</t>
  </si>
  <si>
    <t>8037616300</t>
  </si>
  <si>
    <t>80376163-7</t>
  </si>
  <si>
    <t>BEJARANO MARTINEZ JOSE GONZALO/ INDUSTRIAS METALICAS GBM</t>
  </si>
  <si>
    <t>GACHETA - CUNDINAMARCA</t>
  </si>
  <si>
    <t>4668315100</t>
  </si>
  <si>
    <t>46683151-1</t>
  </si>
  <si>
    <t>DIAZ ALFONSO DIANA PATRICIA / EL TITAN DE LAS PINTURAS</t>
  </si>
  <si>
    <t>90083365800</t>
  </si>
  <si>
    <t>900833658-5</t>
  </si>
  <si>
    <t>FUNDACION MULTIETNICA MUJERES GUERRERAS</t>
  </si>
  <si>
    <t>2423140200</t>
  </si>
  <si>
    <t>24231402-6</t>
  </si>
  <si>
    <t>TURMEQUE PARRA LUZ ANGELA / FERRELECTRICOS EL PROVEEDOR DE LA 18</t>
  </si>
  <si>
    <t>90107229900</t>
  </si>
  <si>
    <t>901072299-1</t>
  </si>
  <si>
    <t>MITRADA CONSTRUCCIONES SAS</t>
  </si>
  <si>
    <t>2343386000</t>
  </si>
  <si>
    <t>23433860-1</t>
  </si>
  <si>
    <t>PARRA PARRA EDILMA/EDIELECTRICOS</t>
  </si>
  <si>
    <t>90161610500</t>
  </si>
  <si>
    <t>901616105-8</t>
  </si>
  <si>
    <t>PINTURAS Y FERRETERIA HAF SAS</t>
  </si>
  <si>
    <t>90008667700</t>
  </si>
  <si>
    <t>900086677-1</t>
  </si>
  <si>
    <t>C Y M CALCULOS Y MONTAJES ESTRUCTURALES LTDA</t>
  </si>
  <si>
    <t>101369121300</t>
  </si>
  <si>
    <t>1013691213-4</t>
  </si>
  <si>
    <t>JIMENEZ BERNAL LEIDY GERALDINNE / PINTUFIERROS</t>
  </si>
  <si>
    <t>2694282700</t>
  </si>
  <si>
    <t>26942827-0</t>
  </si>
  <si>
    <t>ALMACEN LA BROCHA</t>
  </si>
  <si>
    <t>5175329000</t>
  </si>
  <si>
    <t>51753290-6</t>
  </si>
  <si>
    <t>ASTRID GOMEZ SALOMON</t>
  </si>
  <si>
    <t>TUL SAS</t>
  </si>
  <si>
    <t>7937756500</t>
  </si>
  <si>
    <t>79377565-5</t>
  </si>
  <si>
    <t>ARIAS PADILLA HELI/PINTU - NIKO</t>
  </si>
  <si>
    <t>101423277100</t>
  </si>
  <si>
    <t>1014232771-8</t>
  </si>
  <si>
    <t>HERRERA VILLAMIL YESID / DISTRIBUIDORA HERREMIL</t>
  </si>
  <si>
    <t>3981812500</t>
  </si>
  <si>
    <t>39818125-6</t>
  </si>
  <si>
    <t>PEDRAZA MORA ELSA / FERREINVERSIONES RODRIGUEZ</t>
  </si>
  <si>
    <t>1719930700</t>
  </si>
  <si>
    <t>17199307-2</t>
  </si>
  <si>
    <t>GARCIA CORTES JOSE LAUREANO/ALMACEN NUEVO COLORES MILENIO</t>
  </si>
  <si>
    <t>80007782800</t>
  </si>
  <si>
    <t>800077828-4</t>
  </si>
  <si>
    <t>FACTORES Y MERCADEO S.A.</t>
  </si>
  <si>
    <t>8008542000</t>
  </si>
  <si>
    <t>80085420-6</t>
  </si>
  <si>
    <t>RODRIGUEZ CARLOS/FERRETERIA EL JORDAN</t>
  </si>
  <si>
    <t>90093769400</t>
  </si>
  <si>
    <t>900937694-8</t>
  </si>
  <si>
    <t>FORMACERO DOBLADORA Y CORTADORA S.A.S.</t>
  </si>
  <si>
    <t>5274993600</t>
  </si>
  <si>
    <t>52749936-3</t>
  </si>
  <si>
    <t>GONZALEZ AVENDAÑO DIANA CAROLINA / FERREPINTURAS H.G</t>
  </si>
  <si>
    <t>90156032500</t>
  </si>
  <si>
    <t>901560325-9</t>
  </si>
  <si>
    <t>ACEROS &amp; PERFILES DE COLOMBIA APC S.A.S</t>
  </si>
  <si>
    <t>407937900</t>
  </si>
  <si>
    <t>4079379-0</t>
  </si>
  <si>
    <t>CUY VERDUGO GUILLERMO/EL GRAN PINTOR   FCB</t>
  </si>
  <si>
    <t>108277266300</t>
  </si>
  <si>
    <t>1082772663-4</t>
  </si>
  <si>
    <t>RUBIO SOLARTE PAULINA / FERRETERIA LA ECONOMICA DE CRIOLLO</t>
  </si>
  <si>
    <t>83051475000</t>
  </si>
  <si>
    <t>830514750-3</t>
  </si>
  <si>
    <t>INDUGANAVET LTDA</t>
  </si>
  <si>
    <t>83006202500</t>
  </si>
  <si>
    <t>830062025-0</t>
  </si>
  <si>
    <t>K9 SECURITY LTDA</t>
  </si>
  <si>
    <t>525274100</t>
  </si>
  <si>
    <t>5252741-9</t>
  </si>
  <si>
    <t>CUNDAR BURBANO LUIS EDUARDO / FERRETERIA Y PINTURAS LA ALDEA</t>
  </si>
  <si>
    <t>CANDELARIA - VALLE DEL CAUCA</t>
  </si>
  <si>
    <t>7971750000</t>
  </si>
  <si>
    <t>79717500-7</t>
  </si>
  <si>
    <t>RAMIREZ COPETE JOSE ANDRES</t>
  </si>
  <si>
    <t>3066957800</t>
  </si>
  <si>
    <t>30669578-6</t>
  </si>
  <si>
    <t>DUMETT SEVILLA SAIDE MILENA/FERROSINU.S</t>
  </si>
  <si>
    <t>9107979100</t>
  </si>
  <si>
    <t>91079791-9</t>
  </si>
  <si>
    <t>MALDONADO GOMEZ IVAN ANDRES/HIERROS LA GUAYACANA DEL SOCORRO</t>
  </si>
  <si>
    <t>SOCORRO - SANTANDER</t>
  </si>
  <si>
    <t>102075842200</t>
  </si>
  <si>
    <t>1020758422-2</t>
  </si>
  <si>
    <t>RODRIGUEZ CORCHUELO SERGIO FRANCISCO/FERRELECTRICOS 164</t>
  </si>
  <si>
    <t>90038706200</t>
  </si>
  <si>
    <t>900387062-2</t>
  </si>
  <si>
    <t>DISTRINORTE 93 S.A.S</t>
  </si>
  <si>
    <t>90154060300</t>
  </si>
  <si>
    <t>901540603-6</t>
  </si>
  <si>
    <t>FERRETERO EL VIRREY SAS</t>
  </si>
  <si>
    <t>90167668200</t>
  </si>
  <si>
    <t>901676682-2</t>
  </si>
  <si>
    <t>FERREMANJARRES SAS</t>
  </si>
  <si>
    <t>90107975600</t>
  </si>
  <si>
    <t>901079756-8</t>
  </si>
  <si>
    <t>DISTRIBUIDORA TONOS Y COLORES S.A.S.</t>
  </si>
  <si>
    <t>3117289700</t>
  </si>
  <si>
    <t>31172897-1</t>
  </si>
  <si>
    <t>HERNANDEZ LOPEZ RUBY ALBA/ FERRE EXITOS</t>
  </si>
  <si>
    <t>7936728600</t>
  </si>
  <si>
    <t>79367286-2</t>
  </si>
  <si>
    <t>PAEZ FUQUENE JOSE UBALDO/DEISY PINTURAS</t>
  </si>
  <si>
    <t>2091536500</t>
  </si>
  <si>
    <t>20915365-3</t>
  </si>
  <si>
    <t>ORTIZ CUERVO ROSALBA</t>
  </si>
  <si>
    <t>90191870400</t>
  </si>
  <si>
    <t>901918704-6</t>
  </si>
  <si>
    <t>DISTRIPINTURAS TITAN S.A.S.</t>
  </si>
  <si>
    <t>90141645000</t>
  </si>
  <si>
    <t>901416450-6</t>
  </si>
  <si>
    <t>YUMBO PINTURAS  S.A.S.</t>
  </si>
  <si>
    <t>2058782300</t>
  </si>
  <si>
    <t>20587823-7</t>
  </si>
  <si>
    <t>GUZMAN CHALA CLAUDIA/FERRELECTRICOS LA UNICA</t>
  </si>
  <si>
    <t>90108046400</t>
  </si>
  <si>
    <t>901080464-4</t>
  </si>
  <si>
    <t>COMERCIAL SANTANDER S.A.S.</t>
  </si>
  <si>
    <t>90196733600</t>
  </si>
  <si>
    <t>901967336-8</t>
  </si>
  <si>
    <t>SOLUCIONES &amp; INGENIERIA SAS</t>
  </si>
  <si>
    <t>1048719400</t>
  </si>
  <si>
    <t>10487194-7</t>
  </si>
  <si>
    <t>PARDO PRIETO ALEXANDER / FERRETERIA ALEMAN QUILICHAO</t>
  </si>
  <si>
    <t>90155426501</t>
  </si>
  <si>
    <t>FERREDEPOSITO PUNTO 67 SAS "SUCURSAL No 2"</t>
  </si>
  <si>
    <t>90096573000</t>
  </si>
  <si>
    <t>900965730-4</t>
  </si>
  <si>
    <t>FERRETERIA ROGER S.A.S.</t>
  </si>
  <si>
    <t>90045903700</t>
  </si>
  <si>
    <t>900459037-8</t>
  </si>
  <si>
    <t>PRONTO IMAGEN PUBLICIDAD S.A.S</t>
  </si>
  <si>
    <t>89050558100</t>
  </si>
  <si>
    <t>890505581-5</t>
  </si>
  <si>
    <t>CONSTRUCUCUTA LTDA</t>
  </si>
  <si>
    <t>5164721900</t>
  </si>
  <si>
    <t>51647219-9</t>
  </si>
  <si>
    <t>LOPEZ CASTIBLANCO LIGIA/FERRELECTRICOS LA HACIENDA</t>
  </si>
  <si>
    <t>1716976600</t>
  </si>
  <si>
    <t>17169766-1</t>
  </si>
  <si>
    <t>CARRILLO DUARTE LUIS ALBERTO / DEPOSITO DE MATERIALES SAN JOSE</t>
  </si>
  <si>
    <t>3962220500</t>
  </si>
  <si>
    <t>39622205-4</t>
  </si>
  <si>
    <t>PIZA GONZALEZ EDILMA / FERRE EDIL</t>
  </si>
  <si>
    <t>90109088100</t>
  </si>
  <si>
    <t>901090881-5</t>
  </si>
  <si>
    <t>DEPOSITO DE MATERIALES SAN MIGUEL L&amp;L S.A.S.</t>
  </si>
  <si>
    <t>90168741600</t>
  </si>
  <si>
    <t>901687416-7</t>
  </si>
  <si>
    <t>ALEX PINTURAS &amp; ASOCIADOS SAS</t>
  </si>
  <si>
    <t>11233561100</t>
  </si>
  <si>
    <t>112335611-0</t>
  </si>
  <si>
    <t>OROZCO ROSERO MELQUISEDEC /  GAMACOLOR PUTUMAYO</t>
  </si>
  <si>
    <t>PUERTO ASIS - PUTUMAYO</t>
  </si>
  <si>
    <t>90191852400</t>
  </si>
  <si>
    <t>901918524-7</t>
  </si>
  <si>
    <t>FERRETERIA SASAIMA S.A.S.</t>
  </si>
  <si>
    <t>5280680300</t>
  </si>
  <si>
    <t>52806803</t>
  </si>
  <si>
    <t>ANGARITA BORDA YOHANA</t>
  </si>
  <si>
    <t>90040809900</t>
  </si>
  <si>
    <t>900408099-6</t>
  </si>
  <si>
    <t>DISTRIBUIDORA LA MEZCLA PROFESIONAL DE COLORES S.A.S.</t>
  </si>
  <si>
    <t>90002026300</t>
  </si>
  <si>
    <t>900020263-0</t>
  </si>
  <si>
    <t>ARCOL ARCILLAS DE COLOMBIA LTDA.</t>
  </si>
  <si>
    <t>90069338000</t>
  </si>
  <si>
    <t>900693380-1</t>
  </si>
  <si>
    <t>AMERICAN LOCKS CENTER SAS</t>
  </si>
  <si>
    <t>7982756200</t>
  </si>
  <si>
    <t>79827562-5</t>
  </si>
  <si>
    <t>JIMENEZ MONROY PABLO ENRIQUE/PINTURAS P J</t>
  </si>
  <si>
    <t>5301521100</t>
  </si>
  <si>
    <t>53015211-6</t>
  </si>
  <si>
    <t>HERRERA PEREZ LEIDY MARCELA/ FERRETERIA LEIMART</t>
  </si>
  <si>
    <t>5316649500</t>
  </si>
  <si>
    <t>53166495-8</t>
  </si>
  <si>
    <t>VELLAIZAN CUERVO CATHERINE / FERRETERIA JC</t>
  </si>
  <si>
    <t>101019349600</t>
  </si>
  <si>
    <t>1010193496-4</t>
  </si>
  <si>
    <t>SANCHEZ ALDANA JEFFERSON  / FERRELECTRICOS SANCHEZ</t>
  </si>
  <si>
    <t>90124680200</t>
  </si>
  <si>
    <t>901246802-5</t>
  </si>
  <si>
    <t>SEOBRA LATAM SAS</t>
  </si>
  <si>
    <t>83012719400</t>
  </si>
  <si>
    <t>830127194-8</t>
  </si>
  <si>
    <t>HYDRAULIC SUPPLING S.A.S.</t>
  </si>
  <si>
    <t>4152127900</t>
  </si>
  <si>
    <t>41521279-2</t>
  </si>
  <si>
    <t>JIMENEZ ROMERO MARIA EMIR/FERRETERIA EL ALBAÑIL GUADUERO</t>
  </si>
  <si>
    <t>90115090300</t>
  </si>
  <si>
    <t>901150903-7</t>
  </si>
  <si>
    <t>TUBOS Y CUBIERTAS S.A.S.</t>
  </si>
  <si>
    <t>7715468801</t>
  </si>
  <si>
    <t>RUIZ YERENA JAIME ENRRIQUE/AGROFERRETERIA CARBON DE ORO</t>
  </si>
  <si>
    <t>90142296100</t>
  </si>
  <si>
    <t>901422961-2</t>
  </si>
  <si>
    <t>FERREAURORA M&amp;M SAS</t>
  </si>
  <si>
    <t>86000633404</t>
  </si>
  <si>
    <t>860006334-2</t>
  </si>
  <si>
    <t>ORDEN AGUSTINOS RECOLETOS-NORTE</t>
  </si>
  <si>
    <t>107565310100</t>
  </si>
  <si>
    <t>1075653101-1</t>
  </si>
  <si>
    <t>FORERO VALERO RICHARD FERNANDO / ALMACEN UNICOLOR S.J</t>
  </si>
  <si>
    <t>7990260500</t>
  </si>
  <si>
    <t>79902605-4</t>
  </si>
  <si>
    <t>VELASQUEZ CAMPOS LUIS HERNANDO/FERRETERIA DOBLADORA Y CORTADORA NUEVA MACGREGORY</t>
  </si>
  <si>
    <t>90052493600</t>
  </si>
  <si>
    <t>900524936-2</t>
  </si>
  <si>
    <t>CUBRITECNO S.A.S.</t>
  </si>
  <si>
    <t>100653191100</t>
  </si>
  <si>
    <t>1006531911-6</t>
  </si>
  <si>
    <t>MORENO RODRIGUEZ EILEEN JULIANA / DECORACIONES LA 18</t>
  </si>
  <si>
    <t>90084176900</t>
  </si>
  <si>
    <t>900841769-8</t>
  </si>
  <si>
    <t>GRUPO EMPRESARIAL V &amp; D S.A.S.</t>
  </si>
  <si>
    <t>3975884600</t>
  </si>
  <si>
    <t>39758846-1</t>
  </si>
  <si>
    <t>GAITAN RINCON OLGA ALEJANDRIA / LA FORTUNA R Y G</t>
  </si>
  <si>
    <t>8073503600</t>
  </si>
  <si>
    <t>80735036-0</t>
  </si>
  <si>
    <t>GOMEZ MORALES CHRISTIAN ANDRES / FERREHOGAR GUASCA CY</t>
  </si>
  <si>
    <t>GUASCA - CUNDINAMARCA</t>
  </si>
  <si>
    <t>1053823500</t>
  </si>
  <si>
    <t>10538235-0</t>
  </si>
  <si>
    <t>GOMAJOA CHAMORRO LUIS RICARDO / HIERROS GAMA</t>
  </si>
  <si>
    <t>1133755100</t>
  </si>
  <si>
    <t>11337551-4</t>
  </si>
  <si>
    <t>FORERO CARLOS JULIO/ALMACEN UNICOLOR FORERO</t>
  </si>
  <si>
    <t>90021300000</t>
  </si>
  <si>
    <t>900213000-1</t>
  </si>
  <si>
    <t>DOBLADORA R Y S LTDA</t>
  </si>
  <si>
    <t>4003252200</t>
  </si>
  <si>
    <t>40032522-0</t>
  </si>
  <si>
    <t>VARGAS RIAÑO ESPERANZA/FERRETERIA ALESNI</t>
  </si>
  <si>
    <t>90111827700</t>
  </si>
  <si>
    <t>901118277-1</t>
  </si>
  <si>
    <t>LA PERLA DEL COLOR S.A.S.</t>
  </si>
  <si>
    <t>1179594900</t>
  </si>
  <si>
    <t>11795949-5</t>
  </si>
  <si>
    <t>CAICEDO MENA OSCAR/FERRELECTRICOS Y MULTISERVICIOS TECNICOS</t>
  </si>
  <si>
    <t>7940040900</t>
  </si>
  <si>
    <t>79400409-2</t>
  </si>
  <si>
    <t>BEJARANO GARCIA JOSE MOISES/PINTURAS BELYCOLOR</t>
  </si>
  <si>
    <t>90049724500</t>
  </si>
  <si>
    <t>900497245-5</t>
  </si>
  <si>
    <t>INGELSUR DE COLOMBIA S.A.S.</t>
  </si>
  <si>
    <t>90167772000</t>
  </si>
  <si>
    <t>901677720-9</t>
  </si>
  <si>
    <t>FERRETERIA JP LYS S.A.S</t>
  </si>
  <si>
    <t>90141991300</t>
  </si>
  <si>
    <t>901419913-8</t>
  </si>
  <si>
    <t>GRUPO METALLANO SAS</t>
  </si>
  <si>
    <t>86007817300</t>
  </si>
  <si>
    <t>860078173-1</t>
  </si>
  <si>
    <t>MARG INTERNATIONAL S.A.S</t>
  </si>
  <si>
    <t>90093933600</t>
  </si>
  <si>
    <t>900939336-5</t>
  </si>
  <si>
    <t>FERREHIERROS CABRERA S.A.S.</t>
  </si>
  <si>
    <t>90037655100</t>
  </si>
  <si>
    <t>900376551-5</t>
  </si>
  <si>
    <t>HIERROS Y PERFILES LISBOA S.A.S</t>
  </si>
  <si>
    <t>9148573700</t>
  </si>
  <si>
    <t>91485737-1</t>
  </si>
  <si>
    <t>INFANTE SUAREZ NESTOR ALBERTO/ALMACEN CENTRO PINTURAS</t>
  </si>
  <si>
    <t>7991165200</t>
  </si>
  <si>
    <t>79911652-9</t>
  </si>
  <si>
    <t>HENRY RENE GONZALEZ ORJUELA</t>
  </si>
  <si>
    <t>1000277100</t>
  </si>
  <si>
    <t>10002771-6</t>
  </si>
  <si>
    <t>JARAMILLO ALVAREZ JAIME JORGE/PINTURAS Y FERRETERIA EL SURTIDOR</t>
  </si>
  <si>
    <t>3769740800</t>
  </si>
  <si>
    <t>37697408-7</t>
  </si>
  <si>
    <t>CASTILLO GORDILLO ROMILSA/FERREGAS Y ELECTRICOS EL SALITRE</t>
  </si>
  <si>
    <t>1026960300</t>
  </si>
  <si>
    <t>10269603-3</t>
  </si>
  <si>
    <t>ZULUAGA GALLEGO LUIS ANGEL/ALMACEN SURTICOLOR</t>
  </si>
  <si>
    <t>90114290700</t>
  </si>
  <si>
    <t>901142907-2</t>
  </si>
  <si>
    <t>MISCELANEA LA 13 S.A.S ZOMAC</t>
  </si>
  <si>
    <t>DAGUA - VALLE DEL CAUCA</t>
  </si>
  <si>
    <t>112184643600</t>
  </si>
  <si>
    <t>1121846436-9</t>
  </si>
  <si>
    <t>ROMERO SIERRA JAZMIN/MI FERRETERIA 1</t>
  </si>
  <si>
    <t>108093284200</t>
  </si>
  <si>
    <t>1080932842-6</t>
  </si>
  <si>
    <t>BELTRAN STERLING LEIDY LORENA / FERRETERIA MULTIOBRAS TIMANA</t>
  </si>
  <si>
    <t>86000252300</t>
  </si>
  <si>
    <t>860002523-1</t>
  </si>
  <si>
    <t>CEMEX COLOMBIA S.A.</t>
  </si>
  <si>
    <t>7924169300</t>
  </si>
  <si>
    <t>79241693-5</t>
  </si>
  <si>
    <t>DIAZ DIAZ VICTOR JULIO/FERREDEPOSITO NUEVA DELHY</t>
  </si>
  <si>
    <t>1152094200</t>
  </si>
  <si>
    <t>11520942-4</t>
  </si>
  <si>
    <t>MORENO GOMEZ OMAR RICARDO / FERRELECTRICOS EL PINAR MA</t>
  </si>
  <si>
    <t>1944642300</t>
  </si>
  <si>
    <t>19446423-6</t>
  </si>
  <si>
    <t>DIAZ VICTOR MANUEL/FERREPINTURAS DIAZ</t>
  </si>
  <si>
    <t>8039949300</t>
  </si>
  <si>
    <t>80399493-1</t>
  </si>
  <si>
    <t>CIFUENTES CORREA PABLO ENRIQUE</t>
  </si>
  <si>
    <t>90129809400</t>
  </si>
  <si>
    <t>901298094-1</t>
  </si>
  <si>
    <t>INGENIO MEKANICO SAS</t>
  </si>
  <si>
    <t>1125066500</t>
  </si>
  <si>
    <t>11250665-1</t>
  </si>
  <si>
    <t>RAMIREZ GUERRA OMAR / FERRETERIA Y CERRAJERIA</t>
  </si>
  <si>
    <t>17105230</t>
  </si>
  <si>
    <t>17105230-1</t>
  </si>
  <si>
    <t>FARFAN JULIO CESAR/FERRETERIA PALA</t>
  </si>
  <si>
    <t>90048415800</t>
  </si>
  <si>
    <t>900484158-6</t>
  </si>
  <si>
    <t>DEPOSITO DE MATERIALES LA CONSTRUCCION M.C  S.A.S</t>
  </si>
  <si>
    <t>5284514400</t>
  </si>
  <si>
    <t>52845144-8</t>
  </si>
  <si>
    <t>GOMEZ RUDA CARMEN ELISA/FERRUMETALES</t>
  </si>
  <si>
    <t>90159170800</t>
  </si>
  <si>
    <t>901591708-9</t>
  </si>
  <si>
    <t>AEROPINTURAS VILLETA SAS</t>
  </si>
  <si>
    <t>5255690700</t>
  </si>
  <si>
    <t>52556907-0</t>
  </si>
  <si>
    <t>SAID ROJAS SARA ALIA/FERRELECTRICOS PINTURCO</t>
  </si>
  <si>
    <t>2523364800</t>
  </si>
  <si>
    <t>25233648-3</t>
  </si>
  <si>
    <t>GARCIA MUÑOZ ROCIO/VILLAPINTURAS</t>
  </si>
  <si>
    <t>90044847009</t>
  </si>
  <si>
    <t>HIERROS DE OCCIDENTE FERRETERIAS S.A.S "CALARCA"</t>
  </si>
  <si>
    <t>CALARCA - QUINDIO</t>
  </si>
  <si>
    <t>1911799600</t>
  </si>
  <si>
    <t>19117996-3</t>
  </si>
  <si>
    <t>CASTIBLANCO ROBERTO/PINTURAS Y DECORACIONES ROBER</t>
  </si>
  <si>
    <t>3432484100</t>
  </si>
  <si>
    <t>34324841-2</t>
  </si>
  <si>
    <t>IPIA RIVERA YISEL EVELIA</t>
  </si>
  <si>
    <t>90120898807</t>
  </si>
  <si>
    <t>FERRETERIA TU CASITA S.A. "SOCORRO"</t>
  </si>
  <si>
    <t>83005492300</t>
  </si>
  <si>
    <t>830054923-6</t>
  </si>
  <si>
    <t>FUNDACION CORAZON VERDE PARA LAS FAMILIAS DE LOS POLICIAS DE COLOMBIA</t>
  </si>
  <si>
    <t>90167142600</t>
  </si>
  <si>
    <t>901671426-0</t>
  </si>
  <si>
    <t>DECORELECTRICOS Y FERRETERIA S.A.S.</t>
  </si>
  <si>
    <t>90055135200</t>
  </si>
  <si>
    <t>900551352-6</t>
  </si>
  <si>
    <t>TECNIPINTURAS ELITE S.A.S. "CHIA"</t>
  </si>
  <si>
    <t>5178386500</t>
  </si>
  <si>
    <t>51783865-9</t>
  </si>
  <si>
    <t>GRANADOS ALFONSO LUZ MERY/FERRELECTRICOS ROGO</t>
  </si>
  <si>
    <t>83011032300</t>
  </si>
  <si>
    <t>830110323-7</t>
  </si>
  <si>
    <t>VALNIPACC LTDA</t>
  </si>
  <si>
    <t>105238120600</t>
  </si>
  <si>
    <t>1052381206-4</t>
  </si>
  <si>
    <t>BARON HERNANDEZ WILMER ORLANDO /  WD DISTRIHIERROS DUITAMA</t>
  </si>
  <si>
    <t>83005444400</t>
  </si>
  <si>
    <t>830054444-1</t>
  </si>
  <si>
    <t>PRODUCCION Y GESTION S.A.S.</t>
  </si>
  <si>
    <t>90041826400</t>
  </si>
  <si>
    <t>900418264-8</t>
  </si>
  <si>
    <t>ELECTROROFER INDUSTRIAL S.A.S.</t>
  </si>
  <si>
    <t>7986371400</t>
  </si>
  <si>
    <t>79863714-1</t>
  </si>
  <si>
    <t>MORA RAMIREZ JAIRO ENALDO/PINTURAS MOBER</t>
  </si>
  <si>
    <t>83009331200</t>
  </si>
  <si>
    <t>830093312-2</t>
  </si>
  <si>
    <t>PRODUCTOS Y SUMINISTROS CADENA VEGA E.U.</t>
  </si>
  <si>
    <t>8608787300</t>
  </si>
  <si>
    <t>86087873-1</t>
  </si>
  <si>
    <t>QUIRIFE MARQUEZ MANUEL/FERRETERIA GOMEZ M.A</t>
  </si>
  <si>
    <t>90058916500</t>
  </si>
  <si>
    <t>900589165-1</t>
  </si>
  <si>
    <t>S&amp;S SERVICIOS Y SOLUCIONES PARA LA CONSTRUCCION S A S</t>
  </si>
  <si>
    <t>119337418800</t>
  </si>
  <si>
    <t>1193374188-2</t>
  </si>
  <si>
    <t>BAENA MORA JOSE GABRIEL / DEPOSITO DE CEMENTO Y HIERRO BAENA</t>
  </si>
  <si>
    <t>811063900</t>
  </si>
  <si>
    <t>8110639-7</t>
  </si>
  <si>
    <t>SIERRA VELASQUEZ  RICARDO DE JESUS /FERRETERIA EL GRAN MAESTRO R Y R</t>
  </si>
  <si>
    <t>5201720400</t>
  </si>
  <si>
    <t>52017204-1</t>
  </si>
  <si>
    <t>MOYANO RODRIGUEZ MERY YOLANDA/ PINTAMUNDO</t>
  </si>
  <si>
    <t>3455758400</t>
  </si>
  <si>
    <t>34557584-4</t>
  </si>
  <si>
    <t>LENT PATIÑO EUNICE/PINTU ALEXIS</t>
  </si>
  <si>
    <t>86002980700</t>
  </si>
  <si>
    <t>860029807-3</t>
  </si>
  <si>
    <t>LADRILLERA HELIOS S.A</t>
  </si>
  <si>
    <t>2403765900</t>
  </si>
  <si>
    <t>24037659-0</t>
  </si>
  <si>
    <t>LOPEZ CORDERO AURA MARIA / FERREMUNDO AJ</t>
  </si>
  <si>
    <t>114405939900</t>
  </si>
  <si>
    <t>1144059399-1</t>
  </si>
  <si>
    <t>PADILLA MAYORGA JHEYNER HERNAN /FERROASIS J.P</t>
  </si>
  <si>
    <t>LEGUÍZAMO - PUTUMAYO</t>
  </si>
  <si>
    <t>83013900701</t>
  </si>
  <si>
    <t>830139007-0</t>
  </si>
  <si>
    <t>PINTURAS GLOBO COLOR EU " POLO CLUB"</t>
  </si>
  <si>
    <t>86000969403</t>
  </si>
  <si>
    <t>CYRGO S.A.S-GIRARDOT</t>
  </si>
  <si>
    <t>90053114400</t>
  </si>
  <si>
    <t>900531144-5</t>
  </si>
  <si>
    <t>DEPOSITO FONTIBON A &amp; V S.A.S</t>
  </si>
  <si>
    <t>90055197300</t>
  </si>
  <si>
    <t>LA ESTRELLA EL COLOR D.F. S.A.S</t>
  </si>
  <si>
    <t>90124323400</t>
  </si>
  <si>
    <t>901243234-8</t>
  </si>
  <si>
    <t>PINTURAS Y MEZCLAS LA 28 S.A.S.</t>
  </si>
  <si>
    <t>90093960800</t>
  </si>
  <si>
    <t>900939608-3</t>
  </si>
  <si>
    <t>GLOBAL SERVICE INGENIERIA Y DISEÑO SAS</t>
  </si>
  <si>
    <t>100127996500</t>
  </si>
  <si>
    <t>1001279965-5</t>
  </si>
  <si>
    <t>CRANE DAZA LAURA KATHERINE /  FERRETERIA CONSTRUIR 01</t>
  </si>
  <si>
    <t>447140100</t>
  </si>
  <si>
    <t>4471401-5</t>
  </si>
  <si>
    <t>RIVERA GOMEZ GERARDO / ALMACEN DEL PINTOR SANTA ROSA</t>
  </si>
  <si>
    <t>105412002000</t>
  </si>
  <si>
    <t>1054120020-1</t>
  </si>
  <si>
    <t>RINCON ALVAREZ FABIO HUMBERTO/PINTU - RINCON 2</t>
  </si>
  <si>
    <t>90050913600</t>
  </si>
  <si>
    <t>900509136-4</t>
  </si>
  <si>
    <t>COMERCIALIZADORA MORA EXITO S.A.S</t>
  </si>
  <si>
    <t>7981852000</t>
  </si>
  <si>
    <t>79818520-8</t>
  </si>
  <si>
    <t>RATIVA DIAZ ALVARO/DEPOSITO Y FERRETERIA EL VIRREY I</t>
  </si>
  <si>
    <t>90138004200</t>
  </si>
  <si>
    <t>901380042-7</t>
  </si>
  <si>
    <t>PINTURAS DUROCOLOR SAS</t>
  </si>
  <si>
    <t>1055957700</t>
  </si>
  <si>
    <t>10559577-4</t>
  </si>
  <si>
    <t>SANCHEZ RAMIREZ JOSE MANUEL / PINTURAS EL ARCO IRIS</t>
  </si>
  <si>
    <t>90020522500</t>
  </si>
  <si>
    <t>900205225-6</t>
  </si>
  <si>
    <t>COLDEACEROS S. A.</t>
  </si>
  <si>
    <t>90033340600</t>
  </si>
  <si>
    <t>900333406-0</t>
  </si>
  <si>
    <t>DISTRIBUCIONES LA CABAÑA S.A.S.</t>
  </si>
  <si>
    <t>7910605100</t>
  </si>
  <si>
    <t>79106051-1</t>
  </si>
  <si>
    <t>JOSE ANTONIO NARANJO GONZALEZ</t>
  </si>
  <si>
    <t>90009192500</t>
  </si>
  <si>
    <t>900091925-1</t>
  </si>
  <si>
    <t>NOMADA CONTENEDORES DE COLOMBIA S A S</t>
  </si>
  <si>
    <t>4170481100</t>
  </si>
  <si>
    <t>41704811-7</t>
  </si>
  <si>
    <t>DIAZ PAREDES LUISA MARIA/ALMACEN DE PINTURAS D D &amp; G</t>
  </si>
  <si>
    <t>90038993400</t>
  </si>
  <si>
    <t>900389934-9</t>
  </si>
  <si>
    <t>MISCELANEA DEPOSITO Y ALMACEN LA 56 CON 16 S.A.S.</t>
  </si>
  <si>
    <t>107096443000</t>
  </si>
  <si>
    <t>1070964430-6</t>
  </si>
  <si>
    <t>VENEGAS RICO LEITON GERMAN / FERRETERIA EL PUNTO CONSTRUCTOR FACA</t>
  </si>
  <si>
    <t>111262102600</t>
  </si>
  <si>
    <t>1112621026-3</t>
  </si>
  <si>
    <t>MONTOYA LONDOÑO YULIANA/CENTRAL DE PINTURAS LA UNION</t>
  </si>
  <si>
    <t>LA UNION - VALLE DEL CAUCA</t>
  </si>
  <si>
    <t>86000197800</t>
  </si>
  <si>
    <t>860001978-2</t>
  </si>
  <si>
    <t>CABARRIA IQA S.A.S.</t>
  </si>
  <si>
    <t>101539259000</t>
  </si>
  <si>
    <t>1015392590-0</t>
  </si>
  <si>
    <t>LESMES HERRERA ENID MILENA / FERRETODO GMT</t>
  </si>
  <si>
    <t>107095215300</t>
  </si>
  <si>
    <t>1070952153-9</t>
  </si>
  <si>
    <t>GUTIERREZ CRUZ ERVIN ARLEY / FERRELECTRICOS LA UNIVERSAL</t>
  </si>
  <si>
    <t>123349795500</t>
  </si>
  <si>
    <t>1233497955-8</t>
  </si>
  <si>
    <t>SOSA ESCOBAR YEISON DAVID  /FERRETERÍA Y CERRAJERÍA ATARAXIA</t>
  </si>
  <si>
    <t>8820277700</t>
  </si>
  <si>
    <t>88202777-1</t>
  </si>
  <si>
    <t>SOLANO CHISTANCHO JOSE FERNANDO / FERROEXPRESS DISTRIBUIDORA</t>
  </si>
  <si>
    <t>83001581300</t>
  </si>
  <si>
    <t>830015813-8</t>
  </si>
  <si>
    <t>FEPROMEL SAS</t>
  </si>
  <si>
    <t>1938253400</t>
  </si>
  <si>
    <t>19382534-4</t>
  </si>
  <si>
    <t>SANDOVAL CARDOZO JAIRO/FERRELECTRICOS J.S. 54</t>
  </si>
  <si>
    <t>5205589400</t>
  </si>
  <si>
    <t>52055894-3</t>
  </si>
  <si>
    <t>ROZO BELTRAN ROSA MARITZA/PROVIELEC</t>
  </si>
  <si>
    <t>101426769400</t>
  </si>
  <si>
    <t>1014267694-1</t>
  </si>
  <si>
    <t>ALDANA GOMEZ DIEGO FERNANDO / FERRECENTER.CO</t>
  </si>
  <si>
    <t>1338860600</t>
  </si>
  <si>
    <t>13388606-6</t>
  </si>
  <si>
    <t>CASTRO GONZALEZ FRUCTUOSO / FERRETERIA  - CONSTRUZULIA</t>
  </si>
  <si>
    <t>7986952201</t>
  </si>
  <si>
    <t>79869522-0</t>
  </si>
  <si>
    <t>PRIETO SAENZ RAFAEL/R P LA ESTACION DEL COLOR "SUC CRA 14"</t>
  </si>
  <si>
    <t>106793890300</t>
  </si>
  <si>
    <t>1067938903-7</t>
  </si>
  <si>
    <t>GAVIRIA JARAMILLO SANTIAGO /COLORMAX TIENDA DE PINTURAS</t>
  </si>
  <si>
    <t>90198763800</t>
  </si>
  <si>
    <t>901987638-2</t>
  </si>
  <si>
    <t>MS ELECTRICOS E ILUMINACIONES BABILONIA SAS</t>
  </si>
  <si>
    <t>111481565600</t>
  </si>
  <si>
    <t>1114815656-4</t>
  </si>
  <si>
    <t>CASTRO OREJUELA ANGELA MARIA / FERRETERIA LAS MARIAS 1019</t>
  </si>
  <si>
    <t>90117401000</t>
  </si>
  <si>
    <t>901174010-9</t>
  </si>
  <si>
    <t>PINTEX HOUSE S.A.S.</t>
  </si>
  <si>
    <t>90115434800</t>
  </si>
  <si>
    <t>901154348-7</t>
  </si>
  <si>
    <t>FERRETERIA CHAPINERO CUCUTA SAS</t>
  </si>
  <si>
    <t>4159939100</t>
  </si>
  <si>
    <t>41599391-5</t>
  </si>
  <si>
    <t>FUQUENE RODRIGUEZ MARIA DE LOS ANGELES / ALMACEN DE PINTURAS A.F.</t>
  </si>
  <si>
    <t>7965560900</t>
  </si>
  <si>
    <t>79655609-3</t>
  </si>
  <si>
    <t>BOTIA CACERES CESAR ORLANDO/ALCOHOQUIMICOS DE LA ONCE</t>
  </si>
  <si>
    <t>86000633406</t>
  </si>
  <si>
    <t>ORDEN AGUSTINOS RECOLETOS-SUBA</t>
  </si>
  <si>
    <t>7715468800</t>
  </si>
  <si>
    <t>RUIZ YERENA JAIME ENRRIQUE/FERRETERIA RUIZ J.E -LA CASA DEL DRYWALL-</t>
  </si>
  <si>
    <t>BECERRIL - CESAR</t>
  </si>
  <si>
    <t>90194616400</t>
  </si>
  <si>
    <t>901946164-8</t>
  </si>
  <si>
    <t>DELYCOLOOR SAS</t>
  </si>
  <si>
    <t>7803516400</t>
  </si>
  <si>
    <t>78035164-4</t>
  </si>
  <si>
    <t>ARGUMEDO BAQUERO WILMER DAVID / FERRELETRICOS LOMBARDIA J.A</t>
  </si>
  <si>
    <t>677625900</t>
  </si>
  <si>
    <t>6776259-2</t>
  </si>
  <si>
    <t>LEON ROMERO GUILLERMO/PINTU - CASA</t>
  </si>
  <si>
    <t>3975910800</t>
  </si>
  <si>
    <t>39759108-7</t>
  </si>
  <si>
    <t>RODRIGUEZ MANCHOLA GILMA / FERRELECTRICOS FERRELAND</t>
  </si>
  <si>
    <t>86005697103</t>
  </si>
  <si>
    <t>LA CAMPANA SERVICIOS DE ACERO S A "BARRANQUILLA"</t>
  </si>
  <si>
    <t>7942506300</t>
  </si>
  <si>
    <t>79425063-6</t>
  </si>
  <si>
    <t>RAMIREZ JOSE VICENTE/PINTURAS NISSI</t>
  </si>
  <si>
    <t>80013042631</t>
  </si>
  <si>
    <t>G Y J  FERRETERIAS S.A. - FUNZA</t>
  </si>
  <si>
    <t>90146438200</t>
  </si>
  <si>
    <t>901464382-8</t>
  </si>
  <si>
    <t>DEPOSITO LA GRAN AVENIDA JS SAS</t>
  </si>
  <si>
    <t>3792144900</t>
  </si>
  <si>
    <t>37921449-1</t>
  </si>
  <si>
    <t>EVAN CURE GLADYS  / GLADYS EVAN CURE</t>
  </si>
  <si>
    <t>90132348600</t>
  </si>
  <si>
    <t>901323486-0</t>
  </si>
  <si>
    <t>AGROPECUARIA MF  S.A.S.</t>
  </si>
  <si>
    <t>659764300</t>
  </si>
  <si>
    <t>6597643-1</t>
  </si>
  <si>
    <t>VILLAMIZAR VERA CRISTOBAL/FERRELECTRICOS SANTANDER MOSQUERA</t>
  </si>
  <si>
    <t>4666510500</t>
  </si>
  <si>
    <t>46665105-6</t>
  </si>
  <si>
    <t>VELANDIA MERCHAN ILSE YANNETH / TECNIPINTURAS Y MEZCLAS</t>
  </si>
  <si>
    <t>90007104200</t>
  </si>
  <si>
    <t>900071042-8</t>
  </si>
  <si>
    <t>CONSTRUCCIONES Y SERVICIOS GENERALES E Y M LTDA</t>
  </si>
  <si>
    <t>90019293400</t>
  </si>
  <si>
    <t>900192934-1</t>
  </si>
  <si>
    <t>FERREANDINA DEL TOLIMA Y CIA LTDA</t>
  </si>
  <si>
    <t>83008067500</t>
  </si>
  <si>
    <t>830080675-4</t>
  </si>
  <si>
    <t>MUNDIAL DE DOBLECES S.A.S "PRINCIPAL"</t>
  </si>
  <si>
    <t>3965187300</t>
  </si>
  <si>
    <t>39651873-8</t>
  </si>
  <si>
    <t>ROA GUERRERO CARMEN ROSA / FERREPINTURAS MICKEY</t>
  </si>
  <si>
    <t>90168913000</t>
  </si>
  <si>
    <t>901689130-5</t>
  </si>
  <si>
    <t>GRUPO INDUCOLOR S.A.S.</t>
  </si>
  <si>
    <t>3964990500</t>
  </si>
  <si>
    <t>39644995-9</t>
  </si>
  <si>
    <t>LAITON ISABEL/SURTIPINTURAS DEL LLANO</t>
  </si>
  <si>
    <t>5230005500</t>
  </si>
  <si>
    <t>52300055-1</t>
  </si>
  <si>
    <t>MORALES GARCIA MARIA ISABEL/AUTOPINTURAS LA ESMERALDA</t>
  </si>
  <si>
    <t>5271097900</t>
  </si>
  <si>
    <t>52710979-0</t>
  </si>
  <si>
    <t>VELASQUEZ BURITICA LINA MARIA/DEPOSITO  PLAZA</t>
  </si>
  <si>
    <t>4666484800</t>
  </si>
  <si>
    <t>79519256-5</t>
  </si>
  <si>
    <t>RODRIGUEZ EDGAR/PINTU EXITO</t>
  </si>
  <si>
    <t>90084943300</t>
  </si>
  <si>
    <t>900849433-5</t>
  </si>
  <si>
    <t>FERREFUTURO LAMINAS Y TUBERIAS S.A.S.</t>
  </si>
  <si>
    <t>2058386200</t>
  </si>
  <si>
    <t>20583862-6</t>
  </si>
  <si>
    <t>CHALA DE BERNAL ANA CONCEPCION/FERRELECTRICOS DICOBER</t>
  </si>
  <si>
    <t>3335527700</t>
  </si>
  <si>
    <t>33355277-7</t>
  </si>
  <si>
    <t>GARCIA HERRERA YOJANY DEL CARMEN / EL MUNDO DE LAS PINTURAS ARCOIRIS</t>
  </si>
  <si>
    <t>107096677300</t>
  </si>
  <si>
    <t>1070966773-6</t>
  </si>
  <si>
    <t>VERGARA TIBADUISA MILLER LEONARDO</t>
  </si>
  <si>
    <t>1945665200</t>
  </si>
  <si>
    <t>19456652-9</t>
  </si>
  <si>
    <t>REYES JORGE ENRIQUE/FERREPINTURAS JR</t>
  </si>
  <si>
    <t>415903400</t>
  </si>
  <si>
    <t>4159034-9</t>
  </si>
  <si>
    <t>CRUZ ORTEGA RIGOBERTO/EL IMPERIO FERRETERO</t>
  </si>
  <si>
    <t>1370164200</t>
  </si>
  <si>
    <t>13701642-4</t>
  </si>
  <si>
    <t>CORDOBA MEDINA JAIRO / FERREAGRO</t>
  </si>
  <si>
    <t>CHARALA - SANTANDER</t>
  </si>
  <si>
    <t>5196033200</t>
  </si>
  <si>
    <t>51960332-4</t>
  </si>
  <si>
    <t>TORRES SAENZ SANDRA EDELMIRA / AGROREPUESTOS &amp; SERVICIOS</t>
  </si>
  <si>
    <t>90070162100</t>
  </si>
  <si>
    <t>900702621-1</t>
  </si>
  <si>
    <t>PINTURAS ARESAMO S.A.S.</t>
  </si>
  <si>
    <t>194822600</t>
  </si>
  <si>
    <t>1948226-1</t>
  </si>
  <si>
    <t>RODRIGUEZ PRIETO PEDRO ANTONIO / ELECTROCERRADURAS  ANTIGUO CONTRY</t>
  </si>
  <si>
    <t>114416994100</t>
  </si>
  <si>
    <t>1144169941-6</t>
  </si>
  <si>
    <t>MOSQUERA MOJICA YESENIA / C&amp;M PERSONALIZADOS</t>
  </si>
  <si>
    <t>8815509000</t>
  </si>
  <si>
    <t>88155090-9</t>
  </si>
  <si>
    <t>RAMIREZ GONZALEZ FERNANDO / EL ARTE DEL HIERRO</t>
  </si>
  <si>
    <t>90061493600</t>
  </si>
  <si>
    <t>900614936-9</t>
  </si>
  <si>
    <t>JARAMILLO GOMEZ CASTRO Y CIA SAS</t>
  </si>
  <si>
    <t>90176780700</t>
  </si>
  <si>
    <t>901767807-7</t>
  </si>
  <si>
    <t>FERRETERIA VILLA.NUEVA S.A.S.</t>
  </si>
  <si>
    <t>6325435100</t>
  </si>
  <si>
    <t>63254351-1</t>
  </si>
  <si>
    <t>IBAÑEZ SANCHEZ BETTY / INNOVACOLORS</t>
  </si>
  <si>
    <t>90120898806</t>
  </si>
  <si>
    <t>FERRETERIA TU CASITA S.A. "CHOCONTA"</t>
  </si>
  <si>
    <t>CHOCONTA - CUNDINAMARCA</t>
  </si>
  <si>
    <t>101902140100</t>
  </si>
  <si>
    <t>1019021401-0</t>
  </si>
  <si>
    <t>GUTIERREZ LOPEZ EDWIN LEONARDO</t>
  </si>
  <si>
    <t>SAN MARTIN - META</t>
  </si>
  <si>
    <t>90014034600</t>
  </si>
  <si>
    <t>900140346-8</t>
  </si>
  <si>
    <t>FERRELOGISTIC SAS</t>
  </si>
  <si>
    <t>5157656800</t>
  </si>
  <si>
    <t>51576568-9</t>
  </si>
  <si>
    <t>SANCHEZ MOSCOSO DORIS AMANDA / FERREDEPOSITOS LOS VECIS</t>
  </si>
  <si>
    <t>90085780900</t>
  </si>
  <si>
    <t>900857809-4</t>
  </si>
  <si>
    <t>INTELRED SERVICES S.A.S</t>
  </si>
  <si>
    <t>90065191100</t>
  </si>
  <si>
    <t>900651911-2</t>
  </si>
  <si>
    <t>INGENIERIA FR S.A.S</t>
  </si>
  <si>
    <t>90169467100</t>
  </si>
  <si>
    <t>901694671-8</t>
  </si>
  <si>
    <t>EL MUNDO DEL CONSTRUCTOR VILLA SAS</t>
  </si>
  <si>
    <t>90120898801</t>
  </si>
  <si>
    <t>FERRETERIA TU CASITA S.A. "CARMEN DE CARUPA"</t>
  </si>
  <si>
    <t>CARMEN DE CARUPA - CUNDINAMARC</t>
  </si>
  <si>
    <t>90139498500</t>
  </si>
  <si>
    <t>901394985-8</t>
  </si>
  <si>
    <t>INVERSIONES DELES S.A.S. ZOMAC</t>
  </si>
  <si>
    <t>2423106700</t>
  </si>
  <si>
    <t>24231067-1</t>
  </si>
  <si>
    <t>BUITRAGO CORTEZ CLAUDIA INES / DECORACIONES EN YESO LA 18</t>
  </si>
  <si>
    <t>101542785600</t>
  </si>
  <si>
    <t>1015427856-7</t>
  </si>
  <si>
    <t>FIGUEROA DIAZ PAOLA ANDREA/ FERRETERIA FIGUEROA CENTRO DE SOLUCIONES</t>
  </si>
  <si>
    <t>2099342400</t>
  </si>
  <si>
    <t>20993424</t>
  </si>
  <si>
    <t>RODRIGUEZ FLOR MARIA / METALICAS CEPEDA RODRIGUEZ</t>
  </si>
  <si>
    <t>86005697106</t>
  </si>
  <si>
    <t>LA CAMPANA SERVICIOS DE ACERO S A "FONTIBON"</t>
  </si>
  <si>
    <t>90148619800</t>
  </si>
  <si>
    <t>901486198-3</t>
  </si>
  <si>
    <t>CASA FERRETERA BARICHARA  SAS</t>
  </si>
  <si>
    <t>BARICHARA - SANTANDER</t>
  </si>
  <si>
    <t>83008272500</t>
  </si>
  <si>
    <t>830082725-3</t>
  </si>
  <si>
    <t>MILENIO MEDIOS S.A.S</t>
  </si>
  <si>
    <t>7939054800</t>
  </si>
  <si>
    <t>79390548-3</t>
  </si>
  <si>
    <t>SANABRIA CALDERON JAIRO/LO MEJOR EN COLOR SG</t>
  </si>
  <si>
    <t>101024805600</t>
  </si>
  <si>
    <t>1010248056-5</t>
  </si>
  <si>
    <t>GONZALEZ AGUDELO JULIETH KATHERINE / DISTRIBUCIONES AGD</t>
  </si>
  <si>
    <t>90136461100</t>
  </si>
  <si>
    <t>901364611-0</t>
  </si>
  <si>
    <t>B Y B COMERCIALIZADORA S.A.S.</t>
  </si>
  <si>
    <t>SORACA - BOYACA</t>
  </si>
  <si>
    <t>5283503100</t>
  </si>
  <si>
    <t>52835031-1</t>
  </si>
  <si>
    <t>TRUJILLO RODRIGUEZ LIDA YASMIN/FERRETERIA M. Y.</t>
  </si>
  <si>
    <t>86052213700</t>
  </si>
  <si>
    <t>860522137-0</t>
  </si>
  <si>
    <t>AGRUPACION GRANJAS LA VUELTA DEL RIO P H</t>
  </si>
  <si>
    <t>90051988100</t>
  </si>
  <si>
    <t>900519881-6</t>
  </si>
  <si>
    <t>LA PRINCIPAL DEL HIERRO S.A.S.</t>
  </si>
  <si>
    <t>90107271500</t>
  </si>
  <si>
    <t>901072715-4</t>
  </si>
  <si>
    <t>INVERSIONES DIGGER INGENIERIA Y CONSTRUCCIONES S.A.S.</t>
  </si>
  <si>
    <t>21553900</t>
  </si>
  <si>
    <t>215539-1</t>
  </si>
  <si>
    <t>CASTRO TOVAR JULIO ENRIQUE/SUMINISTROS EL CARPINTERO</t>
  </si>
  <si>
    <t>931344500</t>
  </si>
  <si>
    <t>9313445-0</t>
  </si>
  <si>
    <t>QUIROZ BALDOVINO RAFAEL JOSE / TIENDA Y VARIEDADES TORNILLO ARLANS</t>
  </si>
  <si>
    <t>5221701300</t>
  </si>
  <si>
    <t>52217013-8</t>
  </si>
  <si>
    <t>ROJAS RAMOS DIANA PATRICIA/FERRETERIA  CENTRAL</t>
  </si>
  <si>
    <t>3553067000</t>
  </si>
  <si>
    <t>35530670-6</t>
  </si>
  <si>
    <t>ROMERO CONTRERAS YEIMY DARNELLY / FERREPOLIS</t>
  </si>
  <si>
    <t>90105649800</t>
  </si>
  <si>
    <t>901056498-3</t>
  </si>
  <si>
    <t>SERVIOBRAS 10 SAS</t>
  </si>
  <si>
    <t>81101242714</t>
  </si>
  <si>
    <t>FERRETERIA LOS FIERROS S.A.S "CDS BELLO"</t>
  </si>
  <si>
    <t>4637411000</t>
  </si>
  <si>
    <t>46374110-4</t>
  </si>
  <si>
    <t>MONROY WALTEROS JANNETH LILIANA/ FERRETERIA J</t>
  </si>
  <si>
    <t>2825397000</t>
  </si>
  <si>
    <t>28253970-7</t>
  </si>
  <si>
    <t>ARGUELLO SOCORRO/ALMACEN FERRE-PINTURAS M&amp;S</t>
  </si>
  <si>
    <t>3618327100</t>
  </si>
  <si>
    <t>36183271-5</t>
  </si>
  <si>
    <t>OVIEDO AGUILAR MARIELA/FERRETERIA PILY</t>
  </si>
  <si>
    <t>90094375101</t>
  </si>
  <si>
    <t>900943751-4</t>
  </si>
  <si>
    <t>SCAFOR COLOMBIA S.A.S.</t>
  </si>
  <si>
    <t>7982673400</t>
  </si>
  <si>
    <t>79826734-0</t>
  </si>
  <si>
    <t>CORTES CHAVARRO ALEXANDER/PINTU ALEX</t>
  </si>
  <si>
    <t>8075575700</t>
  </si>
  <si>
    <t>80755757-8</t>
  </si>
  <si>
    <t>DAZA SANDOVAL DIEGO ARMANDO / FERRETERIA TORRELADERA</t>
  </si>
  <si>
    <t>90111874400</t>
  </si>
  <si>
    <t>901118744-8</t>
  </si>
  <si>
    <t>FIDEICOMISO G H  BOGOTA  - FIDUBOGOTA</t>
  </si>
  <si>
    <t>7995710900</t>
  </si>
  <si>
    <t>79957109-9</t>
  </si>
  <si>
    <t>LOPEZ BELTRAN JOSE ANDRES/FERRE HIERROS EMANUEL</t>
  </si>
  <si>
    <t>1762213500</t>
  </si>
  <si>
    <t>17622135-7</t>
  </si>
  <si>
    <t>SALAZAR MUÑOZ MIGUIEL MARIA/ PINTUSUR</t>
  </si>
  <si>
    <t>7936608600</t>
  </si>
  <si>
    <t>79366086-1</t>
  </si>
  <si>
    <t>NOVA MARIN LUIS FERNANDO/ FERRELECTRICOS LUFED</t>
  </si>
  <si>
    <t>7910004900</t>
  </si>
  <si>
    <t>79100049-7</t>
  </si>
  <si>
    <t>RICAURTE RODRIGUEZ JOSE/FERREPINTURAS ARCO IRIS</t>
  </si>
  <si>
    <t>90151388600</t>
  </si>
  <si>
    <t>901513886-9</t>
  </si>
  <si>
    <t>FERRETERIA PINTUCAR Y ASOCIADOS S.A.S</t>
  </si>
  <si>
    <t>83007006000</t>
  </si>
  <si>
    <t>830070060-2</t>
  </si>
  <si>
    <t>INVERHIERROS LTDA</t>
  </si>
  <si>
    <t>100022244300</t>
  </si>
  <si>
    <t>1000222443-3</t>
  </si>
  <si>
    <t>PIÑEROS ROA LILIANA / FERREPINTURAS MICKEY</t>
  </si>
  <si>
    <t>90122437700</t>
  </si>
  <si>
    <t>901224377-1</t>
  </si>
  <si>
    <t>JOTA M DISTRIBUIDORES SAS</t>
  </si>
  <si>
    <t>90143156000</t>
  </si>
  <si>
    <t>901431560-0</t>
  </si>
  <si>
    <t>FERRETERIA Y SERVICIOS S.A.S.</t>
  </si>
  <si>
    <t>7430081700</t>
  </si>
  <si>
    <t>74300817-7</t>
  </si>
  <si>
    <t>GRANADOS DAZA MARDOQUEO/CITY COLOR`S</t>
  </si>
  <si>
    <t>90084521200</t>
  </si>
  <si>
    <t>900845212-6</t>
  </si>
  <si>
    <t>PINTURAS VILLACOLOR S.A.S.</t>
  </si>
  <si>
    <t>90123165400</t>
  </si>
  <si>
    <t>901231654-6</t>
  </si>
  <si>
    <t>REACEIPLAS SAS</t>
  </si>
  <si>
    <t>102083423000</t>
  </si>
  <si>
    <t>1020834230-0</t>
  </si>
  <si>
    <t>GALVIS SANCHEZ LUISA FERNANDA / ELECTROGRIFERIAS</t>
  </si>
  <si>
    <t>90140592000</t>
  </si>
  <si>
    <t>901405920-9</t>
  </si>
  <si>
    <t>FERRETERIA LOS PINOS FLP S.A.S</t>
  </si>
  <si>
    <t>101541307400</t>
  </si>
  <si>
    <t>1015413074-3</t>
  </si>
  <si>
    <t>MENDEZ ARCIRIA ANA CAROLINA / LA FERRETERIA .COM</t>
  </si>
  <si>
    <t>112036997700</t>
  </si>
  <si>
    <t>1120369977-1</t>
  </si>
  <si>
    <t>PEÑA PARRA PEDRO ANDRES / ALMACEN PINTUGRANADA</t>
  </si>
  <si>
    <t>80024655500</t>
  </si>
  <si>
    <t>800246555-4</t>
  </si>
  <si>
    <t>ACIMET S.A.S</t>
  </si>
  <si>
    <t>1421457400</t>
  </si>
  <si>
    <t>14214574-6</t>
  </si>
  <si>
    <t>OSORIO MONTES LUIS EDUARDO/ FERRETERIA DEL HOGAR</t>
  </si>
  <si>
    <t>89040024600</t>
  </si>
  <si>
    <t>890400246-0</t>
  </si>
  <si>
    <t>INDUSTRIA DE REFRIGERACION COMERCIAL S.A INDUFRIAL S.A. "REORGANIZACION EMPRESARIAL"</t>
  </si>
  <si>
    <t>7928435600</t>
  </si>
  <si>
    <t>79284356-2</t>
  </si>
  <si>
    <t>GARCIA MARTINEZ FRANCISCO/FERRESERVICIOS EL COUNTRY</t>
  </si>
  <si>
    <t>90179137100</t>
  </si>
  <si>
    <t>901791371-9</t>
  </si>
  <si>
    <t>FERRELECTRICOS LA PALMITA S.A.S</t>
  </si>
  <si>
    <t>1361795900</t>
  </si>
  <si>
    <t>13617959-4</t>
  </si>
  <si>
    <t>PEÑA ARDILA FERLEIN / FERRELECTRICOS PEÑA</t>
  </si>
  <si>
    <t>PUENTE NACIONAL - SANTANDER</t>
  </si>
  <si>
    <t>90029320700</t>
  </si>
  <si>
    <t>900293207-9</t>
  </si>
  <si>
    <t>FERRETERIA Y DOBLADORA EL AMPARO S.A.S</t>
  </si>
  <si>
    <t>86000332800</t>
  </si>
  <si>
    <t>860003328-4</t>
  </si>
  <si>
    <t>LADRILLERAS YOMASA S.A.</t>
  </si>
  <si>
    <t>52171377-3</t>
  </si>
  <si>
    <t>RUIZ LARA CLAUDIA MARCELA/FERRETERIA SEPTIMA AV</t>
  </si>
  <si>
    <t>5250275600</t>
  </si>
  <si>
    <t>52502756-3</t>
  </si>
  <si>
    <t>MANCIPE RONDON YANIRA/COMPRA HIERROS LA 22</t>
  </si>
  <si>
    <t>730385400</t>
  </si>
  <si>
    <t>7303854-1</t>
  </si>
  <si>
    <t>CUELLAR QUIROGA NESTOR/FERRETERIA NC</t>
  </si>
  <si>
    <t>90088842200</t>
  </si>
  <si>
    <t>900888422-0</t>
  </si>
  <si>
    <t>TU CASITA DE PINTURAS S EN C</t>
  </si>
  <si>
    <t>90177798800</t>
  </si>
  <si>
    <t>901777988-4</t>
  </si>
  <si>
    <t>PANELES Y BOARDS DEL VALLE S.A.S.</t>
  </si>
  <si>
    <t>90052524000</t>
  </si>
  <si>
    <t>900525240-1</t>
  </si>
  <si>
    <t>SOLITEC INGENIERIA S.A.S.</t>
  </si>
  <si>
    <t>2344325100</t>
  </si>
  <si>
    <t>23443251-7</t>
  </si>
  <si>
    <t>RIOS DE MORENO BLANCA LILIA / FERRETERIA CAQUETA</t>
  </si>
  <si>
    <t>90135844600</t>
  </si>
  <si>
    <t>901358446-7</t>
  </si>
  <si>
    <t>FERRE O MATERIALES SAS</t>
  </si>
  <si>
    <t>PARAMO - SANTANDER</t>
  </si>
  <si>
    <t>105454778600</t>
  </si>
  <si>
    <t>1054547786-6</t>
  </si>
  <si>
    <t>CASTAÑO ALARCON JOHAN SEBASTIAN / METALES Y FORMAS</t>
  </si>
  <si>
    <t>1120573300</t>
  </si>
  <si>
    <t>11205733-1</t>
  </si>
  <si>
    <t>RENGIFO RENGIFO JOHAN ALEXIS / OBRA BLANCA EL BORDO</t>
  </si>
  <si>
    <t>7976527500</t>
  </si>
  <si>
    <t>79765275-9</t>
  </si>
  <si>
    <t>PACHON SAAVEDRA MILTON  EDUARDO/DEPOSITO Y FERRETERIA SAN JOSE MP</t>
  </si>
  <si>
    <t>101364747901</t>
  </si>
  <si>
    <t>1013647479-1</t>
  </si>
  <si>
    <t>AVILA PINZON KEVIN DARIO / PINTURAS Y FERRETERIA J.D "SUC 2"</t>
  </si>
  <si>
    <t>90073258200</t>
  </si>
  <si>
    <t>900732582-0</t>
  </si>
  <si>
    <t>VALLAS MODERNAS PUBLICIDAD SAS</t>
  </si>
  <si>
    <t>107266935400</t>
  </si>
  <si>
    <t>1072669354-7</t>
  </si>
  <si>
    <t>VARGAS MOLANO RAFAEL RICARDO/ALMACEN DE PINTURAS PINTULEON</t>
  </si>
  <si>
    <t>1425368500</t>
  </si>
  <si>
    <t>14253685-1</t>
  </si>
  <si>
    <t>MONTENEGRO CARDENAS CARLOS / PINTURAS EL PAISANO</t>
  </si>
  <si>
    <t>101425959700</t>
  </si>
  <si>
    <t>1014259597-1</t>
  </si>
  <si>
    <t>RUIZ DUARTE CRISTIAN CAMILO / FERREPINTURAS LOS RUIZ</t>
  </si>
  <si>
    <t>7966552800</t>
  </si>
  <si>
    <t>79665528-8</t>
  </si>
  <si>
    <t>VELASQUEZ GARCIA ALDEMAR/INDUMETALICAS A V G</t>
  </si>
  <si>
    <t>1210221700</t>
  </si>
  <si>
    <t>12102217-3</t>
  </si>
  <si>
    <t>OSORIO CUBILLOS FABIO / PINTURAS KOLORAN</t>
  </si>
  <si>
    <t>90064670400</t>
  </si>
  <si>
    <t>900646704-4</t>
  </si>
  <si>
    <t>TALLERES OSMAR PUBLICIDAD Y METALICAS S.A.S.</t>
  </si>
  <si>
    <t>90124875600</t>
  </si>
  <si>
    <t>901248756-3</t>
  </si>
  <si>
    <t>FERRETERIA EL CRUCERO M&amp;M S.A.S.</t>
  </si>
  <si>
    <t>80013042630</t>
  </si>
  <si>
    <t>G Y J  FERRETERIAS S.A. - FLORENCIA</t>
  </si>
  <si>
    <t>3194653000</t>
  </si>
  <si>
    <t>31946530-5</t>
  </si>
  <si>
    <t>ROJAS DELGADO NUBIA / COLORES Y COLORES</t>
  </si>
  <si>
    <t>80024015700</t>
  </si>
  <si>
    <t>800240157-9</t>
  </si>
  <si>
    <t>INVERSIONES TRIVIÑO LEON LTDA/FERRETERIA DE LA SABANA COTA</t>
  </si>
  <si>
    <t>90020287700</t>
  </si>
  <si>
    <t>900202877-4</t>
  </si>
  <si>
    <t>PINTURAS LEF LTDA</t>
  </si>
  <si>
    <t>90128308200</t>
  </si>
  <si>
    <t>901283082-6</t>
  </si>
  <si>
    <t>SOCIEDAD COMERCIALIZADORA DE PINTURAS AREVALO PEDRAZA S.A.S.</t>
  </si>
  <si>
    <t>119280210700</t>
  </si>
  <si>
    <t>1192802107-1</t>
  </si>
  <si>
    <t>RONCACIO SILVA BRANDON  ESLEYDER</t>
  </si>
  <si>
    <t>80013042644</t>
  </si>
  <si>
    <t>G Y J  FERRETERIAS S.A. - SUCURSAL NEIVA ALIADA</t>
  </si>
  <si>
    <t>86000733600</t>
  </si>
  <si>
    <t>860007336-1</t>
  </si>
  <si>
    <t>CAJA DE COLOMBIANA DE SUBSIDIO FAMILIAR COLSUBSIDIO</t>
  </si>
  <si>
    <t>1143280000</t>
  </si>
  <si>
    <t>11432800-1</t>
  </si>
  <si>
    <t>RIAÑO VEGA VICTOR JULIO</t>
  </si>
  <si>
    <t>7433014500</t>
  </si>
  <si>
    <t>74330145-4</t>
  </si>
  <si>
    <t>BOHORQUEZ SANCHEZ ALFREDO / HIERROS Y PERFILES DE LA SABANA</t>
  </si>
  <si>
    <t>314327100</t>
  </si>
  <si>
    <t>3143271-4</t>
  </si>
  <si>
    <t>CAÑON CASTILLO JOSE EFREN/ESTACION DE SERVICIO BRIO SAN JOAQUIN</t>
  </si>
  <si>
    <t>90104870500</t>
  </si>
  <si>
    <t>901048705-1</t>
  </si>
  <si>
    <t>CERAMICOLOR S.A.S.</t>
  </si>
  <si>
    <t>1741386900</t>
  </si>
  <si>
    <t>17413869-8</t>
  </si>
  <si>
    <t>CASTRO ROMERO JAVIER EMILIO / PRISMAPINT</t>
  </si>
  <si>
    <t>5289736500</t>
  </si>
  <si>
    <t>52897365-1</t>
  </si>
  <si>
    <t>LEON YENNY/PINTUPLAX LEON</t>
  </si>
  <si>
    <t>90168264100</t>
  </si>
  <si>
    <t>901682641-5</t>
  </si>
  <si>
    <t>EL CONSTRUCTOR S&amp;M SAS</t>
  </si>
  <si>
    <t>7921337600</t>
  </si>
  <si>
    <t>79213376-6</t>
  </si>
  <si>
    <t>SOPO FIERRO HUGO FERNEY/COMERCIALIZADORA SOPINTURAS DEL SUR</t>
  </si>
  <si>
    <t>104003035000</t>
  </si>
  <si>
    <t>1040030350-8</t>
  </si>
  <si>
    <t>LOPEZ SERNA JORGE LUIS / 3CS SOLUCIONES</t>
  </si>
  <si>
    <t>90135941800</t>
  </si>
  <si>
    <t>901359418-5</t>
  </si>
  <si>
    <t>CLAB COMPANY S A S</t>
  </si>
  <si>
    <t>90088324300</t>
  </si>
  <si>
    <t>900883243-6</t>
  </si>
  <si>
    <t>DIVANCO S.A.S.</t>
  </si>
  <si>
    <t>RESTREPO - META</t>
  </si>
  <si>
    <t>101367162900</t>
  </si>
  <si>
    <t>1013671629-9</t>
  </si>
  <si>
    <t>SANABRIA RODRIGUEZ ANGIE PAOLA / FERRETHOM</t>
  </si>
  <si>
    <t>1123194500</t>
  </si>
  <si>
    <t>11231945-6</t>
  </si>
  <si>
    <t>ESCOBAR PRECIADO NELSON ANDREE/FERRELECTRICOS DEL NORTE</t>
  </si>
  <si>
    <t>1919399300</t>
  </si>
  <si>
    <t>19193993-5</t>
  </si>
  <si>
    <t>RAIMUNDO RUIZ DIAZ</t>
  </si>
  <si>
    <t>90045220900</t>
  </si>
  <si>
    <t>900452209-6</t>
  </si>
  <si>
    <t>PRISMATIK S.A.S.</t>
  </si>
  <si>
    <t>4174328600</t>
  </si>
  <si>
    <t>41743286-7</t>
  </si>
  <si>
    <t>FLECHAS DE CUBIDES MARTHA LUCIA / FERRETERIA AKY</t>
  </si>
  <si>
    <t>5217963600</t>
  </si>
  <si>
    <t>52179636-2</t>
  </si>
  <si>
    <t>VASQUEZ CARREÑO CLAUDIA PATRICIA / PINTURAS CLAUDIA PATRICIA VASQUEZ</t>
  </si>
  <si>
    <t>1075067300</t>
  </si>
  <si>
    <t>10750673-0</t>
  </si>
  <si>
    <t>DAZA PAZ WILLIAM GERMAN/DISTRICEMENTOS</t>
  </si>
  <si>
    <t>7989773200</t>
  </si>
  <si>
    <t>79897732-1</t>
  </si>
  <si>
    <t>SANDOVAL PATIÑO MILTON/ ALM DE PINTURAS LA ARMONIA DEL COLOR</t>
  </si>
  <si>
    <t>9443991200</t>
  </si>
  <si>
    <t>94439912-1</t>
  </si>
  <si>
    <t>MURILLO ALBORNOZ OCTAVIO / FERREMADA LA 5 J</t>
  </si>
  <si>
    <t>1914154000</t>
  </si>
  <si>
    <t>19141540-1</t>
  </si>
  <si>
    <t>SIERRA VARGAS PEDRO PABLO/FERRELECTRICOS PEDRO P SIERRA</t>
  </si>
  <si>
    <t>90036807600</t>
  </si>
  <si>
    <t>900368076-4</t>
  </si>
  <si>
    <t>ENVASES PLASTICOS DE LA SABANA S.A.S.</t>
  </si>
  <si>
    <t>111855116200</t>
  </si>
  <si>
    <t>1118551162-8</t>
  </si>
  <si>
    <t>DUARTE SIERRA KAREN PAOLA / METALES Y SERVICIOS INTEGRADOS</t>
  </si>
  <si>
    <t>102078293700</t>
  </si>
  <si>
    <t>1020782937-4</t>
  </si>
  <si>
    <t>GUTIERREZ ARGUELLO BRAYHAM MIGUEL/FERREDEPOSITO GUTIERREZ B.</t>
  </si>
  <si>
    <t>101604191700</t>
  </si>
  <si>
    <t>1016041917-3</t>
  </si>
  <si>
    <t>ROA RINCON JHON JAIRO/LA COLMENA C Y F</t>
  </si>
  <si>
    <t>90129642300</t>
  </si>
  <si>
    <t>901296423-0</t>
  </si>
  <si>
    <t>MARCOS Y PERFILES S.A.S.</t>
  </si>
  <si>
    <t>7976149800</t>
  </si>
  <si>
    <t>79761498-6</t>
  </si>
  <si>
    <t>PUENTES DELGADO FREDY LEONARDO/FERRELECTRICOS EL MAESTRO</t>
  </si>
  <si>
    <t>90120898805</t>
  </si>
  <si>
    <t>FERRETERIA TU CASITA S.A. "SOPO"</t>
  </si>
  <si>
    <t>5215022400</t>
  </si>
  <si>
    <t>52150224-5</t>
  </si>
  <si>
    <t>KASTH PINILLA JOHELYN/FERRETRIA Y ELECTRICOS EXITO</t>
  </si>
  <si>
    <t>90089221300</t>
  </si>
  <si>
    <t>900892213-3</t>
  </si>
  <si>
    <t>BM CONSTRUCCIONES DE COLOMBIA SAS</t>
  </si>
  <si>
    <t>101018687200</t>
  </si>
  <si>
    <t>1010186872-1</t>
  </si>
  <si>
    <t>GONZALEZ GRANADOS WILMAR YESID</t>
  </si>
  <si>
    <t>90144729700</t>
  </si>
  <si>
    <t>901447297-8</t>
  </si>
  <si>
    <t>FERRE DEPOSITO L&amp;J DUARTE SAS</t>
  </si>
  <si>
    <t>4031693300</t>
  </si>
  <si>
    <t>40316933-1</t>
  </si>
  <si>
    <t>TRUJILLO RUBIO LILIA MAXILI / EL PUNTO DEL COLOR M Y K</t>
  </si>
  <si>
    <t>80023180101</t>
  </si>
  <si>
    <t>COLHIERROS No. 1</t>
  </si>
  <si>
    <t>8075633200</t>
  </si>
  <si>
    <t>80756332-6</t>
  </si>
  <si>
    <t>GIL TORRES JAVIER NATALIO / FERRELECTRICOS JG</t>
  </si>
  <si>
    <t>90178995700</t>
  </si>
  <si>
    <t>901789957-8</t>
  </si>
  <si>
    <t>DISTRIMART INNOVACIONES SAS</t>
  </si>
  <si>
    <t>90143816000</t>
  </si>
  <si>
    <t>901438160-1</t>
  </si>
  <si>
    <t>FERRETERIA RALA  S H S.A.S.</t>
  </si>
  <si>
    <t>90164692800</t>
  </si>
  <si>
    <t>901646928-0</t>
  </si>
  <si>
    <t>FERRETERIA R &amp; M SAS</t>
  </si>
  <si>
    <t>5249845200</t>
  </si>
  <si>
    <t>52498452-2</t>
  </si>
  <si>
    <t>LOPEZ GONZALEZ EDITH SOLANYI/PINTUSOL 100</t>
  </si>
  <si>
    <t>90168170200</t>
  </si>
  <si>
    <t>901681702-1</t>
  </si>
  <si>
    <t>TEJAS Y PERFILES VILLAVICENCIO MC SAS</t>
  </si>
  <si>
    <t>103242014900</t>
  </si>
  <si>
    <t>1032420149-8</t>
  </si>
  <si>
    <t>GONZALEZ MORENO MILTON FERNANDO/FERRETERIA DE LA 161</t>
  </si>
  <si>
    <t>1919002600</t>
  </si>
  <si>
    <t>19190026-4</t>
  </si>
  <si>
    <t>HERNANDEZ APONTE ELIECER/ELECTROCERRAJERIA LA 167</t>
  </si>
  <si>
    <t>7920538200</t>
  </si>
  <si>
    <t>79205382-7</t>
  </si>
  <si>
    <t>RODRIGUEZ BERNAL ORLANDO</t>
  </si>
  <si>
    <t>101233944000</t>
  </si>
  <si>
    <t>1012339440-9</t>
  </si>
  <si>
    <t>NIETO RUBIANO ANGEL/AUTOPINTURAS MARVICOLOR</t>
  </si>
  <si>
    <t>90092517000</t>
  </si>
  <si>
    <t>900925170-9</t>
  </si>
  <si>
    <t>FERRETORNILLOS DEL NORTE S.A.S</t>
  </si>
  <si>
    <t>8042057400</t>
  </si>
  <si>
    <t>80420574-9</t>
  </si>
  <si>
    <t>PAEZ FUQUENE LUIS GRIMALDO/MASTER COLOR P</t>
  </si>
  <si>
    <t>90074233400</t>
  </si>
  <si>
    <t>900742334-3</t>
  </si>
  <si>
    <t>CAICA CONSTRUCTORES SAS</t>
  </si>
  <si>
    <t>90039751900</t>
  </si>
  <si>
    <t>900397519-9</t>
  </si>
  <si>
    <t>IT SUPPLIER SAS</t>
  </si>
  <si>
    <t>90100961900</t>
  </si>
  <si>
    <t>901009619-8</t>
  </si>
  <si>
    <t>FEMID GROUP S.A.S</t>
  </si>
  <si>
    <t>90186116400</t>
  </si>
  <si>
    <t>901861164-1</t>
  </si>
  <si>
    <t>DOBLAMOS ESTRUCTURAS S.A.S.</t>
  </si>
  <si>
    <t>7914484900</t>
  </si>
  <si>
    <t>79144849-1</t>
  </si>
  <si>
    <t>MALPICA MALPICA EDUARDO</t>
  </si>
  <si>
    <t>111210094600</t>
  </si>
  <si>
    <t>1112100946-9</t>
  </si>
  <si>
    <t>TRUJILLO HERNANDEZ ABEL ANTONIO / SURTIPINTURAS TRUJILLO HERNANDEZ</t>
  </si>
  <si>
    <t>4638278900</t>
  </si>
  <si>
    <t>46382789-8</t>
  </si>
  <si>
    <t>MOJICA ROMERO ZULAY XIMENA / FERRETERIA LOS PRIMOS GUERRERO</t>
  </si>
  <si>
    <t>CHITARAQUE - BOYACA</t>
  </si>
  <si>
    <t>860034944</t>
  </si>
  <si>
    <t>860034944-4</t>
  </si>
  <si>
    <t>PRODUCTORA DE CABLES PROCABLES S.A.S.</t>
  </si>
  <si>
    <t>90189686600</t>
  </si>
  <si>
    <t>901896866-4</t>
  </si>
  <si>
    <t>COLOR PREMIUM SAS</t>
  </si>
  <si>
    <t>90162000900</t>
  </si>
  <si>
    <t>901620009-4</t>
  </si>
  <si>
    <t>FERRE STEEL SAS</t>
  </si>
  <si>
    <t>90146466800</t>
  </si>
  <si>
    <t>901464668-9</t>
  </si>
  <si>
    <t>CARPINTERIA METALICA RODRIGUEZ SAS</t>
  </si>
  <si>
    <t>3965849600</t>
  </si>
  <si>
    <t>39658496-6</t>
  </si>
  <si>
    <t>GARCIA MORENO ADRIANA ERMID / FERREPINTURAS AG ARTE DEL COLOR</t>
  </si>
  <si>
    <t>3084680400</t>
  </si>
  <si>
    <t>30746804-6</t>
  </si>
  <si>
    <t>MONCAYO DELGADO SANDRA/FERRETERIA MONCAYO-POPAYAN</t>
  </si>
  <si>
    <t>80421984</t>
  </si>
  <si>
    <t>BECERRA JOSE HUGO/ACABADOS Y DECORADOS EKOVINIL</t>
  </si>
  <si>
    <t>1616128700</t>
  </si>
  <si>
    <t>16161287-5</t>
  </si>
  <si>
    <t>MARTINEZ NIÑO ELIUT/FERRE GAMA</t>
  </si>
  <si>
    <t>5179534300</t>
  </si>
  <si>
    <t>51795343-8</t>
  </si>
  <si>
    <t>ARENAS PEREZ MARTHA CECILIA/FERREDEPOSITO LA 74</t>
  </si>
  <si>
    <t>83009959600</t>
  </si>
  <si>
    <t>830099596-4</t>
  </si>
  <si>
    <t>TRANSPORTADORA MERCANTIL LTDA</t>
  </si>
  <si>
    <t>TRANSPORTADORAS</t>
  </si>
  <si>
    <t>8044920000</t>
  </si>
  <si>
    <t>80449200-6</t>
  </si>
  <si>
    <t>CASTRO GUTIERREZ NORBERTO/MAFERRO SERVICIOS DE ACERO NC</t>
  </si>
  <si>
    <t>90143500200</t>
  </si>
  <si>
    <t>901435002-0</t>
  </si>
  <si>
    <t>TECNOHIERROS SAS</t>
  </si>
  <si>
    <t>101020400900</t>
  </si>
  <si>
    <t>1010204009-1</t>
  </si>
  <si>
    <t>ZUÑIGA CARVAJAL ADRIANA DEL PILAR /  OMEGA FERRETERIAS</t>
  </si>
  <si>
    <t>90021111200</t>
  </si>
  <si>
    <t>900211112-7</t>
  </si>
  <si>
    <t>ARFOS FERRETERIA LTDA</t>
  </si>
  <si>
    <t>3977759000</t>
  </si>
  <si>
    <t>39777590-0</t>
  </si>
  <si>
    <t>VASQUEZ MARIA ELISA/FERRETERIA J.I RODRIGUEZ</t>
  </si>
  <si>
    <t>1731990400</t>
  </si>
  <si>
    <t>17319904-6</t>
  </si>
  <si>
    <t>LAGUNA CAÑON HUGO JAVIER/TECNICOLOR</t>
  </si>
  <si>
    <t>568987100</t>
  </si>
  <si>
    <t>5689871-4</t>
  </si>
  <si>
    <t>SANTOS BARRERA MAURICIO ANIBAL/FERREDEPOSITO CONSTRUYA</t>
  </si>
  <si>
    <t>100004843800</t>
  </si>
  <si>
    <t>1000048438-0</t>
  </si>
  <si>
    <t>GUERRERO SANCHEZ HECTOR EMANUEL / MULTICOLORES GS</t>
  </si>
  <si>
    <t>3541059100</t>
  </si>
  <si>
    <t>35410591-8</t>
  </si>
  <si>
    <t>AGUILAR VASQUEZ MARTHA LUCIA/FERRETEJAS Y MANGUERAS</t>
  </si>
  <si>
    <t>4362785300</t>
  </si>
  <si>
    <t>43627853</t>
  </si>
  <si>
    <t>LOPEZ RODRIGUEZ ADRIANA MARCELA</t>
  </si>
  <si>
    <t>EMPLEADO</t>
  </si>
  <si>
    <t>7923020500</t>
  </si>
  <si>
    <t>79230205</t>
  </si>
  <si>
    <t>MARIO RODRIGUEZ GUTIERREZ</t>
  </si>
  <si>
    <t>1054755800</t>
  </si>
  <si>
    <t>10547558-2</t>
  </si>
  <si>
    <t>CASTRO LOPEZ DIEGO JAVIER/ ESTRUCTURAS METALICAS DEL CAUCA</t>
  </si>
  <si>
    <t>90058273100</t>
  </si>
  <si>
    <t>900582731-7</t>
  </si>
  <si>
    <t>EGA- KAT LOGISTICA S.A.S</t>
  </si>
  <si>
    <t>90106180000</t>
  </si>
  <si>
    <t>901061800-5</t>
  </si>
  <si>
    <t>PARQUE INDUSTRIAL INNOVA</t>
  </si>
  <si>
    <t>101901078400</t>
  </si>
  <si>
    <t>1019010784-9</t>
  </si>
  <si>
    <t>MOYA PINILLA MARCOS ALEXANDER/CERRADURAS ALEX</t>
  </si>
  <si>
    <t>90120617000</t>
  </si>
  <si>
    <t>901206170-8</t>
  </si>
  <si>
    <t>FERROPLAS VALLE S.A.S</t>
  </si>
  <si>
    <t>7913597300</t>
  </si>
  <si>
    <t>79135973-9</t>
  </si>
  <si>
    <t>NOVOA POLANIA JOSE / FERREPINTURAS JA2</t>
  </si>
  <si>
    <t>3437295500</t>
  </si>
  <si>
    <t>34372955-8</t>
  </si>
  <si>
    <t>CABRERA MARIN DIANA IVONE / MUNDOPINTURAS DIANA</t>
  </si>
  <si>
    <t>90070316500</t>
  </si>
  <si>
    <t>900703165-9</t>
  </si>
  <si>
    <t>COMERCIALIZADORA FERRETERA A &amp; G S.A.S.</t>
  </si>
  <si>
    <t>7928432500</t>
  </si>
  <si>
    <t>79284325-4</t>
  </si>
  <si>
    <t>SIERRA CANO MAURICIO/ELECTRICOS Y CERRAJERIA SIERRA</t>
  </si>
  <si>
    <t>5276490900</t>
  </si>
  <si>
    <t>52764909-7</t>
  </si>
  <si>
    <t>RUEDA QUIROGA SANDRA YARLENY/FERRETERIA Y VIDRIERIA SANTANDER</t>
  </si>
  <si>
    <t>2042031100</t>
  </si>
  <si>
    <t>20420311-0</t>
  </si>
  <si>
    <t>ALONSO DE BOLIVAR MARIA TERESA/FERRENORTE</t>
  </si>
  <si>
    <t>101547879000</t>
  </si>
  <si>
    <t>1015478790-8</t>
  </si>
  <si>
    <t>SALAZAR BEJARANO EFREM GIOVANI / FERREPINTURAS ABG</t>
  </si>
  <si>
    <t>90193032100</t>
  </si>
  <si>
    <t>901930321-8</t>
  </si>
  <si>
    <t>FERREMANIA S Y A SAS</t>
  </si>
  <si>
    <t>3789837800</t>
  </si>
  <si>
    <t>37898378-7</t>
  </si>
  <si>
    <t>FORERO DIAZ HELIA / PINTURAS LA GARANTIA</t>
  </si>
  <si>
    <t>1552447900</t>
  </si>
  <si>
    <t>15524479-8</t>
  </si>
  <si>
    <t>MONTOYA RESTREPO HUGOBERTO / AHA PINTURAS Y ACABADOS</t>
  </si>
  <si>
    <t>7953813900</t>
  </si>
  <si>
    <t>79538139-2</t>
  </si>
  <si>
    <t>SILVA VEGA GABRIEL/FERREPINTURAS GABY COLOR S</t>
  </si>
  <si>
    <t>316890400</t>
  </si>
  <si>
    <t>3168904-6</t>
  </si>
  <si>
    <t>LEGUIZAMON RODRIGUEZ JAIRO ENRIQUE/LA FERRETERIA J L</t>
  </si>
  <si>
    <t>106065648300</t>
  </si>
  <si>
    <t>1060656483-9</t>
  </si>
  <si>
    <t>ARANGO GIRALDO ESTEBAN / PINTURAS EL EDEN</t>
  </si>
  <si>
    <t>5252845701</t>
  </si>
  <si>
    <t>52528457-9</t>
  </si>
  <si>
    <t>MOLANO RODRIGUEZ ANDREA / FERRETERIA SANTA TERESITA DE LA 45</t>
  </si>
  <si>
    <t>577205100</t>
  </si>
  <si>
    <t>5772051-6</t>
  </si>
  <si>
    <t>ROJAS BAREÑO CARLOS ANDRES / FERRE ZOE</t>
  </si>
  <si>
    <t>4004423700</t>
  </si>
  <si>
    <t>40044237-3</t>
  </si>
  <si>
    <t>VANEGAS OTALORA BARBARA / MISCELANEA DEL PINTOR</t>
  </si>
  <si>
    <t>2327511500</t>
  </si>
  <si>
    <t>23275115-2</t>
  </si>
  <si>
    <t>PALACIOS DORIS/ALMACEN DEL CONSTRUCTOR</t>
  </si>
  <si>
    <t>79366086001</t>
  </si>
  <si>
    <t>6555520700</t>
  </si>
  <si>
    <t>65555207-6</t>
  </si>
  <si>
    <t>GARCIA MURILLO NANCY PATRICIA/FERESCOL</t>
  </si>
  <si>
    <t>1680436400</t>
  </si>
  <si>
    <t>16804364-5</t>
  </si>
  <si>
    <t>MOLANO SAMBONI LEIFAR MARINO/FERRETERIA MOLANO</t>
  </si>
  <si>
    <t>103368288100</t>
  </si>
  <si>
    <t>1033682881-9</t>
  </si>
  <si>
    <t>MONTAÑO GARAVITO JULIAN FERNANDO / FERRETERIA LA 86 JYA</t>
  </si>
  <si>
    <t>103059223500</t>
  </si>
  <si>
    <t>1030592235-3</t>
  </si>
  <si>
    <t>CAMACHO MALDONADO LINA MARCELA / FERRELECTRICOS JEL</t>
  </si>
  <si>
    <t>107265027700</t>
  </si>
  <si>
    <t>1072650277-4</t>
  </si>
  <si>
    <t>BLANCO GONZALEZ DIEGO ALEXANDER/FERRACEL</t>
  </si>
  <si>
    <t>90022812000</t>
  </si>
  <si>
    <t>900228120-0</t>
  </si>
  <si>
    <t>MULTISERVICIOS FERRELECTRICOS LA 48 LTDA</t>
  </si>
  <si>
    <t>7986327700</t>
  </si>
  <si>
    <t>79863277-3</t>
  </si>
  <si>
    <t>PEREZ CASTRO NELSON ENRIQUE</t>
  </si>
  <si>
    <t>416498600</t>
  </si>
  <si>
    <t>4164986-5</t>
  </si>
  <si>
    <t>MORA FERNANDEZ PABLO/DEPOSITO Y FERRETERIA LA 182</t>
  </si>
  <si>
    <t>5291164200</t>
  </si>
  <si>
    <t>52911642-7</t>
  </si>
  <si>
    <t>ESPINOSA RODRIGUEZ LIANA /  FERRELECTRICOS L &amp; H</t>
  </si>
  <si>
    <t>90115412100</t>
  </si>
  <si>
    <t>901154121-2</t>
  </si>
  <si>
    <t>VISION &amp; AVANCE TECNOCONSTRUCCION S.A.S.</t>
  </si>
  <si>
    <t>90032613000</t>
  </si>
  <si>
    <t>900326130-4</t>
  </si>
  <si>
    <t>DICOFERCO S.A.S.</t>
  </si>
  <si>
    <t>7992410200</t>
  </si>
  <si>
    <t>79924102-6</t>
  </si>
  <si>
    <t>GONZALEZ GONZALEZ DELIO EDISON / PINTUCONTINENTAL</t>
  </si>
  <si>
    <t>5233795200</t>
  </si>
  <si>
    <t>52337952-3</t>
  </si>
  <si>
    <t>ACERO FUENTES CARMEN ROCIO/AV CONSTRUCCION</t>
  </si>
  <si>
    <t>83010593400</t>
  </si>
  <si>
    <t>830105934-7</t>
  </si>
  <si>
    <t>FERRETERIA MALLAS &amp; HERRAMIENTAS LTDA</t>
  </si>
  <si>
    <t>7965570700</t>
  </si>
  <si>
    <t>79655707-7</t>
  </si>
  <si>
    <t>CASTIBLANCO CUARTAS LUIS/COCENTRAL DE PINTURAS</t>
  </si>
  <si>
    <t>319506400</t>
  </si>
  <si>
    <t>3195064-9</t>
  </si>
  <si>
    <t>CAMACHO JURADO LUIS EDUARDO/DEPOSITO FERRETERIA LOS TERMALES</t>
  </si>
  <si>
    <t>5297237900</t>
  </si>
  <si>
    <t>52972379-5</t>
  </si>
  <si>
    <t>TOVAR ANGULO CATTERINE JULIETH / FERROELECTROLLAVES TOVAR PLATINUM</t>
  </si>
  <si>
    <t>3552054200</t>
  </si>
  <si>
    <t>35520542-9</t>
  </si>
  <si>
    <t>ACERO BARACALDO ANA ZORAIDA / ALMACEN Y FERRETERIA SURTIACERO</t>
  </si>
  <si>
    <t>90047388100</t>
  </si>
  <si>
    <t>DISTRIBUCIONES AGUILAR Y HERRERA S.A.S "SUC CENTRO"</t>
  </si>
  <si>
    <t>7959186300</t>
  </si>
  <si>
    <t>79591863-1</t>
  </si>
  <si>
    <t>COLLAZOS WILLIAM/ FERREPINTURAS ARCO IRIS DE PITALITO</t>
  </si>
  <si>
    <t>101905948800</t>
  </si>
  <si>
    <t>1019059488-5</t>
  </si>
  <si>
    <t>SORA MORA MARIA BELEN/DECOPINTURAS IMPERIAL</t>
  </si>
  <si>
    <t>111482450400</t>
  </si>
  <si>
    <t>1114824504-1</t>
  </si>
  <si>
    <t>OLIVARES RESTREPO MAYRA ALEJANDRA/FERREPINTURAS BUENOS AIRES</t>
  </si>
  <si>
    <t>GINEBRA - VALLE DEL CAUCA</t>
  </si>
  <si>
    <t>5208595400</t>
  </si>
  <si>
    <t>52085954-5</t>
  </si>
  <si>
    <t>PEÑA DUARTE ERICA LILIANA/FERRECONSTRUCTOR LYOR</t>
  </si>
  <si>
    <t>90144175100</t>
  </si>
  <si>
    <t>901441751-3</t>
  </si>
  <si>
    <t>VIGACEROS S.A.S.</t>
  </si>
  <si>
    <t>5166194400</t>
  </si>
  <si>
    <t>51661944-9</t>
  </si>
  <si>
    <t>WILLS RIAÑO CARMEN LUCIA / EL ENTRON</t>
  </si>
  <si>
    <t>8036783300</t>
  </si>
  <si>
    <t>80367833-5</t>
  </si>
  <si>
    <t>RAMIREZ MAHECHA JOSE KENNEDY/PINTURAS Y ESTUCOS MONOCOLOR</t>
  </si>
  <si>
    <t>107316548700</t>
  </si>
  <si>
    <t>1073165487-8</t>
  </si>
  <si>
    <t>DELGADO QUEVEDO JOHAN FAVIAN / J&amp;D</t>
  </si>
  <si>
    <t>5247589600</t>
  </si>
  <si>
    <t>52475896-1</t>
  </si>
  <si>
    <t>ZAPATA FERNANDEZ YOLANDA/FERRETERIA ELECTRICA YOLI</t>
  </si>
  <si>
    <t>1914475700</t>
  </si>
  <si>
    <t>19144757-4</t>
  </si>
  <si>
    <t>EVELIO GARCIA</t>
  </si>
  <si>
    <t>83009077900</t>
  </si>
  <si>
    <t>830080779-1</t>
  </si>
  <si>
    <t>MUNDIAL DE PERFILES LTDA</t>
  </si>
  <si>
    <t>90008647900</t>
  </si>
  <si>
    <t>900086479-8</t>
  </si>
  <si>
    <t>ELECTRICOS Y FERRETERIA GERVEL &amp; COMPAÑIA LTDA</t>
  </si>
  <si>
    <t>100719231100</t>
  </si>
  <si>
    <t>1007192311-5</t>
  </si>
  <si>
    <t>CARDONA FRANCO LUISA FERNANDA / PINTACOLOREX</t>
  </si>
  <si>
    <t>102387906800</t>
  </si>
  <si>
    <t>1023879068-8</t>
  </si>
  <si>
    <t>MONROY PEDROZA DIEGO ARMANDO / LA CASA DEL COLOR DE LA 27</t>
  </si>
  <si>
    <t>1587951400</t>
  </si>
  <si>
    <t>15879514-1</t>
  </si>
  <si>
    <t>OSPINA CASTRILLON FRANZ HEISEMBERG</t>
  </si>
  <si>
    <t>7982756201</t>
  </si>
  <si>
    <t>2419717800</t>
  </si>
  <si>
    <t>24197174-6</t>
  </si>
  <si>
    <t>PATIÑO PEREZ MARIA BELARMINA / MARLY COLOR</t>
  </si>
  <si>
    <t>102392415600</t>
  </si>
  <si>
    <t>1023924156-0</t>
  </si>
  <si>
    <t>ANDRES DAVID MONTENEGRO ALVARADO</t>
  </si>
  <si>
    <t>102453613300</t>
  </si>
  <si>
    <t>1024536133-0</t>
  </si>
  <si>
    <t>BELTRAN LEYVA EDWIN RICARDO / SOLUCIONES FERRO ELECTRICOS J F</t>
  </si>
  <si>
    <t>7981368900</t>
  </si>
  <si>
    <t>79813689-0</t>
  </si>
  <si>
    <t>VARGAS ARIZA PEDRO JOSE/DEPOSITO DE FORMALETAS LA ESPERANZA</t>
  </si>
  <si>
    <t>90109993700</t>
  </si>
  <si>
    <t>901099937-1</t>
  </si>
  <si>
    <t>FERRETERIA TOOLS CENTER SAS</t>
  </si>
  <si>
    <t>2355354000</t>
  </si>
  <si>
    <t>23553540-2</t>
  </si>
  <si>
    <t>DUCON FONCESA ELVIA ELENA / FERRETERIA DUCON</t>
  </si>
  <si>
    <t>5260104200</t>
  </si>
  <si>
    <t>52601042-8</t>
  </si>
  <si>
    <t>GUERRERO OVIEDO MARIA ADELA</t>
  </si>
  <si>
    <t>90001018100</t>
  </si>
  <si>
    <t>900010181-2</t>
  </si>
  <si>
    <t>CONJUNTO RESIDENCIAL ALTA VISTA PROPIEDAD HORIZONTAL</t>
  </si>
  <si>
    <t>90024904000</t>
  </si>
  <si>
    <t>900249040-1</t>
  </si>
  <si>
    <t>PROCOLOMBIANOS C.I. S A S</t>
  </si>
  <si>
    <t>102079099100</t>
  </si>
  <si>
    <t>1020790991-6</t>
  </si>
  <si>
    <t>MENDOZA GONZALEZ ANDRES ALBERTO / FERRETERIA MARCA ACME</t>
  </si>
  <si>
    <t>8011704900</t>
  </si>
  <si>
    <t>80117049-5</t>
  </si>
  <si>
    <t>PEÑALOZA YEPES ALVINCE/FERREPINTURAS PEÑALOZA</t>
  </si>
  <si>
    <t>5262420300</t>
  </si>
  <si>
    <t>52624203-6</t>
  </si>
  <si>
    <t>SILVA AREVALO ROSALBA/FERRELECTRICOS LOS MELLIS</t>
  </si>
  <si>
    <t>90124431400</t>
  </si>
  <si>
    <t>901244314-3</t>
  </si>
  <si>
    <t>FERROHERRAMIENTAS LUZDA SAS</t>
  </si>
  <si>
    <t>80013042624</t>
  </si>
  <si>
    <t>G Y J  FERRETERIAS S.A.- UNES MONTERIA SAN JERONIMO</t>
  </si>
  <si>
    <t>7936778300</t>
  </si>
  <si>
    <t>79367783-1</t>
  </si>
  <si>
    <t>PINTO LUIS HENRY/FERRELECTRICOS PINTO</t>
  </si>
  <si>
    <t>90041873200</t>
  </si>
  <si>
    <t>900418732-3</t>
  </si>
  <si>
    <t>LC ALQUILER DE EQUIPOS PARA CONSTRUCCION SAS</t>
  </si>
  <si>
    <t>1733896000</t>
  </si>
  <si>
    <t>17338960-1</t>
  </si>
  <si>
    <t>OSORIO ROJAS JOSE/LA CASA DEL BUEN PINTOR</t>
  </si>
  <si>
    <t>107662007100</t>
  </si>
  <si>
    <t>1076620071-0</t>
  </si>
  <si>
    <t>CAMACHO PINILLA NAIRO ALEXANDER/MEGACONSTRUCTOR FERRETERIA NC</t>
  </si>
  <si>
    <t>123369329200</t>
  </si>
  <si>
    <t>1233693292</t>
  </si>
  <si>
    <t>ORDUZ DIAZ SILVIA FERNANDA</t>
  </si>
  <si>
    <t>105069258900</t>
  </si>
  <si>
    <t>1050692589-7</t>
  </si>
  <si>
    <t>GOMEZ SOLER CAMILO ANDRES/FERREMARC</t>
  </si>
  <si>
    <t>1002336000</t>
  </si>
  <si>
    <t>10023360-2</t>
  </si>
  <si>
    <t>RAMIREZ LADINO MAURICIO</t>
  </si>
  <si>
    <t>101911607100</t>
  </si>
  <si>
    <t>1019116071-2</t>
  </si>
  <si>
    <t>LOZANO AGUIRRE PAULA DANIELA / FERRETERIA LOZANO AGUIRRE LOGUIZ</t>
  </si>
  <si>
    <t>426507300</t>
  </si>
  <si>
    <t>4265073-1</t>
  </si>
  <si>
    <t>PALACIOS JOAQUIN/DEPOSITO CASTILLA</t>
  </si>
  <si>
    <t>80022723200</t>
  </si>
  <si>
    <t>800227232-1</t>
  </si>
  <si>
    <t>MUNDO DEL COLOR SAS</t>
  </si>
  <si>
    <t>302489500</t>
  </si>
  <si>
    <t>3024895-1</t>
  </si>
  <si>
    <t>FONSECA CARLOS ALIRIO/DEPOSITO DE MATERIALES HATO SAN CARLOS</t>
  </si>
  <si>
    <t>2939975400</t>
  </si>
  <si>
    <t>29399754-3</t>
  </si>
  <si>
    <t>MARTINEZ OFELIA/FERREPINTURAS NUEVO MILENIO</t>
  </si>
  <si>
    <t>90158002700</t>
  </si>
  <si>
    <t>901580027-4</t>
  </si>
  <si>
    <t>COMERCIALIZADORA Y DISTRIBUIDORA PINTURAS NEVADA SAS</t>
  </si>
  <si>
    <t>83006989700</t>
  </si>
  <si>
    <t>830069897-8</t>
  </si>
  <si>
    <t>MATERIAS PRIMAS FARMACEUTICAS Y GESTIONES LOGISTICAS SAS</t>
  </si>
  <si>
    <t>86000969402</t>
  </si>
  <si>
    <t>CYRGO S.A.S -"FONTIBON"</t>
  </si>
  <si>
    <t>7961258300</t>
  </si>
  <si>
    <t>79612583-6</t>
  </si>
  <si>
    <t>CASTRO ESPINOSA LUIS URIEL/TECNIPINTURAS</t>
  </si>
  <si>
    <t>103066189200</t>
  </si>
  <si>
    <t>1030661892-9</t>
  </si>
  <si>
    <t>MUÑOZ AGUIRRE TATIANA / FERREELECTRICOS LA ECONOMIA JM</t>
  </si>
  <si>
    <t>7942226500</t>
  </si>
  <si>
    <t>79422265-3</t>
  </si>
  <si>
    <t>ESPINEL RODRIGUEZ CESAR/METALICAS CESAR</t>
  </si>
  <si>
    <t>90013139600</t>
  </si>
  <si>
    <t>900131393-6</t>
  </si>
  <si>
    <t>LOGISCAN LTDA</t>
  </si>
  <si>
    <t>90194517300</t>
  </si>
  <si>
    <t>901945173-1</t>
  </si>
  <si>
    <t>COMERCIALIZADORA LA FERRE JR SAS</t>
  </si>
  <si>
    <t>101542785601</t>
  </si>
  <si>
    <t>103764229100</t>
  </si>
  <si>
    <t>1037642291-7</t>
  </si>
  <si>
    <t>PEREZ MESA JAZMIN AMPARO / PINTURAS SUPER OLIMPICA</t>
  </si>
  <si>
    <t>90161896200</t>
  </si>
  <si>
    <t>901618962-2</t>
  </si>
  <si>
    <t>DISCOMERCIAL KAIROS SAS</t>
  </si>
  <si>
    <t>1922925800</t>
  </si>
  <si>
    <t>19229258-7</t>
  </si>
  <si>
    <t>SANCHEZ MESA JOSE IGNACIO</t>
  </si>
  <si>
    <t>90057246300</t>
  </si>
  <si>
    <t>900572463-5</t>
  </si>
  <si>
    <t>DISTRI MATERIALES  LA UNION S.A.S.</t>
  </si>
  <si>
    <t>86006799807</t>
  </si>
  <si>
    <t>MULTIALAMBRES S A S " BUCARAMANGA "</t>
  </si>
  <si>
    <t>1022592500</t>
  </si>
  <si>
    <t>10225925-0</t>
  </si>
  <si>
    <t>CARDONA GIRALDO JOSE JAMEL / ALMACEN DE PINTURAS PRIMAVERA Y CONYPIN</t>
  </si>
  <si>
    <t>5291648100</t>
  </si>
  <si>
    <t>52916481-0</t>
  </si>
  <si>
    <t>GARZON BARON SANDRA MILENA / FABRICA DE PINTURAS EUROCOLOR</t>
  </si>
  <si>
    <t>7923200500</t>
  </si>
  <si>
    <t>79232005</t>
  </si>
  <si>
    <t>MARTIN BALLESTEROS</t>
  </si>
  <si>
    <t>86006799808</t>
  </si>
  <si>
    <t>MULTIALAMBRES S A S " ITAGUI "</t>
  </si>
  <si>
    <t>90099575100</t>
  </si>
  <si>
    <t>900995751-7</t>
  </si>
  <si>
    <t>TEJAS Y CUBIERTAS ESPECIALIZADAS DE COLOMBIA S.A.S</t>
  </si>
  <si>
    <t>5238038300</t>
  </si>
  <si>
    <t>52380383-4</t>
  </si>
  <si>
    <t>GOMEZ BUSTOS NOHORA / FERREDEPOSITO GOMEZ</t>
  </si>
  <si>
    <t>8007130200</t>
  </si>
  <si>
    <t>80071302-4</t>
  </si>
  <si>
    <t>ALDANA GOMEZ FREDDY ENRIQUE/ FERRETER</t>
  </si>
  <si>
    <t>90118304800</t>
  </si>
  <si>
    <t>901183048-6</t>
  </si>
  <si>
    <t>PROYECTOS Y CONSULTORIAS SAS</t>
  </si>
  <si>
    <t>90185810000</t>
  </si>
  <si>
    <t>901858100-1</t>
  </si>
  <si>
    <t>BLESS FMC SAS</t>
  </si>
  <si>
    <t>90136472000</t>
  </si>
  <si>
    <t>901364720-5</t>
  </si>
  <si>
    <t>CONSTRUCTORA HAVA S.A.S</t>
  </si>
  <si>
    <t>7969151300</t>
  </si>
  <si>
    <t>79691513-8</t>
  </si>
  <si>
    <t>NIÑO AVILA MILTON YECID / TORNIÑO FERRETERIA</t>
  </si>
  <si>
    <t>101003521700</t>
  </si>
  <si>
    <t>1010035217-1</t>
  </si>
  <si>
    <t>REYES QUINTERO PAULA ALEJANDRA/DEPOSITO Y FERRETERIA LOURDES</t>
  </si>
  <si>
    <t>8815333400</t>
  </si>
  <si>
    <t>88153334-1</t>
  </si>
  <si>
    <t>BARON PINZON JOSE LUIS / CONSTRUCASA VADO REAL</t>
  </si>
  <si>
    <t>SUAITA - SANTANDER</t>
  </si>
  <si>
    <t>1424762400</t>
  </si>
  <si>
    <t>14247624-8</t>
  </si>
  <si>
    <t>RODRIGUEZ GARCIA EDGAR / DISTRIBUIDORA RODRIGUEZ</t>
  </si>
  <si>
    <t>MELGAR - TOLIMA</t>
  </si>
  <si>
    <t>3885829900</t>
  </si>
  <si>
    <t>38858299-6</t>
  </si>
  <si>
    <t>VALDES LOZANO YOLANDA / ALMACEN MUNDO PINTURAS BUGA</t>
  </si>
  <si>
    <t>101364747900</t>
  </si>
  <si>
    <t>AVILA PINZON KEVIN DARIO / PINTURAS Y FERRETERIA J.D</t>
  </si>
  <si>
    <t>110095557400</t>
  </si>
  <si>
    <t>1100955574-8</t>
  </si>
  <si>
    <t>SIERRA TORRES DAISY JULIANA/FERREAPLIQUES SANTANDER</t>
  </si>
  <si>
    <t>83005573110</t>
  </si>
  <si>
    <t>830055731-3</t>
  </si>
  <si>
    <t>AGUA Y AMBIENTE INTERNACIONAL S.A.S</t>
  </si>
  <si>
    <t>90060397100</t>
  </si>
  <si>
    <t>900603971-1</t>
  </si>
  <si>
    <t>DISTRIBUIDORA ESPECIAL FERRETERA ESFERA S.A.S.</t>
  </si>
  <si>
    <t>80021649924</t>
  </si>
  <si>
    <t>AGOFER S.A.S - MALAMBO</t>
  </si>
  <si>
    <t>MALAMBO - ATLANTICO</t>
  </si>
  <si>
    <t>1910047400</t>
  </si>
  <si>
    <t>19100474-6</t>
  </si>
  <si>
    <t>PEREZ PINEDA HELIBERTO/DEPOSITO Y FERRELECTRICOS P&amp;G</t>
  </si>
  <si>
    <t>90073026200</t>
  </si>
  <si>
    <t>900730262-1</t>
  </si>
  <si>
    <t>IMPORTADORA AA SAS</t>
  </si>
  <si>
    <t>90179975000</t>
  </si>
  <si>
    <t>901799750-3</t>
  </si>
  <si>
    <t>MULTISERVICIOS R7 / 2 S.A.S.</t>
  </si>
  <si>
    <t>83012557800</t>
  </si>
  <si>
    <t>830125578-3</t>
  </si>
  <si>
    <t>LABORATORIOS BRILLER SAS</t>
  </si>
  <si>
    <t>90087964001</t>
  </si>
  <si>
    <t>900879640-1</t>
  </si>
  <si>
    <t>FERRYMAT S.A.S. - FERREAGROLLANOS 1A</t>
  </si>
  <si>
    <t>1905536800</t>
  </si>
  <si>
    <t>19055368-0</t>
  </si>
  <si>
    <t>VALENZUELA ACUNA RAMON/NACIONAL DE DOBLECES</t>
  </si>
  <si>
    <t>90114081000</t>
  </si>
  <si>
    <t>901140810-8</t>
  </si>
  <si>
    <t>CASA LAVERDE SAS</t>
  </si>
  <si>
    <t>123349496300</t>
  </si>
  <si>
    <t>1233494963</t>
  </si>
  <si>
    <t>JUAN CARLOS FRANCO SALAMANCA</t>
  </si>
  <si>
    <t>8318166100</t>
  </si>
  <si>
    <t>83181661-6</t>
  </si>
  <si>
    <t>PEÑA BARRERA ROMAN/FERRE ACEVEDO</t>
  </si>
  <si>
    <t>90008144900</t>
  </si>
  <si>
    <t>900081449-4</t>
  </si>
  <si>
    <t>LADRILLERA TIKAL SAS</t>
  </si>
  <si>
    <t>90132198300</t>
  </si>
  <si>
    <t>901321983-0</t>
  </si>
  <si>
    <t>DOBLADORA J.E. S.A.S</t>
  </si>
  <si>
    <t>90158067400</t>
  </si>
  <si>
    <t>901580674-1</t>
  </si>
  <si>
    <t>FERRELECTRICOS DEL CHICO S.A.S</t>
  </si>
  <si>
    <t>111145269000</t>
  </si>
  <si>
    <t>1111452690</t>
  </si>
  <si>
    <t>NIYIRETH SANCHEZ MORALES</t>
  </si>
  <si>
    <t>90010080300</t>
  </si>
  <si>
    <t>900100803-1</t>
  </si>
  <si>
    <t>MACROCOLOR E U</t>
  </si>
  <si>
    <t>3954820500</t>
  </si>
  <si>
    <t>39548205-8</t>
  </si>
  <si>
    <t>DUARTE DIAZ ANGELA ROCIO /  FERREPINTURAS EL MASTER</t>
  </si>
  <si>
    <t>9106761200</t>
  </si>
  <si>
    <t>91067612-7</t>
  </si>
  <si>
    <t>PINILLA GUTIERREZ FABIO JESUS/EXPOPINTURAS</t>
  </si>
  <si>
    <t>7976701600</t>
  </si>
  <si>
    <t>79767016-7</t>
  </si>
  <si>
    <t>RODRIGUEZ BUSTOS PEDRO ALEXANDER/FERRELECTRICOS A R</t>
  </si>
  <si>
    <t>112193235700</t>
  </si>
  <si>
    <t>1121932357-3</t>
  </si>
  <si>
    <t>COBOS AGUDELO NATALIA /PINTURAS COLOMBIA</t>
  </si>
  <si>
    <t>90080984800</t>
  </si>
  <si>
    <t>900809848-7</t>
  </si>
  <si>
    <t>TALLER Y FERRETERIA INALMET S.A.S.</t>
  </si>
  <si>
    <t>90143112000</t>
  </si>
  <si>
    <t>901431120-3</t>
  </si>
  <si>
    <t>FERREMETALICAS INVERSIONES S.A.S.</t>
  </si>
  <si>
    <t>90007037600</t>
  </si>
  <si>
    <t>900070376-8</t>
  </si>
  <si>
    <t>INCOMAQUINARIA LTDA</t>
  </si>
  <si>
    <t>900297153</t>
  </si>
  <si>
    <t>900297153-8</t>
  </si>
  <si>
    <t>COASPHARMA S.A.S.</t>
  </si>
  <si>
    <t>90056544300</t>
  </si>
  <si>
    <t>900565443-9</t>
  </si>
  <si>
    <t>D R H CONSTRUCTORES SAS</t>
  </si>
  <si>
    <t>1934143000</t>
  </si>
  <si>
    <t>19341430-6</t>
  </si>
  <si>
    <t>REYNALDO SANTAMARIA BENAVIDES</t>
  </si>
  <si>
    <t>8047045100</t>
  </si>
  <si>
    <t>80470451-1</t>
  </si>
  <si>
    <t>ACEVEDO NOPE JOSE ALVEIRO/FERRELECTRICOS EL PRIMO</t>
  </si>
  <si>
    <t>89110029900</t>
  </si>
  <si>
    <t>891100299-7</t>
  </si>
  <si>
    <t>COOTRANSHUILA LTDA</t>
  </si>
  <si>
    <t>INACTIVOS</t>
  </si>
  <si>
    <t>90155028600</t>
  </si>
  <si>
    <t>901550286-7</t>
  </si>
  <si>
    <t>CONJUNTO RESIDENCIAL HACIENDA EL RECREO PH</t>
  </si>
  <si>
    <t>2362999400</t>
  </si>
  <si>
    <t>23629994-0</t>
  </si>
  <si>
    <t>GOMEZ SANDOVAL MIREYA / A K PINTURAS</t>
  </si>
  <si>
    <t>6038017900</t>
  </si>
  <si>
    <t>60380179-7</t>
  </si>
  <si>
    <t>BARRERA BALLEN ILBA NYBIA / DECORADOS Y ACABADOS COLOMBIA</t>
  </si>
  <si>
    <t>9113058000</t>
  </si>
  <si>
    <t>91130580-9</t>
  </si>
  <si>
    <t>TRIANA TOVAR EULICER / FERRETERIA Y DOBLADORA LA NACIONAL</t>
  </si>
  <si>
    <t>1934533600</t>
  </si>
  <si>
    <t>19345336-1</t>
  </si>
  <si>
    <t>HERNANDEZ LAUREANO/FERRELECTRICOS LA U</t>
  </si>
  <si>
    <t>2402341400</t>
  </si>
  <si>
    <t>24023414-2</t>
  </si>
  <si>
    <t>RODRIGUEZ SAAVEDRA DENNIS ANYELID</t>
  </si>
  <si>
    <t>90033451300</t>
  </si>
  <si>
    <t>900334513-5</t>
  </si>
  <si>
    <t>DIAMANT FERRE S.A.S</t>
  </si>
  <si>
    <t>6577181200</t>
  </si>
  <si>
    <t>65771812-8</t>
  </si>
  <si>
    <t>SALCEDO ACOSTA SANDRA YAMILE/PINTURAS GOLD</t>
  </si>
  <si>
    <t>101018045700</t>
  </si>
  <si>
    <t>1010180457-0</t>
  </si>
  <si>
    <t>VEGA PINZON DIANA / A Y B PAPELERIA</t>
  </si>
  <si>
    <t>6577519400</t>
  </si>
  <si>
    <t>65775194-1</t>
  </si>
  <si>
    <t>CARVAJAL DIAZ PAOLA ANDREA / FERRE DIAZ</t>
  </si>
  <si>
    <t>4174173700</t>
  </si>
  <si>
    <t>41741737-8</t>
  </si>
  <si>
    <t>AMAYA HUERTAS MARIA LILIA / ELECTRICOS Y FERRETERIALA GRAN 72 A</t>
  </si>
  <si>
    <t>90135505700</t>
  </si>
  <si>
    <t>901355057-1</t>
  </si>
  <si>
    <t>GRUPO ANGEL STORE S A S</t>
  </si>
  <si>
    <t>109799285400</t>
  </si>
  <si>
    <t>1097992854-2</t>
  </si>
  <si>
    <t>CALDERON VARGAS DIANA / FERRELECTRICOS SANTANDER</t>
  </si>
  <si>
    <t>83011262500</t>
  </si>
  <si>
    <t>830112625-5</t>
  </si>
  <si>
    <t>GENETICA MOLECULAR DE COLOMBIA S.A.S</t>
  </si>
  <si>
    <t>5239619300</t>
  </si>
  <si>
    <t>52396193-1</t>
  </si>
  <si>
    <t>BENAVIDES BUITRAGO MARYOLY/FERRELECTRICOS LA 15</t>
  </si>
  <si>
    <t>3553288700</t>
  </si>
  <si>
    <t>35532887-6</t>
  </si>
  <si>
    <t>PIRAGAUTA HERRERA LILIANA / FERRELECTRICOS COVO</t>
  </si>
  <si>
    <t>7988316400</t>
  </si>
  <si>
    <t>79883164-5</t>
  </si>
  <si>
    <t>PEREZ CASTRO JUAN CARLOS / QUIMICOS Y ADHESIVOS PINTULOOK</t>
  </si>
  <si>
    <t>112690584700</t>
  </si>
  <si>
    <t>1126905847-4</t>
  </si>
  <si>
    <t>CARDENAS HERNANDEZ CRISTIAN CONRADO / ALMACEN EL PINTOR DE LA 12</t>
  </si>
  <si>
    <t>90100522300</t>
  </si>
  <si>
    <t>901005223-7</t>
  </si>
  <si>
    <t>FURA COLORS S.A.S.</t>
  </si>
  <si>
    <t>3552709900</t>
  </si>
  <si>
    <t>35527099</t>
  </si>
  <si>
    <t>MARIA FERNANDA CACERES LONDOÑO</t>
  </si>
  <si>
    <t>9101564400</t>
  </si>
  <si>
    <t>91015644-1</t>
  </si>
  <si>
    <t>RAMIREZ CARDENAS ALEXANDER/FERRETERIA INDUSTRIALIZADA</t>
  </si>
  <si>
    <t>4389104000</t>
  </si>
  <si>
    <t>43891040</t>
  </si>
  <si>
    <t>SAIDY MARIA MEJIA MARTINEZ</t>
  </si>
  <si>
    <t>90186969500</t>
  </si>
  <si>
    <t>901869695-7</t>
  </si>
  <si>
    <t>GREEN LOGISTIC INT S.A.S.</t>
  </si>
  <si>
    <t>90135431000</t>
  </si>
  <si>
    <t>901354310-6</t>
  </si>
  <si>
    <t>G2H MANTENIMIENTO Y SUMINISTROS SAS</t>
  </si>
  <si>
    <t>80021056900</t>
  </si>
  <si>
    <t>800210569-1</t>
  </si>
  <si>
    <t>ASESORIAS FABRICACION INGENIERIA ALFERING SAS</t>
  </si>
  <si>
    <t>102072362600</t>
  </si>
  <si>
    <t>1020723626-7</t>
  </si>
  <si>
    <t>SOSA MERCHAN DIANA ROCIO</t>
  </si>
  <si>
    <t>9107360800</t>
  </si>
  <si>
    <t>91073608-1</t>
  </si>
  <si>
    <t>ARDILA CHAVEZ ANTONIO  /FERRELECTRICOS ARDILA</t>
  </si>
  <si>
    <t>5233436000</t>
  </si>
  <si>
    <t>52334360-1</t>
  </si>
  <si>
    <t>ALARCON PEÑA NIVIA ESPERANZA  / FERREMANIA SYA</t>
  </si>
  <si>
    <t>90109897400</t>
  </si>
  <si>
    <t>901098974-8</t>
  </si>
  <si>
    <t>SOLO ACABADOS LA 23 S.A.S.</t>
  </si>
  <si>
    <t>102627697500</t>
  </si>
  <si>
    <t>1026276975-6</t>
  </si>
  <si>
    <t>DIEGO ALEXANDER RODRIGUEZ VARGAS</t>
  </si>
  <si>
    <t>7920017500</t>
  </si>
  <si>
    <t>79200175</t>
  </si>
  <si>
    <t>PERFILES ATLANTA</t>
  </si>
  <si>
    <t>86000437600</t>
  </si>
  <si>
    <t>860004376-2</t>
  </si>
  <si>
    <t>MESA HERMANOS Y CIA S.A.S</t>
  </si>
  <si>
    <t>7999837300</t>
  </si>
  <si>
    <t>79998373-2</t>
  </si>
  <si>
    <t>GOMEZ JOYA FABIO HERNAN / FERRELECTRICOS HG LA 56</t>
  </si>
  <si>
    <t>90049977700</t>
  </si>
  <si>
    <t>900499777-0</t>
  </si>
  <si>
    <t>COMERCIALIZADORA FERRETERA GUZMAN S.A.S.</t>
  </si>
  <si>
    <t>90169914300</t>
  </si>
  <si>
    <t>901699143-3</t>
  </si>
  <si>
    <t>FERRELECTRICOS EL OASIS SAS</t>
  </si>
  <si>
    <t>110694960400</t>
  </si>
  <si>
    <t>1106949604-8</t>
  </si>
  <si>
    <t>GUZMAN LONDOÑO DIBLADINE / FERRECOL INDUSTRIA Y HOGAR</t>
  </si>
  <si>
    <t>1921229900</t>
  </si>
  <si>
    <t>19212299-4</t>
  </si>
  <si>
    <t>PARADA GARCIA FIDEL / DISTRIBUIDORA JODWIN</t>
  </si>
  <si>
    <t>1675153000</t>
  </si>
  <si>
    <t>16751530-2</t>
  </si>
  <si>
    <t>GOMEZ LOPEZ LUIS ALVARO/FERREMATERIALES EL TRIUNFO</t>
  </si>
  <si>
    <t>101602668000</t>
  </si>
  <si>
    <t>1016026680-0</t>
  </si>
  <si>
    <t>AREVALO FARFAN CHRISTIAN CAMILO/PINTURAS DE FUNZA</t>
  </si>
  <si>
    <t>83003703900</t>
  </si>
  <si>
    <t>830037039-8</t>
  </si>
  <si>
    <t>FERRETERIA LUIS PENAGOS SAS</t>
  </si>
  <si>
    <t>2409962600</t>
  </si>
  <si>
    <t>24099626-3</t>
  </si>
  <si>
    <t>VELANDIA MENDIVELSO DEYANIRA/CONSTRUHOGAR</t>
  </si>
  <si>
    <t>7952509000</t>
  </si>
  <si>
    <t>79525090-4</t>
  </si>
  <si>
    <t>ESCOBAR CAICEDO NESTOR/FERRELECTRICOS LAS ECONOMIA</t>
  </si>
  <si>
    <t>1927260300</t>
  </si>
  <si>
    <t>19272603-7</t>
  </si>
  <si>
    <t>MAURICIO BOGOTA MUÑOZ</t>
  </si>
  <si>
    <t>5241733800</t>
  </si>
  <si>
    <t>52417338</t>
  </si>
  <si>
    <t>GUTIERREZ SANTOS MARIA NELCY/FERREDEPOSITO EL PAIS</t>
  </si>
  <si>
    <t>8008416200</t>
  </si>
  <si>
    <t>80084162-6</t>
  </si>
  <si>
    <t>GUTIERREZ SANTOS LUIS JOSE/FERRETERIA EL PAIS L, J.</t>
  </si>
  <si>
    <t>90179010200</t>
  </si>
  <si>
    <t>901790102-1</t>
  </si>
  <si>
    <t>CENTRO AUTOMOTRIZ LA SUCURSAL CR SAS</t>
  </si>
  <si>
    <t>5182641000</t>
  </si>
  <si>
    <t>51826410-8</t>
  </si>
  <si>
    <t>SUAREZ BENITEZ ROSA HELENA/FERRE LOPEZ Y SUAREZ</t>
  </si>
  <si>
    <t>113688838300</t>
  </si>
  <si>
    <t>1136888383</t>
  </si>
  <si>
    <t>JOSE WILLIAM RUIZ RAMIREZ</t>
  </si>
  <si>
    <t>5205197000</t>
  </si>
  <si>
    <t>52051970-7</t>
  </si>
  <si>
    <t>OVIEDO SUAREZ CLAUDIA ALEXANDRA</t>
  </si>
  <si>
    <t>86000492200</t>
  </si>
  <si>
    <t>860004922-4</t>
  </si>
  <si>
    <t>PRODUCTOS NATURALES DE LA SABANA S A S  BIC</t>
  </si>
  <si>
    <t>102237509800</t>
  </si>
  <si>
    <t>1022375098-1</t>
  </si>
  <si>
    <t>GUTIERREZ SAAVEDRA MAYERLLYS /  PINTUELECTRICOS M Y M</t>
  </si>
  <si>
    <t>PAIPA - BOYACA</t>
  </si>
  <si>
    <t>1861841500</t>
  </si>
  <si>
    <t>18618415-2</t>
  </si>
  <si>
    <t>TORRES CARDONA JUAN CARLOS / PINTURAS ARCO IRIS BL</t>
  </si>
  <si>
    <t>1921174900</t>
  </si>
  <si>
    <t>19211749-2</t>
  </si>
  <si>
    <t>PEÑA PORRAS LUIS TOMAS/FERRETERIA EL CAFETERO</t>
  </si>
  <si>
    <t>5239080100</t>
  </si>
  <si>
    <t>52390801</t>
  </si>
  <si>
    <t>ALEMAN DUARTE LUZ ANDREA</t>
  </si>
  <si>
    <t>123464064800</t>
  </si>
  <si>
    <t>1234640648-8</t>
  </si>
  <si>
    <t>DIAZ PUENTES PAOLA ANDREA / FERRE JPK</t>
  </si>
  <si>
    <t>90031478000</t>
  </si>
  <si>
    <t>900314780-1</t>
  </si>
  <si>
    <t>ENERSOLAR SAS</t>
  </si>
  <si>
    <t>110690064200</t>
  </si>
  <si>
    <t>1106900642-6</t>
  </si>
  <si>
    <t>RODRIGUEZ DIAZ CRISTIAN STEVEN/CACHARRERIA RODRIGUEZ DIAZ</t>
  </si>
  <si>
    <t>424575800</t>
  </si>
  <si>
    <t>4245758-0</t>
  </si>
  <si>
    <t>CASTAÑEDA GRANADOS JUAN CARLOS / CONSORCIO FERRELECTRICOS</t>
  </si>
  <si>
    <t>90146185900</t>
  </si>
  <si>
    <t>901461859-5</t>
  </si>
  <si>
    <t>FERRELECTRICOS A&amp;H SAS</t>
  </si>
  <si>
    <t>8081687300</t>
  </si>
  <si>
    <t>80816873</t>
  </si>
  <si>
    <t>MORA VELASQUEZ JAVIER HUMBERTO</t>
  </si>
  <si>
    <t>1496099200</t>
  </si>
  <si>
    <t>14960992-0</t>
  </si>
  <si>
    <t>ROJAS CARDONA EDGAR ALBERTO/PINTUFERRELECTRICOS ROJAS CARDONA</t>
  </si>
  <si>
    <t>2843902600</t>
  </si>
  <si>
    <t>28439026-9</t>
  </si>
  <si>
    <t>RUEDA QUIROGA JULIETH MAYERLY/FERREDEPOSITO LIDER</t>
  </si>
  <si>
    <t>90034900900</t>
  </si>
  <si>
    <t>900349009-1</t>
  </si>
  <si>
    <t>PHARMAQUIM DE COLOMBIA S.A.</t>
  </si>
  <si>
    <t>7954769300</t>
  </si>
  <si>
    <t>79547693-1</t>
  </si>
  <si>
    <t>VARGAS RINCON PAULO AMILIO/LA ESQUINA DE COLOR GENIAL</t>
  </si>
  <si>
    <t>107662192200</t>
  </si>
  <si>
    <t>1076621922-8</t>
  </si>
  <si>
    <t>PINILLA CAMACHO YURI MARCELA / FERRECONSTRUCTOR SM</t>
  </si>
  <si>
    <t>566293300</t>
  </si>
  <si>
    <t>5662933-5</t>
  </si>
  <si>
    <t>RUEDA PEÑA JOSE OMAR/FERRELECTRICOS SANTANDER JORP</t>
  </si>
  <si>
    <t>90065805100</t>
  </si>
  <si>
    <t>900658051-5</t>
  </si>
  <si>
    <t>COMERCIALIZADORA COLOREXPRESS SAS</t>
  </si>
  <si>
    <t>80023741200</t>
  </si>
  <si>
    <t>FERRICENTROS S.A.S</t>
  </si>
  <si>
    <t>90122619400</t>
  </si>
  <si>
    <t>901226194-1</t>
  </si>
  <si>
    <t>COLMECANICAS TWA S.A.S.</t>
  </si>
  <si>
    <t>1945922300</t>
  </si>
  <si>
    <t>19459223-6</t>
  </si>
  <si>
    <t>LOPEZ LOPEZ JOSE APARICIO</t>
  </si>
  <si>
    <t>5234032000</t>
  </si>
  <si>
    <t>52340320-1</t>
  </si>
  <si>
    <t>SILVA AGUDELO NANCY/PINTUMEZCLAS EL LAGO</t>
  </si>
  <si>
    <t>8008926000</t>
  </si>
  <si>
    <t>80089260-2</t>
  </si>
  <si>
    <t>ROJAS CASTRO IVAN/LA FERRETERIA DISTRIBUIDORA USAQUEN</t>
  </si>
  <si>
    <t>7858937500</t>
  </si>
  <si>
    <t>78589375</t>
  </si>
  <si>
    <t>HENRY CASTRO OSORIO</t>
  </si>
  <si>
    <t>9001921000</t>
  </si>
  <si>
    <t>900192109-1</t>
  </si>
  <si>
    <t>IGLESIA CUADRANGULAR DISTRITO ANDINO</t>
  </si>
  <si>
    <t>90156450500</t>
  </si>
  <si>
    <t>901564505-6</t>
  </si>
  <si>
    <t>COMERCIALIZADORA DE PINTURAS MAXICOLOR S.A.S.</t>
  </si>
  <si>
    <t>5210381400</t>
  </si>
  <si>
    <t>52103814</t>
  </si>
  <si>
    <t>ZULMA REYES BAUTISTA</t>
  </si>
  <si>
    <t>2063776700</t>
  </si>
  <si>
    <t>20637767-8</t>
  </si>
  <si>
    <t>GONZALEZ BARRERA MARIA CELINDA/FERRELECTRICOS FERRELAND</t>
  </si>
  <si>
    <t>101358256200</t>
  </si>
  <si>
    <t>1013582562-2</t>
  </si>
  <si>
    <t>SANCHEZ OSORIO LUIS GABRIEL/FERREPINTURAS SHADDAI</t>
  </si>
  <si>
    <t>90062234000</t>
  </si>
  <si>
    <t>900622340-3</t>
  </si>
  <si>
    <t>INGERACK INGENIERIA Y DISEÑO SAS</t>
  </si>
  <si>
    <t>90179911900</t>
  </si>
  <si>
    <t>901799119-5</t>
  </si>
  <si>
    <t>FERRETERIA PEGA EL DORADO SAS</t>
  </si>
  <si>
    <t>318013400</t>
  </si>
  <si>
    <t>3180134-0</t>
  </si>
  <si>
    <t>RODRIGUEZ ADAMES JORGE HERNAN/FERREFIGURADOS</t>
  </si>
  <si>
    <t>90016225600</t>
  </si>
  <si>
    <t>900162256-8</t>
  </si>
  <si>
    <t>AGRUPACION DE VIVIENDA BOSQUES DE USME - PROPIEDAD HORIZONTAL</t>
  </si>
  <si>
    <t>86035306100</t>
  </si>
  <si>
    <t>860353061-4</t>
  </si>
  <si>
    <t>SERVICIO PARA CLORO SAS</t>
  </si>
  <si>
    <t>101427577201</t>
  </si>
  <si>
    <t>83005678700</t>
  </si>
  <si>
    <t>830056787-1</t>
  </si>
  <si>
    <t>MENDOZA FRANCO INGENIEROS ARQUITECTOS S.A.S</t>
  </si>
  <si>
    <t>2879684000</t>
  </si>
  <si>
    <t>28796840-8</t>
  </si>
  <si>
    <t>BETANCOURT VARON MARTHA/FERRE CENTRO M B V</t>
  </si>
  <si>
    <t>7926498900</t>
  </si>
  <si>
    <t>79264989-9</t>
  </si>
  <si>
    <t>GUIO FUQUENE JAIME ALBERTO/FERRETERIA LA 58</t>
  </si>
  <si>
    <t>90037012800</t>
  </si>
  <si>
    <t>900370128-5</t>
  </si>
  <si>
    <t>CONJUNTO CERRADO LA CAMPIÑA DEL REFOUS II. - PROPIEDAD HORIZONTAL</t>
  </si>
  <si>
    <t>90156764000</t>
  </si>
  <si>
    <t>901567640-6</t>
  </si>
  <si>
    <t>PINTURAS Y ACABADOS R A S.A.S</t>
  </si>
  <si>
    <t>90124162200</t>
  </si>
  <si>
    <t>901241622-3</t>
  </si>
  <si>
    <t>MULTILLAVES GR S.A.S.</t>
  </si>
  <si>
    <t>7911109300</t>
  </si>
  <si>
    <t>79111093</t>
  </si>
  <si>
    <t>DIAZ JOSE EDGAR</t>
  </si>
  <si>
    <t>90028312600</t>
  </si>
  <si>
    <t>900283126-8</t>
  </si>
  <si>
    <t>ARQUIACERO S.A.S.</t>
  </si>
  <si>
    <t>4169196400</t>
  </si>
  <si>
    <t>41691964-8</t>
  </si>
  <si>
    <t>FLECHAS DE FORERO ELSA GLADYS/FERRELECTRICOS CALLE 53 S.A.S</t>
  </si>
  <si>
    <t>5217698100</t>
  </si>
  <si>
    <t>52176981-5</t>
  </si>
  <si>
    <t>BELLA LUZ DARY RUBIO MORENO</t>
  </si>
  <si>
    <t>9153637500</t>
  </si>
  <si>
    <t>91536375</t>
  </si>
  <si>
    <t>DIEGO FERNANDO MARTINEZ AYALA</t>
  </si>
  <si>
    <t>4174502400</t>
  </si>
  <si>
    <t>41745024-3</t>
  </si>
  <si>
    <t>MARTHA CECILIA HURTADO OSORIO</t>
  </si>
  <si>
    <t>ALMACEN DE PINTURAS</t>
  </si>
  <si>
    <t>90063007800</t>
  </si>
  <si>
    <t>900630078-1</t>
  </si>
  <si>
    <t>FERRETERIA Y ELECTRICOS DIMAS S.A.S.</t>
  </si>
  <si>
    <t>1936759000</t>
  </si>
  <si>
    <t>19367590-9</t>
  </si>
  <si>
    <t>ALVARADO ALVARADO LUCINDO/FERRE DRYWALL</t>
  </si>
  <si>
    <t>701159900</t>
  </si>
  <si>
    <t>7011599</t>
  </si>
  <si>
    <t>VARGAS JAVIER DARIO</t>
  </si>
  <si>
    <t>3979051300</t>
  </si>
  <si>
    <t>39790513-7</t>
  </si>
  <si>
    <t>CASTRO ALBARRACIN SONIA INES / FERRETERIA - TORNILLERIA ZIPA ÉXITO</t>
  </si>
  <si>
    <t>90044582900</t>
  </si>
  <si>
    <t>900445829-3</t>
  </si>
  <si>
    <t>OBRAS CIVILES Y MONTAJES INDUSTRIALES DE LOS ANDES SAS</t>
  </si>
  <si>
    <t>8041035100</t>
  </si>
  <si>
    <t>80410351-0</t>
  </si>
  <si>
    <t>GRANADOS RUIZ JAIME / FERRETERIA MUNDINORTE</t>
  </si>
  <si>
    <t>90167499500</t>
  </si>
  <si>
    <t>901674995-3</t>
  </si>
  <si>
    <t>S.A.F  GRUPO FERRETERO  SAS</t>
  </si>
  <si>
    <t>5281745600</t>
  </si>
  <si>
    <t>52817456-1</t>
  </si>
  <si>
    <t>CARVAJAL LOPEZ YENNYFER ANGELICA/EL CONSTRUCTOR J.L</t>
  </si>
  <si>
    <t>101907790500</t>
  </si>
  <si>
    <t>1019077905-1</t>
  </si>
  <si>
    <t>GONZALEZ SIERRA DIANA KATEHRINE  / FERRETERIA SEBITAS</t>
  </si>
  <si>
    <t>5305513000</t>
  </si>
  <si>
    <t>53055130</t>
  </si>
  <si>
    <t>TORRES GAITAN MARIANA</t>
  </si>
  <si>
    <t>0992121858001</t>
  </si>
  <si>
    <t>ECUANOBEL S.A. ECUANOBELSA</t>
  </si>
  <si>
    <t>GUAYAQUIL</t>
  </si>
  <si>
    <t>111059843000</t>
  </si>
  <si>
    <t>1110598430-0</t>
  </si>
  <si>
    <t>MORENO CABEZAS SAYRA PAULLETTE / FERRESOLUCIONES VILLA CAFÉ</t>
  </si>
  <si>
    <t>90070167601</t>
  </si>
  <si>
    <t>900701676-1</t>
  </si>
  <si>
    <t>PINTURAS EKA</t>
  </si>
  <si>
    <t>4152897000</t>
  </si>
  <si>
    <t>41528970</t>
  </si>
  <si>
    <t>MARIA ELENA MAHECHA DAZA</t>
  </si>
  <si>
    <t>2641845700</t>
  </si>
  <si>
    <t>26418457-2</t>
  </si>
  <si>
    <t>CASTAÑO VALDERRAMA CECILIA / FERROPINTURAS LA REBAJA</t>
  </si>
  <si>
    <t>8010091800</t>
  </si>
  <si>
    <t>80100918-6</t>
  </si>
  <si>
    <t>FAVIO ARTURO BARINAS SALAMANCA</t>
  </si>
  <si>
    <t>8043169300</t>
  </si>
  <si>
    <t>80431693-4</t>
  </si>
  <si>
    <t>GARZON CASAS MIGUEL ANGEL/MAG DRYWALL</t>
  </si>
  <si>
    <t>101606812500</t>
  </si>
  <si>
    <t>1016068125-4</t>
  </si>
  <si>
    <t>CASTILLO MARTIN ANGGIE JULIETH / FERRETERIA FERRELIDER MOSQUERA</t>
  </si>
  <si>
    <t>8043940900</t>
  </si>
  <si>
    <t>80439409</t>
  </si>
  <si>
    <t>VARGAS SANCHEZ ANGEL ALFONSO</t>
  </si>
  <si>
    <t>7992375000</t>
  </si>
  <si>
    <t>79923750-4</t>
  </si>
  <si>
    <t>CARRILLO CORTES HELMAN MAURICIO/FERREXPRESS F.C.</t>
  </si>
  <si>
    <t>90134417301</t>
  </si>
  <si>
    <t>901344173-0</t>
  </si>
  <si>
    <t>LA PLOMADA S.A.S. "SUC SANTANDER"</t>
  </si>
  <si>
    <t>104963059700</t>
  </si>
  <si>
    <t>1049630597-7</t>
  </si>
  <si>
    <t>JOSE ANDRES BASALLO MORENO</t>
  </si>
  <si>
    <t>8037697300</t>
  </si>
  <si>
    <t>80376973-6</t>
  </si>
  <si>
    <t>GUZMAN CHALA NELSON ARMANDO / FERRELECTRICOS C N</t>
  </si>
  <si>
    <t>90108013100</t>
  </si>
  <si>
    <t>901080131-7</t>
  </si>
  <si>
    <t>FERRECENTER 1A S.A.S.</t>
  </si>
  <si>
    <t>5250769500</t>
  </si>
  <si>
    <t>52507695-5</t>
  </si>
  <si>
    <t>MARIEYEN DEL SOCORRO GONZALEZ MARTINEZ</t>
  </si>
  <si>
    <t>1943371700</t>
  </si>
  <si>
    <t>19433717</t>
  </si>
  <si>
    <t>JOSE EURIPIDES BERNAL CAÑON</t>
  </si>
  <si>
    <t>90063949900</t>
  </si>
  <si>
    <t>900639499-1</t>
  </si>
  <si>
    <t>DESHIDRATADOS D´LARA S.A.S.</t>
  </si>
  <si>
    <t>5180093400</t>
  </si>
  <si>
    <t>51800934-2</t>
  </si>
  <si>
    <t>GUARIN MONGUI CARMEN/DISTRIBUIDORA FERRETERA SANTA HELENA</t>
  </si>
  <si>
    <t>1707621900</t>
  </si>
  <si>
    <t>17076219-4</t>
  </si>
  <si>
    <t>RODRIGUEZ GAMBA ALCIBIADES/DEPOSITO EL BLOQUE</t>
  </si>
  <si>
    <t>111288374800</t>
  </si>
  <si>
    <t>1112883748-6</t>
  </si>
  <si>
    <t>ROJAS ALMEIRA WILLIAM DANIEL / FERRECAMPO CALIMA DARIEN</t>
  </si>
  <si>
    <t>CALIMA - VALLE DEL CAUCA</t>
  </si>
  <si>
    <t>7434728600</t>
  </si>
  <si>
    <t>74347286-9</t>
  </si>
  <si>
    <t>ARIAS ARIAS WILLIAM FERNEY  / FERRELECTRICOS INVER GE</t>
  </si>
  <si>
    <t>1018408271</t>
  </si>
  <si>
    <t>SANTANA ORLANDO</t>
  </si>
  <si>
    <t>90137413200</t>
  </si>
  <si>
    <t>901374132-7</t>
  </si>
  <si>
    <t>LUZARDO SAS</t>
  </si>
  <si>
    <t>5164654100</t>
  </si>
  <si>
    <t>51646541-1</t>
  </si>
  <si>
    <t>ROBAYO MARTINEZ TULIA GEORGINA</t>
  </si>
  <si>
    <t>90075819300</t>
  </si>
  <si>
    <t>900758193-1</t>
  </si>
  <si>
    <t>FAMIVIVIENDA CONSTRUCTORA S.A.S.</t>
  </si>
  <si>
    <t>90054382000</t>
  </si>
  <si>
    <t>900543820-8</t>
  </si>
  <si>
    <t>FERRECONSTRUCTOR VILLA S.A.S.</t>
  </si>
  <si>
    <t>1947140200</t>
  </si>
  <si>
    <t>19471402-7</t>
  </si>
  <si>
    <t>MONTES DIAZ TONY/PINTUMARTA</t>
  </si>
  <si>
    <t>90110257600</t>
  </si>
  <si>
    <t>901102576-7</t>
  </si>
  <si>
    <t>RAGOFER S.A.S.</t>
  </si>
  <si>
    <t>90145803500</t>
  </si>
  <si>
    <t>901458035-2</t>
  </si>
  <si>
    <t>ALPHA IMPORTADORES FERRETEROS SAS</t>
  </si>
  <si>
    <t>107350403700</t>
  </si>
  <si>
    <t>1073504037-2</t>
  </si>
  <si>
    <t>SANCHEZ HERNANDEZ JOSE OBDULIO / FERRETERIA TOLIMA</t>
  </si>
  <si>
    <t>7956394300</t>
  </si>
  <si>
    <t>79563943-3</t>
  </si>
  <si>
    <t>MARTIN BARRETO CAMPO ELIAS/MULTICOLOR CAMPOS</t>
  </si>
  <si>
    <t>8017211900</t>
  </si>
  <si>
    <t>80172119</t>
  </si>
  <si>
    <t>PAEZ QUITO FABIO GUILLERMO</t>
  </si>
  <si>
    <t>101902499800</t>
  </si>
  <si>
    <t>1019024998-9</t>
  </si>
  <si>
    <t>MONTAÑEZ SILVA EDISON YAMID / FERRELECTRICOS MONTAÑEZ</t>
  </si>
  <si>
    <t>103164554300</t>
  </si>
  <si>
    <t>1031645543</t>
  </si>
  <si>
    <t>ALEMAN VILLAMIZAR DIEGO ANDRES</t>
  </si>
  <si>
    <t>1134945900</t>
  </si>
  <si>
    <t>11349459-6</t>
  </si>
  <si>
    <t>ZUBIETA VEGA OSWALDO / FERRESUMINISTRO E INSUMOS DE LA SABANA</t>
  </si>
  <si>
    <t>5196653600</t>
  </si>
  <si>
    <t>51966536</t>
  </si>
  <si>
    <t>MEJIA SUAREZ CLARA INES</t>
  </si>
  <si>
    <t>90088400000</t>
  </si>
  <si>
    <t>900884000-8</t>
  </si>
  <si>
    <t>URBANCAR SAS</t>
  </si>
  <si>
    <t>1943226900</t>
  </si>
  <si>
    <t>19432269-7</t>
  </si>
  <si>
    <t>RODRIGUEZ VASQUEZ OMAR ARMANDO/FERRELECTRICOS RG</t>
  </si>
  <si>
    <t>3980886200</t>
  </si>
  <si>
    <t>39808862-3</t>
  </si>
  <si>
    <t>MATALLANA CUERVO FLOR ALBA/DEPOSITO DE MATERIALES EL CEDRO</t>
  </si>
  <si>
    <t>101429982200</t>
  </si>
  <si>
    <t>1014299822-3</t>
  </si>
  <si>
    <t>LEON CASTAÑEDA CARLOS ANDRES / FERRELECTRICOS C Y C 2</t>
  </si>
  <si>
    <t>2063433100</t>
  </si>
  <si>
    <t>20634331-7</t>
  </si>
  <si>
    <t>MARTINEZ PRIETO MARTHA DIVIA / PAPELERIA Y CAFÉ INTERNET LA UNIVERSAL</t>
  </si>
  <si>
    <t>5156827300</t>
  </si>
  <si>
    <t>51568273</t>
  </si>
  <si>
    <t>AIDA JANETH GAMEZ VILLARRAGA</t>
  </si>
  <si>
    <t>7983989200</t>
  </si>
  <si>
    <t>79839892-2</t>
  </si>
  <si>
    <t>MORENO JIMENEZ JOSE SEIR/FERRETERIA EL AMIGASO</t>
  </si>
  <si>
    <t>1923875000</t>
  </si>
  <si>
    <t>19238750-8</t>
  </si>
  <si>
    <t>RAMIREZ ZABALA MANUEL/ALMACEN Y FERRETERIA EL PROVEEDOR DEL CONSTRUCTOR</t>
  </si>
  <si>
    <t>7947096900</t>
  </si>
  <si>
    <t>79470969-4</t>
  </si>
  <si>
    <t>JAVIER ARTURO HAMON CORTES</t>
  </si>
  <si>
    <t>2642343700</t>
  </si>
  <si>
    <t>26423437-5</t>
  </si>
  <si>
    <t>IBATA HORTA YASMIN / FERREHILOS Y ELECTRICOS IBARMO</t>
  </si>
  <si>
    <t>90145839800</t>
  </si>
  <si>
    <t>901458398-0</t>
  </si>
  <si>
    <t>FERREDEPOSITO JN HNOS S.A.S.</t>
  </si>
  <si>
    <t>90132961300</t>
  </si>
  <si>
    <t>901329613-7</t>
  </si>
  <si>
    <t>ENLACES E INGENIERIA SAS</t>
  </si>
  <si>
    <t>8007527300</t>
  </si>
  <si>
    <t>80075273-7</t>
  </si>
  <si>
    <t>EDWIN HERNAN AMORTEGUI RODRIGUEZ</t>
  </si>
  <si>
    <t>107836913500</t>
  </si>
  <si>
    <t>1078369135-5</t>
  </si>
  <si>
    <t>MORENO BAQUERO LUIS ALBERTO/MULTI - TONOS MORENO</t>
  </si>
  <si>
    <t>102301683701</t>
  </si>
  <si>
    <t>1023016837-2</t>
  </si>
  <si>
    <t>OJEDA ROJAS WILLIAM DAVID/ALMACEN EL PUNTO DEL COLOR WD</t>
  </si>
  <si>
    <t>80500373900</t>
  </si>
  <si>
    <t>805003739-8</t>
  </si>
  <si>
    <t>FERRETERIA SUMINISTROS INDUSTRIALES S.A.S.</t>
  </si>
  <si>
    <t>1010013100</t>
  </si>
  <si>
    <t>10100131-2</t>
  </si>
  <si>
    <t>MUÑOZ POSSO RODRIGO / CASA DEL PINTOR</t>
  </si>
  <si>
    <t>PEREIRA</t>
  </si>
  <si>
    <t>8026551700</t>
  </si>
  <si>
    <t>80265517-4</t>
  </si>
  <si>
    <t>RAFAEL RUGE</t>
  </si>
  <si>
    <t>90189752100</t>
  </si>
  <si>
    <t>901897521-3</t>
  </si>
  <si>
    <t>CONSTRUYENDO FACIL  S.A.S.</t>
  </si>
  <si>
    <t>1705790200</t>
  </si>
  <si>
    <t>17057902-6</t>
  </si>
  <si>
    <t>ALDANA JOSE GREGORIO/LA FERIA DE LAS PINTURAS</t>
  </si>
  <si>
    <t>101900685600</t>
  </si>
  <si>
    <t>1019006856-5</t>
  </si>
  <si>
    <t>CARDENAS CHAVARRO RICARDO</t>
  </si>
  <si>
    <t>4146579200</t>
  </si>
  <si>
    <t>41465792-1</t>
  </si>
  <si>
    <t>DIAZ BLANCA/TIENDA PAPELERA</t>
  </si>
  <si>
    <t>3553154000</t>
  </si>
  <si>
    <t>35531540-1</t>
  </si>
  <si>
    <t>TORO MANJARES DEYANIRA/PINTU FACA</t>
  </si>
  <si>
    <t>102301770400</t>
  </si>
  <si>
    <t>1023017704-6</t>
  </si>
  <si>
    <t>RODRIGUEZ HERNANDEZ SONIA JALENNY</t>
  </si>
  <si>
    <t>3034685201</t>
  </si>
  <si>
    <t>30346852-3</t>
  </si>
  <si>
    <t>MARTINEZ OSPINA PIEDAD/EL PUNTO DEL COLOR</t>
  </si>
  <si>
    <t>107323736700</t>
  </si>
  <si>
    <t>1073237367-2</t>
  </si>
  <si>
    <t>FRANCO AVENDAÑO WILLIAM ALEXANDER/FERREPINTURAS WILLY</t>
  </si>
  <si>
    <t>90190836000</t>
  </si>
  <si>
    <t>901908360-3</t>
  </si>
  <si>
    <t>FERRO GLOBAL SAS</t>
  </si>
  <si>
    <t>107566893400</t>
  </si>
  <si>
    <t>1075668934-5</t>
  </si>
  <si>
    <t>RODRIGUEZ CASTRO KAROL/VILLA DEL EXITO</t>
  </si>
  <si>
    <t>119321133700</t>
  </si>
  <si>
    <t>1193211337</t>
  </si>
  <si>
    <t>GOMEZ CARDENAS OSCAR DONY</t>
  </si>
  <si>
    <t>7921211500</t>
  </si>
  <si>
    <t>79212115</t>
  </si>
  <si>
    <t>MELO MIGUEL</t>
  </si>
  <si>
    <t>7999317400</t>
  </si>
  <si>
    <t>79993174-1</t>
  </si>
  <si>
    <t>DIEGO EDISSON CARDOZO GOMEZ</t>
  </si>
  <si>
    <t>5281468100</t>
  </si>
  <si>
    <t>52814681-9</t>
  </si>
  <si>
    <t>GUTIERREZ CELY CAROL ANDREA</t>
  </si>
  <si>
    <t>2042439600</t>
  </si>
  <si>
    <t>20424396-4</t>
  </si>
  <si>
    <t>CLAVIJO PATAQUIVA MARIA TERESA</t>
  </si>
  <si>
    <t>644192900</t>
  </si>
  <si>
    <t>6441929-0</t>
  </si>
  <si>
    <t>RIVEROS RESTREPO HUGO ALBERTO / FERROVALLE</t>
  </si>
  <si>
    <t>ROLDANILLO - VALLE DEL CAUCA</t>
  </si>
  <si>
    <t>102390726800</t>
  </si>
  <si>
    <t>1023907268-5</t>
  </si>
  <si>
    <t>PALACIOS ALDANA JUAN CARLOS/FERREPINTURAS JC</t>
  </si>
  <si>
    <t>86045080200</t>
  </si>
  <si>
    <t>860450802-0</t>
  </si>
  <si>
    <t>SOCIEDAD CAMPO ELIAS GAMBOA S.A.S.</t>
  </si>
  <si>
    <t>5232540500</t>
  </si>
  <si>
    <t>52325405-4</t>
  </si>
  <si>
    <t>LOZANO LAGUNA BELLANID / FERRETERIA Y CERRAJERIA EL LAGO</t>
  </si>
  <si>
    <t>832004567-0</t>
  </si>
  <si>
    <t>DEPOSITO Y FERRETERIA SAN MIGUEL S.A.S</t>
  </si>
  <si>
    <t>95064370</t>
  </si>
  <si>
    <t>AMAYA MORENO JOSE/FERREDEPOSITO LENGUPA A.R</t>
  </si>
  <si>
    <t>101843126400</t>
  </si>
  <si>
    <t>1018431264-3</t>
  </si>
  <si>
    <t>HERNANDEZ LAMUS VICTORIA EUGENIA</t>
  </si>
  <si>
    <t>7858878400</t>
  </si>
  <si>
    <t>78588784</t>
  </si>
  <si>
    <t>ALEXANDER RAFAEL PRASCA JIMENEZ</t>
  </si>
  <si>
    <t>7942896200</t>
  </si>
  <si>
    <t>79428962-6</t>
  </si>
  <si>
    <t>ORTIZ PARRADO CARLOS AUGUSTO</t>
  </si>
  <si>
    <t>90156700300</t>
  </si>
  <si>
    <t>901567003-4</t>
  </si>
  <si>
    <t>DEPOSITO DE MADERAS Y FERRETERIA EL NOGAL S.A.S.</t>
  </si>
  <si>
    <t>90063251100</t>
  </si>
  <si>
    <t>900632511-9</t>
  </si>
  <si>
    <t>COREV DE COLOMBIA SAS</t>
  </si>
  <si>
    <t>577075700</t>
  </si>
  <si>
    <t>5770757-8</t>
  </si>
  <si>
    <t>FERRETERIA Y CRISTALERIA EL DIAMANTE</t>
  </si>
  <si>
    <t>1032442213200</t>
  </si>
  <si>
    <t>10324422132</t>
  </si>
  <si>
    <t>LUIS LOPEZ</t>
  </si>
  <si>
    <t>103236749300</t>
  </si>
  <si>
    <t>1032367493</t>
  </si>
  <si>
    <t>EDGAR ORLANDO JUNCA AGUIRRE</t>
  </si>
  <si>
    <t>8081711100</t>
  </si>
  <si>
    <t>80817111</t>
  </si>
  <si>
    <t>ZABALA POVEDA ALVARO</t>
  </si>
  <si>
    <t>3975698300</t>
  </si>
  <si>
    <t>39756983-1</t>
  </si>
  <si>
    <t>MELO MUETE ALBA MERCEDES/LEO PINTURAS</t>
  </si>
  <si>
    <t>7960246900</t>
  </si>
  <si>
    <t>79602469-1</t>
  </si>
  <si>
    <t>VEGA MUÑOZ NELSON LAUREANO / MAGUIVER</t>
  </si>
  <si>
    <t>100718472100</t>
  </si>
  <si>
    <t>1007184721-8</t>
  </si>
  <si>
    <t>LADINO GUTIERREZ MIGUEL ANGEL</t>
  </si>
  <si>
    <t>107292579300</t>
  </si>
  <si>
    <t>1072925793</t>
  </si>
  <si>
    <t>CRISTIAN CAMILO ACERO MENDEZ</t>
  </si>
  <si>
    <t>90086793500</t>
  </si>
  <si>
    <t>900867935-7</t>
  </si>
  <si>
    <t>GRUPO EMPRESARIAL JAIMES S.A.S.</t>
  </si>
  <si>
    <t>112704592000</t>
  </si>
  <si>
    <t>1127045920-7</t>
  </si>
  <si>
    <t>CLAUDIA NATALIA COGOLLO DELGADO</t>
  </si>
  <si>
    <t>7910955001</t>
  </si>
  <si>
    <t>79109550-7</t>
  </si>
  <si>
    <t>OSPINA HIDALGO LUIS EDUARDO / FERRELECTRICOS Y CERRAJERIA DE LA 74</t>
  </si>
  <si>
    <t>5316522000</t>
  </si>
  <si>
    <t>53165220-5</t>
  </si>
  <si>
    <t>DIANA YOLANDA SANDOVAL BAUTISTA</t>
  </si>
  <si>
    <t>1921716300</t>
  </si>
  <si>
    <t>19217163-4</t>
  </si>
  <si>
    <t>CORTES SASTOQUE VICTOR JULIO</t>
  </si>
  <si>
    <t>100094466200</t>
  </si>
  <si>
    <t>1000944662</t>
  </si>
  <si>
    <t>JULIANA MORALES MAHECHA</t>
  </si>
  <si>
    <t>8076072400</t>
  </si>
  <si>
    <t>80760724</t>
  </si>
  <si>
    <t>LUIS ALEJANDRO CAMARGO GALINDO</t>
  </si>
  <si>
    <t>103242538600</t>
  </si>
  <si>
    <t>1032425386-1</t>
  </si>
  <si>
    <t>DANIEL FELIPE RODRIGUEZ LOPEZ</t>
  </si>
  <si>
    <t>90070633100</t>
  </si>
  <si>
    <t>900706331-9</t>
  </si>
  <si>
    <t>INKTECH TINTAS TECNICAS  SAS</t>
  </si>
  <si>
    <t>2983121600</t>
  </si>
  <si>
    <t>29831216-5</t>
  </si>
  <si>
    <t>ALVAREZ MUÑOZ SANDRA/PINTURAS LA 25</t>
  </si>
  <si>
    <t>7985197700</t>
  </si>
  <si>
    <t>79851977</t>
  </si>
  <si>
    <t>FABIO HERVIN ZAMBRANO POVEDA</t>
  </si>
  <si>
    <t>3552223000</t>
  </si>
  <si>
    <t>35522230-5</t>
  </si>
  <si>
    <t>CAMELO PINTO LUZ DARY /  PINTURAS ANGIE</t>
  </si>
  <si>
    <t>90066168400</t>
  </si>
  <si>
    <t>900661684-8</t>
  </si>
  <si>
    <t>PORTON VERDE PROPIEDAD HORIZONTAL</t>
  </si>
  <si>
    <t>8041258200</t>
  </si>
  <si>
    <t>80412582-4</t>
  </si>
  <si>
    <t>JOSE ALONSO BEJARANO URREGO</t>
  </si>
  <si>
    <t>90033948800</t>
  </si>
  <si>
    <t>900339488-1</t>
  </si>
  <si>
    <t>COMPAÑIA DE SERVICIOS ELECTRICOS INTEGRALES SAS</t>
  </si>
  <si>
    <t>5156195500</t>
  </si>
  <si>
    <t>51561955-0</t>
  </si>
  <si>
    <t>MARIE FRANCE DUPRE RINCON</t>
  </si>
  <si>
    <t>9153637600</t>
  </si>
  <si>
    <t>91536376</t>
  </si>
  <si>
    <t>MARTINEZ DIEGO</t>
  </si>
  <si>
    <t>296096300</t>
  </si>
  <si>
    <t>2960963-3</t>
  </si>
  <si>
    <t>VARGAS SANTOS PABLO ENRIQUE / DEPOSITO FERRETERIA LOS VARGAS</t>
  </si>
  <si>
    <t>5214564400</t>
  </si>
  <si>
    <t>52145644-5</t>
  </si>
  <si>
    <t>SONIA RUEDA SANTANDER</t>
  </si>
  <si>
    <t>8075820200</t>
  </si>
  <si>
    <t>80758202</t>
  </si>
  <si>
    <t>RAFAEL ALEJANDRO CABIATIVA</t>
  </si>
  <si>
    <t>1939750600</t>
  </si>
  <si>
    <t>19397506</t>
  </si>
  <si>
    <t>BRAULIO MARQUEZ</t>
  </si>
  <si>
    <t>101905389200</t>
  </si>
  <si>
    <t>1019053892</t>
  </si>
  <si>
    <t>PANIAGUA JARA ANGELA</t>
  </si>
  <si>
    <t>421694400</t>
  </si>
  <si>
    <t>4216944</t>
  </si>
  <si>
    <t>MORENO SEGUNDO</t>
  </si>
  <si>
    <t>8039030800</t>
  </si>
  <si>
    <t>80390308-6</t>
  </si>
  <si>
    <t>CASTILLO PRIETO MARCO ANTONIO/FERRELECTRICOS Y TORNILLOS L Y M</t>
  </si>
  <si>
    <t>86006503600</t>
  </si>
  <si>
    <t>860065036-4</t>
  </si>
  <si>
    <t>HERRAMIENTAS UNIDAS S.A.S</t>
  </si>
  <si>
    <t>4165467400</t>
  </si>
  <si>
    <t>41654674</t>
  </si>
  <si>
    <t>ISABEL PEÑA</t>
  </si>
  <si>
    <t>7914722000</t>
  </si>
  <si>
    <t>79147220-3</t>
  </si>
  <si>
    <t>CESAR AUGUSTO DIAZ CARRILLO</t>
  </si>
  <si>
    <t>8050568200</t>
  </si>
  <si>
    <t>80505682</t>
  </si>
  <si>
    <t>CASTRO JORGE MARIA</t>
  </si>
  <si>
    <t>100781995500</t>
  </si>
  <si>
    <t>1007819955</t>
  </si>
  <si>
    <t>COCA RAMIREZ KAREN VIVIANA</t>
  </si>
  <si>
    <t>4152383900</t>
  </si>
  <si>
    <t>41523839</t>
  </si>
  <si>
    <t>ALBA STELLA CEPEDA DELGADO</t>
  </si>
  <si>
    <t>102081249800</t>
  </si>
  <si>
    <t>1020812498-2</t>
  </si>
  <si>
    <t>HOLMAN ANDRES ABRIL UMBARILA</t>
  </si>
  <si>
    <t>5290657200</t>
  </si>
  <si>
    <t>52906572-1</t>
  </si>
  <si>
    <t>YINETH ACOSTA GUTIERREZ</t>
  </si>
  <si>
    <t>7437929300</t>
  </si>
  <si>
    <t>74379293</t>
  </si>
  <si>
    <t>FABIAN DAVID GARCIA CASTRO</t>
  </si>
  <si>
    <t>83010480500</t>
  </si>
  <si>
    <t>830104805-0</t>
  </si>
  <si>
    <t>EDIFICIO EL ESCORIAL PROPIEDAD HORIZONTAL</t>
  </si>
  <si>
    <t>39652839</t>
  </si>
  <si>
    <t>39652839-1</t>
  </si>
  <si>
    <t>RODRIGUEZ CHAUX ADRIANA/ FERREPINTURAS CHAUX</t>
  </si>
  <si>
    <t>90037060000</t>
  </si>
  <si>
    <t>900370600-0</t>
  </si>
  <si>
    <t>CONSTRUYAME S.A.S.</t>
  </si>
  <si>
    <t>1940439000</t>
  </si>
  <si>
    <t>19404390-1</t>
  </si>
  <si>
    <t>JAIME ENRIQUE CARVAJAL ROA</t>
  </si>
  <si>
    <t>6474192900</t>
  </si>
  <si>
    <t>64741929</t>
  </si>
  <si>
    <t>BARBOZA PEREZ ESAYDA MARIA</t>
  </si>
  <si>
    <t>3968682000</t>
  </si>
  <si>
    <t>39686820-9</t>
  </si>
  <si>
    <t>CALDERON LINARES MARIA GLADYS/FERRE DEPOSITO J</t>
  </si>
  <si>
    <t>3552519900</t>
  </si>
  <si>
    <t>35525199-8</t>
  </si>
  <si>
    <t>CAJAMARCA LOPEZ CLAUDIA PATRICIA</t>
  </si>
  <si>
    <t>731465500</t>
  </si>
  <si>
    <t>7314655</t>
  </si>
  <si>
    <t>GONZALEZ JOSE RICARDO</t>
  </si>
  <si>
    <t>90082443400</t>
  </si>
  <si>
    <t>900824434-4</t>
  </si>
  <si>
    <t>METALTANQUES S.A.S.</t>
  </si>
  <si>
    <t>90043030000</t>
  </si>
  <si>
    <t>900430300-4</t>
  </si>
  <si>
    <t>ESCARPES S.A.S.</t>
  </si>
  <si>
    <t>1395435500</t>
  </si>
  <si>
    <t>13954355-0</t>
  </si>
  <si>
    <t>ARCE DUARTE JOSE DE JESUS/ANDINA FERRETERA</t>
  </si>
  <si>
    <t>86000082400</t>
  </si>
  <si>
    <t>860000824-2</t>
  </si>
  <si>
    <t>NIETO VERA S A NIVER S A</t>
  </si>
  <si>
    <t>8043993700</t>
  </si>
  <si>
    <t>80439937-2</t>
  </si>
  <si>
    <t>NELSON BELTRAN QUIMBAYA</t>
  </si>
  <si>
    <t>7975548700</t>
  </si>
  <si>
    <t>79755487</t>
  </si>
  <si>
    <t>OSCAR MAURICIO ROMERO LEON</t>
  </si>
  <si>
    <t>7972097000</t>
  </si>
  <si>
    <t>79720970</t>
  </si>
  <si>
    <t>CRISTIAN MARCEL LOZANO VALBUENA</t>
  </si>
  <si>
    <t>90065540400</t>
  </si>
  <si>
    <t>900655404-8</t>
  </si>
  <si>
    <t>ECOMPASS S.A.S</t>
  </si>
  <si>
    <t>1946631100</t>
  </si>
  <si>
    <t>19466311-5</t>
  </si>
  <si>
    <t>OSCAR GUILLERMO PEREZ NOBSA</t>
  </si>
  <si>
    <t>2107669300</t>
  </si>
  <si>
    <t>21076693-7</t>
  </si>
  <si>
    <t>CARMEN ROSA JIMENEZ ROJAS</t>
  </si>
  <si>
    <t>90086592700</t>
  </si>
  <si>
    <t>900865927-9</t>
  </si>
  <si>
    <t>HELIOS SOLUCIONES SOSTENIBLES S.A.S.</t>
  </si>
  <si>
    <t>5282476800</t>
  </si>
  <si>
    <t>52824768</t>
  </si>
  <si>
    <t>PAOLA ANDREA BAUTISTA SANTA</t>
  </si>
  <si>
    <t>102393575600</t>
  </si>
  <si>
    <t>1023935756-7</t>
  </si>
  <si>
    <t>FREDDY DANIEL MORENO SANABRIA</t>
  </si>
  <si>
    <t>9308260500</t>
  </si>
  <si>
    <t>93082605</t>
  </si>
  <si>
    <t>RODRIGUEZ SANCHEZ HERNANDO</t>
  </si>
  <si>
    <t>101018837000</t>
  </si>
  <si>
    <t>1010188370-5</t>
  </si>
  <si>
    <t>MARTHA JANETH CARVAJAL CARVAJAL</t>
  </si>
  <si>
    <t>5251848200</t>
  </si>
  <si>
    <t>52518482-0</t>
  </si>
  <si>
    <t>NANCY CAROLINA CARVAJAL CARVAJAL</t>
  </si>
  <si>
    <t>8002408300</t>
  </si>
  <si>
    <t>80024083-6</t>
  </si>
  <si>
    <t>CRUZ ORTEGA ZAMIR/ELECTRICOS Y FERRETERIA CRA 15 LOCAL 2</t>
  </si>
  <si>
    <t>107274955500</t>
  </si>
  <si>
    <t>1072749555</t>
  </si>
  <si>
    <t>ZULMA VIVIANA AREVALO HINCAPIE</t>
  </si>
  <si>
    <t>92548574</t>
  </si>
  <si>
    <t>92548574-3</t>
  </si>
  <si>
    <t>PORRAS RODRIGUEZ BRYAN EDUARDO</t>
  </si>
  <si>
    <t>5217698101</t>
  </si>
  <si>
    <t>5235805500</t>
  </si>
  <si>
    <t>52358055</t>
  </si>
  <si>
    <t>MARISOL PORRAS</t>
  </si>
  <si>
    <t>8057739100</t>
  </si>
  <si>
    <t>80577391</t>
  </si>
  <si>
    <t>SOTO ONOFRE</t>
  </si>
  <si>
    <t>3965507300</t>
  </si>
  <si>
    <t>39655073-0</t>
  </si>
  <si>
    <t>BELTRAN CLOMINA SUSANA/ FERRETERIA EL GUAVIO</t>
  </si>
  <si>
    <t>SOACHA - CUANDINAMARCA</t>
  </si>
  <si>
    <t>101840507800</t>
  </si>
  <si>
    <t>1018405078-1</t>
  </si>
  <si>
    <t>JAVIER ANDRES ALFONSO MARTINEZ</t>
  </si>
  <si>
    <t>90061560800</t>
  </si>
  <si>
    <t>900615608-2</t>
  </si>
  <si>
    <t>BONSANA IPS S.A.S</t>
  </si>
  <si>
    <t>111054867300</t>
  </si>
  <si>
    <t>1110548673-1</t>
  </si>
  <si>
    <t>LUIS ALBERTO GALINDO ACUÑA</t>
  </si>
  <si>
    <t>7945142900</t>
  </si>
  <si>
    <t>79451429-8</t>
  </si>
  <si>
    <t>LUIS ALFREDO VARGAS BURGOS</t>
  </si>
  <si>
    <t>1711096700</t>
  </si>
  <si>
    <t>17110967-0</t>
  </si>
  <si>
    <t>CARLOS ALBERTO DIAZ RODRIGUEZ</t>
  </si>
  <si>
    <t>594707300</t>
  </si>
  <si>
    <t>5947073</t>
  </si>
  <si>
    <t>ERICK ARMANDO MENDOZA CARREON</t>
  </si>
  <si>
    <t>1543897000</t>
  </si>
  <si>
    <t>15438970-5</t>
  </si>
  <si>
    <t>ARTURO VELA RAMRIEZ</t>
  </si>
  <si>
    <t>90104386700</t>
  </si>
  <si>
    <t>901043867-1</t>
  </si>
  <si>
    <t>PINTUMARAVILLA S.A.S.</t>
  </si>
  <si>
    <t>3519986900</t>
  </si>
  <si>
    <t>35199869-5</t>
  </si>
  <si>
    <t>JURADO GONZALEZ SINDY PATRICIA</t>
  </si>
  <si>
    <t>103238782600</t>
  </si>
  <si>
    <t>1032387826-5</t>
  </si>
  <si>
    <t>ARIEL RICARDO MONCALEANO OSPINA</t>
  </si>
  <si>
    <t>100051573000</t>
  </si>
  <si>
    <t>1000515730-0</t>
  </si>
  <si>
    <t>EDGAR URREA PULIDO</t>
  </si>
  <si>
    <t>7986382900</t>
  </si>
  <si>
    <t>79863829</t>
  </si>
  <si>
    <t>MARTINEZ ROJAS JUAN PABLO</t>
  </si>
  <si>
    <t>100035015100</t>
  </si>
  <si>
    <t>1000350151-6</t>
  </si>
  <si>
    <t>RONALD SIMITH PRASCA CAICEDO</t>
  </si>
  <si>
    <t>100032133900</t>
  </si>
  <si>
    <t>1000321339</t>
  </si>
  <si>
    <t>MORA MALDONADO BRAYAN YESID</t>
  </si>
  <si>
    <t>4668310300</t>
  </si>
  <si>
    <t>46683103-8</t>
  </si>
  <si>
    <t>DIANA CAROLINA RODRIGUEZ VASQUEZ</t>
  </si>
  <si>
    <t>5270997500</t>
  </si>
  <si>
    <t>52709975</t>
  </si>
  <si>
    <t>AIDA MARIA SARMIENTO MARTINEZ</t>
  </si>
  <si>
    <t>101002085800</t>
  </si>
  <si>
    <t>1010020858</t>
  </si>
  <si>
    <t>GACHA NUMPAQUE YEISON ESMID</t>
  </si>
  <si>
    <t>105297199500</t>
  </si>
  <si>
    <t>1052971995</t>
  </si>
  <si>
    <t>MATTAR GONZALEZ ALVARO JOSE</t>
  </si>
  <si>
    <t>8040773400</t>
  </si>
  <si>
    <t>80407734-7</t>
  </si>
  <si>
    <t>HERNAN DARIO MEJIA SILVA</t>
  </si>
  <si>
    <t>1395669200</t>
  </si>
  <si>
    <t>13956692</t>
  </si>
  <si>
    <t>HERNANDEZ PEREZ OMAR</t>
  </si>
  <si>
    <t>BOGOTA- BOGOTA</t>
  </si>
  <si>
    <t>7974406900</t>
  </si>
  <si>
    <t>79744069</t>
  </si>
  <si>
    <t>CESAR VELOZA</t>
  </si>
  <si>
    <t>209057500</t>
  </si>
  <si>
    <t>2090575</t>
  </si>
  <si>
    <t>MARY ISABEL PATIÑO PINZON</t>
  </si>
  <si>
    <t>7984503000</t>
  </si>
  <si>
    <t>79845030-5</t>
  </si>
  <si>
    <t>ADOLFO SUAREZ MORALES</t>
  </si>
  <si>
    <t>8008786700</t>
  </si>
  <si>
    <t>80087867-3</t>
  </si>
  <si>
    <t>RICARDO SIMON LALINDE</t>
  </si>
  <si>
    <t>101903634600</t>
  </si>
  <si>
    <t>1019036346</t>
  </si>
  <si>
    <t>CESAR ANDRES CAVIATIVA BOLIVAR</t>
  </si>
  <si>
    <t>5255455800</t>
  </si>
  <si>
    <t>52554558-4</t>
  </si>
  <si>
    <t>BOTERO GIRALDO CLARA ELISA / DISTRIBUCIONES FAVAEL</t>
  </si>
  <si>
    <t>102293834500</t>
  </si>
  <si>
    <t>1022938345-3</t>
  </si>
  <si>
    <t>ANA CAROLINA MELO ROJAS</t>
  </si>
  <si>
    <t>2933009000</t>
  </si>
  <si>
    <t>29330090</t>
  </si>
  <si>
    <t>JACQUELINE FONSECA</t>
  </si>
  <si>
    <t>4143932600</t>
  </si>
  <si>
    <t>41439326</t>
  </si>
  <si>
    <t>ALICIA ACOSTA</t>
  </si>
  <si>
    <t>3972037400</t>
  </si>
  <si>
    <t>39720374-0</t>
  </si>
  <si>
    <t>CUERVO TORRES MARIA ISABEL/FERREIDEAS DEL SUR</t>
  </si>
  <si>
    <t>102659853700</t>
  </si>
  <si>
    <t>1026598537</t>
  </si>
  <si>
    <t>LEIDY JOHANNA PEREZ BERANCOURT</t>
  </si>
  <si>
    <t>7935883400</t>
  </si>
  <si>
    <t>79358834</t>
  </si>
  <si>
    <t>ORLANDO LARGO PINEDA</t>
  </si>
  <si>
    <t>107372065200</t>
  </si>
  <si>
    <t>1073720652</t>
  </si>
  <si>
    <t>LEIDY DUCUARA</t>
  </si>
  <si>
    <t>7948580000</t>
  </si>
  <si>
    <t>79485800</t>
  </si>
  <si>
    <t>JULIO CESAR CARDENAS FANDIÑO</t>
  </si>
  <si>
    <t>101539310400</t>
  </si>
  <si>
    <t>101593104</t>
  </si>
  <si>
    <t>LINA MARIA QUINTERO BOHORQUEZ</t>
  </si>
  <si>
    <t>101419544400</t>
  </si>
  <si>
    <t>1014195444-5</t>
  </si>
  <si>
    <t>DENNISE PAOLA LINDO MEDINA</t>
  </si>
  <si>
    <t>7952380100</t>
  </si>
  <si>
    <t>79523801</t>
  </si>
  <si>
    <t>CARLOS EDUARDO RAMIREZ PINZON</t>
  </si>
  <si>
    <t>5307191900</t>
  </si>
  <si>
    <t>53071919</t>
  </si>
  <si>
    <t>JOHANNA PAOLA GUTIERREZ RAMIREZ</t>
  </si>
  <si>
    <t>133623500</t>
  </si>
  <si>
    <t>1336235</t>
  </si>
  <si>
    <t>RAMIREZ GRAJALES GERARDO</t>
  </si>
  <si>
    <t>7937084000</t>
  </si>
  <si>
    <t>79370840</t>
  </si>
  <si>
    <t>EDGAR BENAVIDES ACUÑA</t>
  </si>
  <si>
    <t>103244403100</t>
  </si>
  <si>
    <t>1032444031-1</t>
  </si>
  <si>
    <t>ANGELA MILENA TOVAR BALANTA</t>
  </si>
  <si>
    <t>102628884500</t>
  </si>
  <si>
    <t>1026288845-9</t>
  </si>
  <si>
    <t>YULY PAOLA RAMIREZ CORTES</t>
  </si>
  <si>
    <t>80577743100</t>
  </si>
  <si>
    <t>80577743-1</t>
  </si>
  <si>
    <t>SIERRA JIMENEZ JOHN JAIRO/PINTURAS J COLOR</t>
  </si>
  <si>
    <t>8054782000</t>
  </si>
  <si>
    <t>80547820</t>
  </si>
  <si>
    <t>JULIO ERNESTO AGUILAR RODRIGUEZ</t>
  </si>
  <si>
    <t>100037764700</t>
  </si>
  <si>
    <t>1000377647</t>
  </si>
  <si>
    <t>TORRES LARA MARIANA ALEJANDRA</t>
  </si>
  <si>
    <t>101000060100</t>
  </si>
  <si>
    <t>101000060-1</t>
  </si>
  <si>
    <t>CRISTHOPHER CASTILLO</t>
  </si>
  <si>
    <t>102626765000</t>
  </si>
  <si>
    <t>1026267650</t>
  </si>
  <si>
    <t>CARLOS ANDRES RUIZ PEREZ</t>
  </si>
  <si>
    <t>90196356700</t>
  </si>
  <si>
    <t>901963567-4</t>
  </si>
  <si>
    <t>OSC DESIGN SAS</t>
  </si>
  <si>
    <t>109694671800</t>
  </si>
  <si>
    <t>1096946718</t>
  </si>
  <si>
    <t>CAMPEROS ARDILA GERMAN URIEL</t>
  </si>
  <si>
    <t>7970714000</t>
  </si>
  <si>
    <t>79707140</t>
  </si>
  <si>
    <t>HEILER TORRES</t>
  </si>
  <si>
    <t>5215774200</t>
  </si>
  <si>
    <t>52157742-0</t>
  </si>
  <si>
    <t>SANDRA PARRA CARDENAS</t>
  </si>
  <si>
    <t>8077135600</t>
  </si>
  <si>
    <t>80771356</t>
  </si>
  <si>
    <t>JOHNATAN LOZANO BALLESTEROS</t>
  </si>
  <si>
    <t>9341965300</t>
  </si>
  <si>
    <t>93419653-8</t>
  </si>
  <si>
    <t>BUSTAMANTE ZULUAGA JAMES DARLEY / FERRETERIA Y AGRO NUEVO HORIZONTE</t>
  </si>
  <si>
    <t>90101376600</t>
  </si>
  <si>
    <t>901013766-8</t>
  </si>
  <si>
    <t>COMERCIALIZADORA OLARTE S.A.S.</t>
  </si>
  <si>
    <t>90177437500</t>
  </si>
  <si>
    <t>901774375-6</t>
  </si>
  <si>
    <t>CONSTRUCTORA ARD GUZ SAS</t>
  </si>
  <si>
    <t>101540872700</t>
  </si>
  <si>
    <t>1015408727-4</t>
  </si>
  <si>
    <t>DEISSY ANDREA RAMIREZ CAMARGO</t>
  </si>
  <si>
    <t>J500819218</t>
  </si>
  <si>
    <t>DISPINZAGO, C.A</t>
  </si>
  <si>
    <t>90143155400</t>
  </si>
  <si>
    <t>901431554-6</t>
  </si>
  <si>
    <t>EL COFRAL S.A.S</t>
  </si>
  <si>
    <t>EL BANCO - MAGDALENA</t>
  </si>
  <si>
    <t>90135455200</t>
  </si>
  <si>
    <t>901354552-1</t>
  </si>
  <si>
    <t>FERRETERIA LOS PAISITAS S.A.S</t>
  </si>
  <si>
    <t>7906329000</t>
  </si>
  <si>
    <t>79063290-7</t>
  </si>
  <si>
    <t>LOPEZ CASTRO MAURICIO/FERRETERIA MABER</t>
  </si>
  <si>
    <t>7980094500</t>
  </si>
  <si>
    <t>79800945</t>
  </si>
  <si>
    <t>LUDWING MORALES PEÑUELA</t>
  </si>
  <si>
    <t>90184131900</t>
  </si>
  <si>
    <t>901841319-0</t>
  </si>
  <si>
    <t>PINTURAS Y FERRETERIA REGIONAL SAS</t>
  </si>
  <si>
    <t>101603047200</t>
  </si>
  <si>
    <t>1016030472-0</t>
  </si>
  <si>
    <t>RODRIGUEZ CORTES ANJI YICETH/FERRELOP</t>
  </si>
  <si>
    <t>752181400</t>
  </si>
  <si>
    <t>7521814-1</t>
  </si>
  <si>
    <t>SERNA RAMIREZ LUIS EVELIO / PINTURAS Y MATERIALES BULEVAR</t>
  </si>
  <si>
    <t>111367528800</t>
  </si>
  <si>
    <t>1113675288-1</t>
  </si>
  <si>
    <t>TEZ TEZ BRHYAM ALEXIS / FERRETEZ</t>
  </si>
  <si>
    <t>PRADERA - VALLE DEL CAUCA</t>
  </si>
  <si>
    <t>7617524800</t>
  </si>
  <si>
    <t>76175248-7</t>
  </si>
  <si>
    <t>RENGIFO RUIZ JOSE ALEJANDRO/EL VOLCAN DE LAS PINTURAS</t>
  </si>
  <si>
    <t>86000969407</t>
  </si>
  <si>
    <t>CYRGO S.A.S-VILLAVICENCIO</t>
  </si>
  <si>
    <t xml:space="preserve">PARTICIPACION CLIENTE </t>
  </si>
  <si>
    <t>Asesor Comercial</t>
  </si>
  <si>
    <t>Grandes Cuentas</t>
  </si>
  <si>
    <t>Jorge Castro</t>
  </si>
  <si>
    <t>Omar Montaña</t>
  </si>
  <si>
    <t>Wilson Sepulveda</t>
  </si>
  <si>
    <t>Evelio Garcia</t>
  </si>
  <si>
    <t>Cristian Betancourt</t>
  </si>
  <si>
    <t>Norma Aguilar</t>
  </si>
  <si>
    <t>Diana Arenas</t>
  </si>
  <si>
    <t>Alfonso Alba</t>
  </si>
  <si>
    <t>Alejandro Caranton</t>
  </si>
  <si>
    <t>TOTAL</t>
  </si>
  <si>
    <t>Antioquia</t>
  </si>
  <si>
    <t>Participacion %</t>
  </si>
  <si>
    <t>Participacion $ (MM)</t>
  </si>
  <si>
    <t>Institucional/Industrial</t>
  </si>
  <si>
    <t>Zona</t>
  </si>
  <si>
    <t>Valle Del Cauca</t>
  </si>
  <si>
    <t>Santander</t>
  </si>
  <si>
    <t>90006325400</t>
  </si>
  <si>
    <t>900063254-9</t>
  </si>
  <si>
    <t>HIERROS NEIVA S.A.S</t>
  </si>
  <si>
    <t>265473000</t>
  </si>
  <si>
    <t>12223548-5</t>
  </si>
  <si>
    <t>CIFUENTES GUSTAVO/LA CASA DEL HIERRO</t>
  </si>
  <si>
    <t>101240872600</t>
  </si>
  <si>
    <t>1012408726-6</t>
  </si>
  <si>
    <t>SANCHEZ VERA DIANA CAROLINA</t>
  </si>
  <si>
    <t>80016387200</t>
  </si>
  <si>
    <t>800163872-7</t>
  </si>
  <si>
    <t>IMPORTACIONES EL TREBOL S.A.</t>
  </si>
  <si>
    <t>89070519600</t>
  </si>
  <si>
    <t>890705196-0</t>
  </si>
  <si>
    <t>DEPOSITO SAN CARLOS LTDA</t>
  </si>
  <si>
    <t>90080511800</t>
  </si>
  <si>
    <t>900805118-0</t>
  </si>
  <si>
    <t>MATESCO SJ SAS</t>
  </si>
  <si>
    <t>90137930500</t>
  </si>
  <si>
    <t>901379305-7</t>
  </si>
  <si>
    <t>FERRETERIA BONANZA GUAVIARE S.A.S. ZOMAC</t>
  </si>
  <si>
    <t>80020438800</t>
  </si>
  <si>
    <t>800204388-0</t>
  </si>
  <si>
    <t>LABQUIFAR LTDA</t>
  </si>
  <si>
    <t>83005406000</t>
  </si>
  <si>
    <t>830054060-5</t>
  </si>
  <si>
    <t>FIDEICOMISOS SOCIEDAD FIDUCIARIA FIDUCOLDEX</t>
  </si>
  <si>
    <t>90027276300</t>
  </si>
  <si>
    <t>900272763-2</t>
  </si>
  <si>
    <t>SANTANDEREANA DE SERVICIOS DE CONSTRUCCION S.A.S</t>
  </si>
  <si>
    <t>421098700</t>
  </si>
  <si>
    <t>4210987-1</t>
  </si>
  <si>
    <t>OCHOA MILLAN JORGE /DEPOSITO Y FERRETERIA OCHOA</t>
  </si>
  <si>
    <t>80021649927</t>
  </si>
  <si>
    <t>AGOFER S.A.S - VALLEDUPAR</t>
  </si>
  <si>
    <t>108389688000</t>
  </si>
  <si>
    <t>1083896880-2</t>
  </si>
  <si>
    <t>GASCA VARGAS JAIRO ALEXIS/FERRETERIA LA ECONOMICA DE BRUSELAS</t>
  </si>
  <si>
    <t>108827440100</t>
  </si>
  <si>
    <t>1088274401-7</t>
  </si>
  <si>
    <t>VALENCIA VELARDE YESSICA NATALIA/FERRETERIA Y ELECTRICOS LA 9A</t>
  </si>
  <si>
    <t>80013042617</t>
  </si>
  <si>
    <t>G Y J  FERRETERIAS S.A. - SABANETA</t>
  </si>
  <si>
    <t>86003134200</t>
  </si>
  <si>
    <t>860031342-7</t>
  </si>
  <si>
    <t>FERRETERIA EL HIDRANTE S.A.</t>
  </si>
  <si>
    <t>90020161600</t>
  </si>
  <si>
    <t>900201616-4</t>
  </si>
  <si>
    <t>ORIENTAL DE MINERIA Y CONSTRUCCIONES S.A.S</t>
  </si>
  <si>
    <t>2392329400</t>
  </si>
  <si>
    <t>23923294-3</t>
  </si>
  <si>
    <t>MALDONADO MARIA NOHEMI/DEPOSITO Y FERRETERIA MARTINEZ</t>
  </si>
  <si>
    <t>90118457200</t>
  </si>
  <si>
    <t>901184572-9</t>
  </si>
  <si>
    <t>FERRE DISTRIBUCIONES Y FABRICACIONES METALICAS SAS</t>
  </si>
  <si>
    <t>86000969418</t>
  </si>
  <si>
    <t>CYRGO S.A.S -"IPIALES"</t>
  </si>
  <si>
    <t>IPIALES - NARIÑO</t>
  </si>
  <si>
    <t>86000161500</t>
  </si>
  <si>
    <t>860001615-4</t>
  </si>
  <si>
    <t>AUTOMUNDIAL S.A.</t>
  </si>
  <si>
    <t>3453538400</t>
  </si>
  <si>
    <t>34535384-3</t>
  </si>
  <si>
    <t>MUÑOZ ESCOBAR ELIZABETH / FERROESTACION "POPAYAN"</t>
  </si>
  <si>
    <t>111625967300</t>
  </si>
  <si>
    <t>1116259673-1</t>
  </si>
  <si>
    <t>ECHEVERRI JARAMILLO DANIEL ANDRES / PINTURAS P Y P BUGA</t>
  </si>
  <si>
    <t>90139057300</t>
  </si>
  <si>
    <t>901390573-9</t>
  </si>
  <si>
    <t>TEJAS Y ESTRUCTURAS DEL GUAVIARE ZOMAC S.A.S.</t>
  </si>
  <si>
    <t>90061546800</t>
  </si>
  <si>
    <t>900615468-8</t>
  </si>
  <si>
    <t>COLOMBIA MECHANICAL ENGINEERING PROJECT S.A.S</t>
  </si>
  <si>
    <t>5238206400</t>
  </si>
  <si>
    <t>52382064-9</t>
  </si>
  <si>
    <t>CARLOSAMA LOPEZ MAYERLINE/FERRETERIA EL PUNTO DE LACHAPAS</t>
  </si>
  <si>
    <t>4546829700</t>
  </si>
  <si>
    <t>45468297-3</t>
  </si>
  <si>
    <t>MARRUGO FERNANDEZ KATIA ISABEL/FERRETERIA LA ESQUINA ROJA</t>
  </si>
  <si>
    <t>EL CARMEN DE BOLIVAR - BOLIVAR</t>
  </si>
  <si>
    <t>80015944100</t>
  </si>
  <si>
    <t>800159441-0</t>
  </si>
  <si>
    <t>GARCES Y GOMEZ INGENIEROS S.A.S</t>
  </si>
  <si>
    <t>7443921500</t>
  </si>
  <si>
    <t>74439215-1</t>
  </si>
  <si>
    <t>VARGAS VARGAS LUIS ROBERTO / AGROFER SUTAMARCHAN</t>
  </si>
  <si>
    <t>107116686500</t>
  </si>
  <si>
    <t>1071166865-6</t>
  </si>
  <si>
    <t>ROCHA PERDIGON JOHN EDILSON / FERRETERIA E R</t>
  </si>
  <si>
    <t>7998095100</t>
  </si>
  <si>
    <t>79980951-0</t>
  </si>
  <si>
    <t>TORRES GUTIERREZ ALCIDES/ FERREPINTURAS J Y M DE LA 185</t>
  </si>
  <si>
    <t>571023900</t>
  </si>
  <si>
    <t>5710239-8</t>
  </si>
  <si>
    <t>ARIZA RUIZ RAMIRO/METALICAS ARIZA</t>
  </si>
  <si>
    <t>318141300</t>
  </si>
  <si>
    <t>3181413-5</t>
  </si>
  <si>
    <t>RAMIREZ VICTOR/FERRETERIA RAMIREZ ZABALA</t>
  </si>
  <si>
    <t>90070469600</t>
  </si>
  <si>
    <t>900704696-2</t>
  </si>
  <si>
    <t>FERRETERIA LA GENERAL S.A.S.</t>
  </si>
  <si>
    <t>83006839000</t>
  </si>
  <si>
    <t>830068390-1</t>
  </si>
  <si>
    <t>COLEGIO DE CAMBRIDGE S.A.S</t>
  </si>
  <si>
    <t>44281400</t>
  </si>
  <si>
    <t>4428114-4</t>
  </si>
  <si>
    <t>GONZALES PINZON LUIS ORLANDO/FERRELECTRICOS NAGUARA</t>
  </si>
  <si>
    <t>3066338000</t>
  </si>
  <si>
    <t>30663380-8</t>
  </si>
  <si>
    <t>PUERTA NUÑEZ INDIRA/PINTUMEZCLAS MAX</t>
  </si>
  <si>
    <t>103242187700</t>
  </si>
  <si>
    <t>1032421877-6</t>
  </si>
  <si>
    <t>RODRIGUEZ SIERRA ROBINSON/ FERRETERIA SANTIMAR</t>
  </si>
  <si>
    <t>106176329600</t>
  </si>
  <si>
    <t>1061763296-1</t>
  </si>
  <si>
    <t>CAICEDO DIAZ KAREN JESSENIA / FERREPATIA</t>
  </si>
  <si>
    <t>83007169602</t>
  </si>
  <si>
    <t>METALCENTER S.A. "SUC VILLAVICENCIO"</t>
  </si>
  <si>
    <t>81102731700</t>
  </si>
  <si>
    <t>811027317-9</t>
  </si>
  <si>
    <t>AQUATERRA S.A.S</t>
  </si>
  <si>
    <t>SERVICIOS</t>
  </si>
  <si>
    <t>80007234700</t>
  </si>
  <si>
    <t>800072347-0</t>
  </si>
  <si>
    <t>S A E T LTDA</t>
  </si>
  <si>
    <t>90156985900</t>
  </si>
  <si>
    <t>901569859-0</t>
  </si>
  <si>
    <t>KUBIKA INGENIERIA S.A.S</t>
  </si>
  <si>
    <t>4121245200</t>
  </si>
  <si>
    <t>41212452-5</t>
  </si>
  <si>
    <t>GARCIA RODRIGUEZ LUZ MARY/INAYA CENTER</t>
  </si>
  <si>
    <t>90159449100</t>
  </si>
  <si>
    <t>901594491-1</t>
  </si>
  <si>
    <t>FERRACEL SAS</t>
  </si>
  <si>
    <t>3114801600</t>
  </si>
  <si>
    <t>31148016-7</t>
  </si>
  <si>
    <t>NIEVA LENIS ZAIDA/DISTRIBUIDORA DE ANGULOS LA 35</t>
  </si>
  <si>
    <t>90126442100</t>
  </si>
  <si>
    <t>901264421-9</t>
  </si>
  <si>
    <t>GRUPO BELL SAS</t>
  </si>
  <si>
    <t>90149132600</t>
  </si>
  <si>
    <t>901491326-1</t>
  </si>
  <si>
    <t>SUMINISTROS INDUSTRIALES Y FER-ORIENTE S.A.S.</t>
  </si>
  <si>
    <t>90036637700</t>
  </si>
  <si>
    <t>900366377-7</t>
  </si>
  <si>
    <t>UNIDAD INMOBILIARIA CERRADA HACIENDA SAN SIMON - PROPIEDAD HORIZONTAL</t>
  </si>
  <si>
    <t>90059957500</t>
  </si>
  <si>
    <t>900599575-9</t>
  </si>
  <si>
    <t>PROYECTOS INTEGRALES SIMA S.A.S</t>
  </si>
  <si>
    <t>1900137100</t>
  </si>
  <si>
    <t>19001371-1</t>
  </si>
  <si>
    <t>MORALES ALARCON JIMMY ALEXANDER</t>
  </si>
  <si>
    <t>5516300300</t>
  </si>
  <si>
    <t>55163003-1</t>
  </si>
  <si>
    <t>VILLAQUIRA OVIEDO MARTHA YANED/FERREPINTURAS MARTHA YANED VILLAQUIRA</t>
  </si>
  <si>
    <t>90044847016</t>
  </si>
  <si>
    <t>HIERROS DE OCCIDENTE FERRETERIAS S.A.S "ARMENIA SUR"</t>
  </si>
  <si>
    <t>109045954000</t>
  </si>
  <si>
    <t>1090459540-5</t>
  </si>
  <si>
    <t>SERRANO BECERRA RENNY ALEJANDRO / FERRETERIA FERREPINTO RS</t>
  </si>
  <si>
    <t>303275800</t>
  </si>
  <si>
    <t>3032758-2</t>
  </si>
  <si>
    <t>GUZMAN VARGAS JESUS ALFONSO/FERRELECTRICOS LOMBARDIA</t>
  </si>
  <si>
    <t>90125688000</t>
  </si>
  <si>
    <t>FERRETERIA QUINTERO LA GRAN ESQUINA S.A.S "AGUACHICA"</t>
  </si>
  <si>
    <t>80021649925</t>
  </si>
  <si>
    <t>AGOFER S.A.S - SANTA MARTA MERCADO PUBLICO</t>
  </si>
  <si>
    <t>1635288800</t>
  </si>
  <si>
    <t>16352888-1</t>
  </si>
  <si>
    <t>ASTILLEROS JAMES OSORIO LEON</t>
  </si>
  <si>
    <t>83005704700</t>
  </si>
  <si>
    <t>830057047-2</t>
  </si>
  <si>
    <t>FERRETERIA LATINOAMERICANA S.A.S</t>
  </si>
  <si>
    <t>83006685400</t>
  </si>
  <si>
    <t>830066854-8</t>
  </si>
  <si>
    <t>IMPORTADORA MUNDIAL FERRETERA LTDA</t>
  </si>
  <si>
    <t>1374672300</t>
  </si>
  <si>
    <t>13746723-6</t>
  </si>
  <si>
    <t>CAMARGO PEREZ JHEISON EDGARDO / DISTRIBUIDORA REAL</t>
  </si>
  <si>
    <t>112036534600</t>
  </si>
  <si>
    <t>1120365346-6</t>
  </si>
  <si>
    <t>RUEDA GALVIZ YEFERSON</t>
  </si>
  <si>
    <t>86000684800</t>
  </si>
  <si>
    <t>860006848-6</t>
  </si>
  <si>
    <t>FUNDACION UNIVERSITARIA DE BOGOTA JORGE TADEO LOZANO</t>
  </si>
  <si>
    <t>90094375100</t>
  </si>
  <si>
    <t>5219241800</t>
  </si>
  <si>
    <t>52192418-7</t>
  </si>
  <si>
    <t>CORDOBA PIAMBA JUDHIT / FLEJES DEL HUILA</t>
  </si>
  <si>
    <t>5515531900</t>
  </si>
  <si>
    <t>55155319-1</t>
  </si>
  <si>
    <t>SALAZAR PERDOMO MARTHA ROCIO / DOBLADORA Y CORTADORA JM</t>
  </si>
  <si>
    <t>90100862200</t>
  </si>
  <si>
    <t>901008622-6</t>
  </si>
  <si>
    <t>CONSTRUCCIONES O Q S.A.S.</t>
  </si>
  <si>
    <t>2031595400</t>
  </si>
  <si>
    <t>20315954-7</t>
  </si>
  <si>
    <t>VARGAS GALVIS MARIA ADELAIDA</t>
  </si>
  <si>
    <t>2422718200</t>
  </si>
  <si>
    <t>24227182-5</t>
  </si>
  <si>
    <t>TORRES SANCHEZ MARIA EULALIA/FERRETERIA LA CENTRAL DE NUNCHIA</t>
  </si>
  <si>
    <t>NUNCHIA - CASANARE</t>
  </si>
  <si>
    <t>80003023500</t>
  </si>
  <si>
    <t>800030235-4</t>
  </si>
  <si>
    <t>TRANSEQUIPOS S.A.</t>
  </si>
  <si>
    <t>7970234600</t>
  </si>
  <si>
    <t>79702346-3</t>
  </si>
  <si>
    <t>MACIAS RIVERA YAIR FERNANDO  / SURTIBLER</t>
  </si>
  <si>
    <t>83001090800</t>
  </si>
  <si>
    <t>830010908-6</t>
  </si>
  <si>
    <t>TAUROQUIMICA S. A. S</t>
  </si>
  <si>
    <t>1517211000</t>
  </si>
  <si>
    <t>15172110-4</t>
  </si>
  <si>
    <t>CUELLO MENDOZA ARMANDO CARLOS / FERRECOSTA</t>
  </si>
  <si>
    <t>90179845500</t>
  </si>
  <si>
    <t>901798455-0</t>
  </si>
  <si>
    <t>GRUPO ANJOL SAS</t>
  </si>
  <si>
    <t>90106594200</t>
  </si>
  <si>
    <t>901065942-0</t>
  </si>
  <si>
    <t>CENTRAL DE HIERROS Y PERFILES RIONEGRO S.A.S</t>
  </si>
  <si>
    <t>421690300</t>
  </si>
  <si>
    <t>4216903-9</t>
  </si>
  <si>
    <t>SANCHEZ GOMEZ EDGAR EUGENIO/FERRETERIA LA TRINIDAD NEIVA</t>
  </si>
  <si>
    <t>2648275100</t>
  </si>
  <si>
    <t>26482751-5</t>
  </si>
  <si>
    <t>CUELLAR YADIRA/FERRETERIA ALMAFER</t>
  </si>
  <si>
    <t>7995305300</t>
  </si>
  <si>
    <t>79953053-7</t>
  </si>
  <si>
    <t>RIAÑO MORA LUIS ORLANDO/PINTUPANDA</t>
  </si>
  <si>
    <t>9111091100</t>
  </si>
  <si>
    <t>91110911-8</t>
  </si>
  <si>
    <t>USEDA RUEDA OSCAR/HIERROS Y LAMINAS OSCAR USEDA</t>
  </si>
  <si>
    <t>90115215100</t>
  </si>
  <si>
    <t>901152151-4</t>
  </si>
  <si>
    <t>FERRETERIA LA MEJOR DE YUMBO S.A.S.</t>
  </si>
  <si>
    <t>81500361500</t>
  </si>
  <si>
    <t>815003615-1</t>
  </si>
  <si>
    <t>RICO SANCHEZ  S.A.S.</t>
  </si>
  <si>
    <t>6665998200</t>
  </si>
  <si>
    <t>66659982-7</t>
  </si>
  <si>
    <t>ORJUELA CABRERA MARIA ANGELA / FERREMARIAS</t>
  </si>
  <si>
    <t>90175597100</t>
  </si>
  <si>
    <t>901755971-5</t>
  </si>
  <si>
    <t>CONSTRUCCIONES ARQUITECTURA E INGENIERIA S.A.S</t>
  </si>
  <si>
    <t>90139653200</t>
  </si>
  <si>
    <t>901396532-4</t>
  </si>
  <si>
    <t>DURITECH S.A.S.</t>
  </si>
  <si>
    <t>80009742400</t>
  </si>
  <si>
    <t>800097424-8</t>
  </si>
  <si>
    <t>DISTRIBUIDORA LA PUNTA LTDA</t>
  </si>
  <si>
    <t>100012571600</t>
  </si>
  <si>
    <t>1000125716-3</t>
  </si>
  <si>
    <t>ROJAS BELTRAN KAREN TATIANA/ PINTURAS GIG@ R.D.</t>
  </si>
  <si>
    <t>9451748500</t>
  </si>
  <si>
    <t>94517485-0</t>
  </si>
  <si>
    <t>MARIN HENAO JOSE JULIAN / FERRO METALICAS SUPERIOR</t>
  </si>
  <si>
    <t>6571744800</t>
  </si>
  <si>
    <t>65717448-0</t>
  </si>
  <si>
    <t>ROJAS HERNANDEZ YANET ANGELICA/DEP DE MAT PARA CONSTRUCCION Y EBANISTERIA EL HORCON</t>
  </si>
  <si>
    <t>90023967100</t>
  </si>
  <si>
    <t>900239671-4</t>
  </si>
  <si>
    <t>PRAXAIR GASES INDUSTRIALES LTDA</t>
  </si>
  <si>
    <t>90120898804</t>
  </si>
  <si>
    <t>FERRETERIA TU CASITA S.A. "EL ROSAL"</t>
  </si>
  <si>
    <t>416881900</t>
  </si>
  <si>
    <t>4168819</t>
  </si>
  <si>
    <t>PARADA PEDRAZA GILBERTO ANTONIO/PINTURAS LIDER</t>
  </si>
  <si>
    <t>86002193500</t>
  </si>
  <si>
    <t>860021935-1</t>
  </si>
  <si>
    <t>INSTITUTO PARA NIÑOS CIEGOS FUNDACION JUAN ANTONIO PARDO OSPINA</t>
  </si>
  <si>
    <t>90166987200</t>
  </si>
  <si>
    <t>901669872-6</t>
  </si>
  <si>
    <t>BOYANTE S.A.S.</t>
  </si>
  <si>
    <t>90167456600</t>
  </si>
  <si>
    <t>901674566-7</t>
  </si>
  <si>
    <t>CONSORCIO ALTO RENDIMIENTO IF</t>
  </si>
  <si>
    <t>90029319400</t>
  </si>
  <si>
    <t>900293194-1</t>
  </si>
  <si>
    <t>METAL CARGO SAS</t>
  </si>
  <si>
    <t>80013042608</t>
  </si>
  <si>
    <t>G Y J  FERRETERIAS S.A. - BARRANQUILLA</t>
  </si>
  <si>
    <t>90104049400</t>
  </si>
  <si>
    <t>901040494-4</t>
  </si>
  <si>
    <t>CONSTRUDISEÑOS INGENIERIA S.A.S</t>
  </si>
  <si>
    <t>TURBACO - BOLIVAR</t>
  </si>
  <si>
    <t>114407078000</t>
  </si>
  <si>
    <t>1144070780-1</t>
  </si>
  <si>
    <t>ORDOÑEZ MENESES LUZ ELIANY / UNIACABADOS QUILICHAO</t>
  </si>
  <si>
    <t>90130893900</t>
  </si>
  <si>
    <t>901308939-2</t>
  </si>
  <si>
    <t>MARCE INVERSIONES S.A.S</t>
  </si>
  <si>
    <t>8027541200</t>
  </si>
  <si>
    <t>80275412-2</t>
  </si>
  <si>
    <t>SALAZAR CAMACHO ORLANDO/ SALAZAR  MATERIALES PARA LA CONSTRUCCIONES</t>
  </si>
  <si>
    <t>107566249000</t>
  </si>
  <si>
    <t>1075662490-1</t>
  </si>
  <si>
    <t>DIAZ GOMEZ JONATAN RODOLFO/DEPOSITO Y FERRETERIA LA PRINCIPAL</t>
  </si>
  <si>
    <t>2649804500</t>
  </si>
  <si>
    <t>26498045-3</t>
  </si>
  <si>
    <t>MOSQUERA DE POLO LIGIA / FERRETERIA EL POLINS</t>
  </si>
  <si>
    <t>86000998500</t>
  </si>
  <si>
    <t>860009985-0</t>
  </si>
  <si>
    <t>CONGREGACION DE LOS HERMANOS DE LAS ESCUELAS CRISTIANAS</t>
  </si>
  <si>
    <t>90120460100</t>
  </si>
  <si>
    <t>901204601-1</t>
  </si>
  <si>
    <t>FERROCOLVA FERRETERIA DE COLOMBIANA DEL VALLE S.A.S.</t>
  </si>
  <si>
    <t>90002852300</t>
  </si>
  <si>
    <t>900028523-7</t>
  </si>
  <si>
    <t>ESTRUCTURAS Y DISEÑOS ARQUITECTOS S.A.S.</t>
  </si>
  <si>
    <t>4645068700</t>
  </si>
  <si>
    <t>46450687-7</t>
  </si>
  <si>
    <t>CEPEDA RINCON EDNA MARGARITA / STAR COLORS</t>
  </si>
  <si>
    <t>90155394600</t>
  </si>
  <si>
    <t>901553946-3</t>
  </si>
  <si>
    <t>CONJUNTO RESIDENCIAL PRADO PARK - PROPIEDAD HORIZONTAL</t>
  </si>
  <si>
    <t>7701867300</t>
  </si>
  <si>
    <t>77018673-6</t>
  </si>
  <si>
    <t>ORTIZ LESMES HUMBERTO/FERRETERIA UNION</t>
  </si>
  <si>
    <t>7090358100</t>
  </si>
  <si>
    <t>70903581-8</t>
  </si>
  <si>
    <t>GARCIA GIRALDO HADER DE JESUS / PINTURAS DONDE LEO</t>
  </si>
  <si>
    <t>8017572700</t>
  </si>
  <si>
    <t>80175727-8</t>
  </si>
  <si>
    <t>GRANADOS LAVERDE OSCAR JULIAN</t>
  </si>
  <si>
    <t>90127481400</t>
  </si>
  <si>
    <t>901274814-2</t>
  </si>
  <si>
    <t>LO ENCUENTRAS S.A.S.</t>
  </si>
  <si>
    <t>2055045200</t>
  </si>
  <si>
    <t>20550452-8</t>
  </si>
  <si>
    <t>CIFUENTES RODRIGUEZ PILAR DEL SOCORRO/FERRELECTRICOS PEÑA</t>
  </si>
  <si>
    <t>6331780000</t>
  </si>
  <si>
    <t>63317800-7</t>
  </si>
  <si>
    <t>SILVA NIETO MARTHA ISABEL/MUNDO PINTURAS LA 43</t>
  </si>
  <si>
    <t>90104286900</t>
  </si>
  <si>
    <t>901042869-1</t>
  </si>
  <si>
    <t>ENGI STEEL S.A.S</t>
  </si>
  <si>
    <t>900556691</t>
  </si>
  <si>
    <t>CENTRO HIERROS S.A.S "Sucursal"</t>
  </si>
  <si>
    <t>638415500</t>
  </si>
  <si>
    <t>6384155-2</t>
  </si>
  <si>
    <t>BEJARANO LUIS FELIPE/MAXI COLORES BEJARANO</t>
  </si>
  <si>
    <t>90079833400</t>
  </si>
  <si>
    <t>900798334-4</t>
  </si>
  <si>
    <t>MANDARINA PROYECTOS ARQUITECTONICOS S.A.S.</t>
  </si>
  <si>
    <t>90120898802</t>
  </si>
  <si>
    <t>FERRETERIA TU CASITA S.A. "TENJO"</t>
  </si>
  <si>
    <t>103065684100</t>
  </si>
  <si>
    <t>1030656841-3</t>
  </si>
  <si>
    <t>ROJAS CIFUENTES LESLY MELISA/LA MAQUINA FERRETERA</t>
  </si>
  <si>
    <t>7923514500</t>
  </si>
  <si>
    <t>79235145-6</t>
  </si>
  <si>
    <t>RODRIGUEZ DIAZ ORLANDO  / FERRELECTRICOS LA RED  DE LA 27</t>
  </si>
  <si>
    <t>90161677600</t>
  </si>
  <si>
    <t>901616776-1</t>
  </si>
  <si>
    <t>CONSORCIO CONFIANZA 2022</t>
  </si>
  <si>
    <t>5234704800</t>
  </si>
  <si>
    <t>52347048-2</t>
  </si>
  <si>
    <t>OSORIO MOSCOSO CLAUDIA YAMILE/FERRELECTRICOS JUMI</t>
  </si>
  <si>
    <t>8020652600</t>
  </si>
  <si>
    <t>80206526-9</t>
  </si>
  <si>
    <t>PASCAGAZA LOPEZ WILLMER GONZALO/SURTIILUMINACIONES DE BOSA DEPOSITO</t>
  </si>
  <si>
    <t>80013042604</t>
  </si>
  <si>
    <t>G Y J  FERRETERIAS S.A.  -BOGOTA</t>
  </si>
  <si>
    <t>106989927100</t>
  </si>
  <si>
    <t>1069899271-1</t>
  </si>
  <si>
    <t>BEJARANO CALDERON DORIS NELLY/DEPOSITO Y FERRETERIA J J</t>
  </si>
  <si>
    <t>MEDINA - CUNDINAMARCA</t>
  </si>
  <si>
    <t>106169009500</t>
  </si>
  <si>
    <t>1061690095-1</t>
  </si>
  <si>
    <t>GURRUTE BURBANO JOAN DAVID / FERRETERIA DEL CERRAJERO JW BURBANO</t>
  </si>
  <si>
    <t>7632244300</t>
  </si>
  <si>
    <t>76322443-8</t>
  </si>
  <si>
    <t>ORTEGA OJEDA ELSE NOVER/FERRETERIAS CONSTRUOBRAS</t>
  </si>
  <si>
    <t>90036934200</t>
  </si>
  <si>
    <t>900369342-3</t>
  </si>
  <si>
    <t>INGNOVARQ S.A.S.</t>
  </si>
  <si>
    <t>112056155700</t>
  </si>
  <si>
    <t>1120561557-3</t>
  </si>
  <si>
    <t>GUERRERO CASTILLO DAIRO / TALLER EL TRIUNFO SAN JOSE</t>
  </si>
  <si>
    <t>2651207800</t>
  </si>
  <si>
    <t>26512078-6</t>
  </si>
  <si>
    <t>NINCO LARA AMPARO / DISTRIBUIDORA EL CAMPESINO HOBO</t>
  </si>
  <si>
    <t>HOBO - HUILA</t>
  </si>
  <si>
    <t>102293592200</t>
  </si>
  <si>
    <t>1022935922-1</t>
  </si>
  <si>
    <t>ORTIZ MORENO YEISON YOVANI / PINTACOLOR L &amp; O</t>
  </si>
  <si>
    <t>90079294500</t>
  </si>
  <si>
    <t>900792945-7</t>
  </si>
  <si>
    <t>INVERSIONES LAPT S.A.S.</t>
  </si>
  <si>
    <t>90016605600</t>
  </si>
  <si>
    <t>900166056-1</t>
  </si>
  <si>
    <t>TERMINAL TERRESTRE DE CARGA DE BOGOTA OIKOS -OK</t>
  </si>
  <si>
    <t>83013347000</t>
  </si>
  <si>
    <t>830133470-0</t>
  </si>
  <si>
    <t>ALFA AM S.A.S</t>
  </si>
  <si>
    <t>8600327101</t>
  </si>
  <si>
    <t>86003271-6</t>
  </si>
  <si>
    <t>PARDO CEPEDA ORLANDO / FERRECONSTRUCCIONES EL DIAMANTE "FUENTE DE ORO "</t>
  </si>
  <si>
    <t>FUENTE DE ORO - META</t>
  </si>
  <si>
    <t>107263942200</t>
  </si>
  <si>
    <t>1072639422-1</t>
  </si>
  <si>
    <t>FORERO GARCES EDWARD ARMANDO</t>
  </si>
  <si>
    <t>90140208300</t>
  </si>
  <si>
    <t>901402083-5</t>
  </si>
  <si>
    <t>GRUPO ACELCO SAS</t>
  </si>
  <si>
    <t>2835840600</t>
  </si>
  <si>
    <t>28358406-6</t>
  </si>
  <si>
    <t>REATIGA BOHORQUEZ BERTHA YANETH/LUMITONOS</t>
  </si>
  <si>
    <t>90057348200</t>
  </si>
  <si>
    <t>900573482-1</t>
  </si>
  <si>
    <t>ECO CONTAINER SAS</t>
  </si>
  <si>
    <t>90036999100</t>
  </si>
  <si>
    <t>900369991-3</t>
  </si>
  <si>
    <t>R &amp; C  TEQUENDAMA S.A.S</t>
  </si>
  <si>
    <t>90132057400</t>
  </si>
  <si>
    <t>901320574-7</t>
  </si>
  <si>
    <t>S&amp;P INSERCOM S.A.S.</t>
  </si>
  <si>
    <t>LA PRIMAVERA - VICHADA</t>
  </si>
  <si>
    <t>769080800</t>
  </si>
  <si>
    <t>7690808-9</t>
  </si>
  <si>
    <t>DUARTE MONTOYA ERNEY/AGROPECUARIA CAPI</t>
  </si>
  <si>
    <t>90094628600</t>
  </si>
  <si>
    <t>900946286-4</t>
  </si>
  <si>
    <t>MATERIALES MINERO S.A.S.</t>
  </si>
  <si>
    <t>90118321900</t>
  </si>
  <si>
    <t>901183219-9</t>
  </si>
  <si>
    <t>FERREKAIROS S.A.S.</t>
  </si>
  <si>
    <t>318018100</t>
  </si>
  <si>
    <t>3180181-7</t>
  </si>
  <si>
    <t>PRIETO RODRIGUEZ BERNARDO/FERRE-CUARTA</t>
  </si>
  <si>
    <t>3789185800</t>
  </si>
  <si>
    <t>37891858-9</t>
  </si>
  <si>
    <t>DURAN AYALA INES / FERRETERIA LA 11 CON 15 MEZCLA TECNICA DE PINTURAS</t>
  </si>
  <si>
    <t>1938073600</t>
  </si>
  <si>
    <t>19380736-0</t>
  </si>
  <si>
    <t>VELASQUEZ ARDILA GABRIEL HUMBERTO</t>
  </si>
  <si>
    <t>1599023000</t>
  </si>
  <si>
    <t>15990230-9</t>
  </si>
  <si>
    <t>OSORIO SANCHEZ JESUS ASDRUBAL</t>
  </si>
  <si>
    <t>90168458600</t>
  </si>
  <si>
    <t>901684586-7</t>
  </si>
  <si>
    <t>PINTURAS PINTUARI S.A.S</t>
  </si>
  <si>
    <t>101420331800</t>
  </si>
  <si>
    <t>1014203318-0</t>
  </si>
  <si>
    <t>ROBINSON BAQUERO TORRES</t>
  </si>
  <si>
    <t>86050669400</t>
  </si>
  <si>
    <t>860506694-4</t>
  </si>
  <si>
    <t>ASOCIACION DE COPROPIETARIOS  IBERIA 129 B</t>
  </si>
  <si>
    <t>90122143900</t>
  </si>
  <si>
    <t>901221439-6</t>
  </si>
  <si>
    <t>MR IMPORTACIONES Y SOLUCIONES SAS</t>
  </si>
  <si>
    <t>80013042607</t>
  </si>
  <si>
    <t>G Y J FERRETERIAS  S.A. - YUMBO</t>
  </si>
  <si>
    <t>1086522300</t>
  </si>
  <si>
    <t>10865223-4</t>
  </si>
  <si>
    <t>CANCHILA TOUS JOSE MARIA/FERROELECTRICOS CANCHILA</t>
  </si>
  <si>
    <t>1227204000</t>
  </si>
  <si>
    <t>12272040-5</t>
  </si>
  <si>
    <t>VALENCIA RAMIREZ TITO ARNED/METALICAS ARMAR</t>
  </si>
  <si>
    <t>LA PLATA - HUILA</t>
  </si>
  <si>
    <t>83012014100</t>
  </si>
  <si>
    <t>830120141-6</t>
  </si>
  <si>
    <t>AMBIENTE &amp; DESARROLLO  S.A.S</t>
  </si>
  <si>
    <t>6690978300</t>
  </si>
  <si>
    <t>66909783-1</t>
  </si>
  <si>
    <t>MORENO SAA CLAUDIA LILIANA</t>
  </si>
  <si>
    <t>4160539300</t>
  </si>
  <si>
    <t>41605393-6</t>
  </si>
  <si>
    <t>TORRES DE FARIAS MARIA/FERROINDUSTRIAL FARIAS TORRES</t>
  </si>
  <si>
    <t>7802180300</t>
  </si>
  <si>
    <t>78021803-1</t>
  </si>
  <si>
    <t>BERROCAL DIAZ PEDRO RAFAEL/CASA PLUS P.P.G</t>
  </si>
  <si>
    <t>CERETE - CORDOBA</t>
  </si>
  <si>
    <t>1370388200</t>
  </si>
  <si>
    <t>13703882-4</t>
  </si>
  <si>
    <t>BENAVIDES RODRIGUEZ YARKOV / ELECTROCERRADURAS LA 90</t>
  </si>
  <si>
    <t>90101625300</t>
  </si>
  <si>
    <t>901016253-5</t>
  </si>
  <si>
    <t>SOLUCIONES INMOBILIARIAS A&amp;G S.A.S.</t>
  </si>
  <si>
    <t>80013042636</t>
  </si>
  <si>
    <t>G Y J  FERRETERIAS S.A. - MALAMBO</t>
  </si>
  <si>
    <t>90038890700</t>
  </si>
  <si>
    <t>900388907-5</t>
  </si>
  <si>
    <t>SOPORTE &amp; SOLUCIONES INTEGRALES S.A.S</t>
  </si>
  <si>
    <t>ARAUCA - ARAUCA</t>
  </si>
  <si>
    <t>1918851500</t>
  </si>
  <si>
    <t>19188515-8</t>
  </si>
  <si>
    <t>BRAVO SARMIENTO JAIME/FERRELECTRICOS JB</t>
  </si>
  <si>
    <t>2101891800</t>
  </si>
  <si>
    <t>21018918-1</t>
  </si>
  <si>
    <t>SALGUERO FORERO DIANA PATRICIA/FERRETERIA CENTRAL DISA</t>
  </si>
  <si>
    <t>4668079700</t>
  </si>
  <si>
    <t>46680797-5</t>
  </si>
  <si>
    <t>RAMIREZ AYALA MARIA TERESA / PINTURAS MARY ANGEL</t>
  </si>
  <si>
    <t>546968200</t>
  </si>
  <si>
    <t>5469682-5</t>
  </si>
  <si>
    <t>CASTRO CARRASCAL EMIRO/MEZCLA SANTA CLARA</t>
  </si>
  <si>
    <t>101363015900</t>
  </si>
  <si>
    <t>1013630159-3</t>
  </si>
  <si>
    <t>CASTRO GOMEZ CRISTIAN ANDRES / PINTURAS C Y M</t>
  </si>
  <si>
    <t>422928800</t>
  </si>
  <si>
    <t>4229288-3</t>
  </si>
  <si>
    <t>RODRIGUEZ MARTINEZ SEGUNDO REINEL/PINTUTEC</t>
  </si>
  <si>
    <t>1718506500</t>
  </si>
  <si>
    <t>17185065-4</t>
  </si>
  <si>
    <t>ORJUELA CAMPO MIGUEL</t>
  </si>
  <si>
    <t>107372205500</t>
  </si>
  <si>
    <t>1073722055-1</t>
  </si>
  <si>
    <t>HELVER YESID GONZALEZ PUENTES</t>
  </si>
  <si>
    <t>90039484800</t>
  </si>
  <si>
    <t>900394848-3</t>
  </si>
  <si>
    <t>OBRACOL SAS CONSTRUCTORA</t>
  </si>
  <si>
    <t>3519949600</t>
  </si>
  <si>
    <t>35199496-1</t>
  </si>
  <si>
    <t>HERNANDEZ PEÑA DIANA MARLEN / FERRELECTRICOS LA PALMITA DH</t>
  </si>
  <si>
    <t>90099463500</t>
  </si>
  <si>
    <t>900994635-6</t>
  </si>
  <si>
    <t>FERRETERIA FM S.A.S.</t>
  </si>
  <si>
    <t>90105541200</t>
  </si>
  <si>
    <t>901055412-6</t>
  </si>
  <si>
    <t>THE OFICCE STORE SAS</t>
  </si>
  <si>
    <t>90128924700</t>
  </si>
  <si>
    <t>901289247-1</t>
  </si>
  <si>
    <t>RETAMBORES BOGOTA S A S</t>
  </si>
  <si>
    <t>90108611800</t>
  </si>
  <si>
    <t>901086118-8</t>
  </si>
  <si>
    <t>BEBIDAS EL PINAR S.A.S</t>
  </si>
  <si>
    <t>90182845600</t>
  </si>
  <si>
    <t>901828456-8</t>
  </si>
  <si>
    <t>FERRE HOUSE S.A.S.</t>
  </si>
  <si>
    <t>80013042632</t>
  </si>
  <si>
    <t>G Y J  FERRETERIAS S.A. - PALOQUEMAO</t>
  </si>
  <si>
    <t>4154021100</t>
  </si>
  <si>
    <t>41540211-3</t>
  </si>
  <si>
    <t>CANO DE RUIZ MYRIAM/FERREVALLE TOCAIMA</t>
  </si>
  <si>
    <t>105409541300</t>
  </si>
  <si>
    <t>1054095413-3</t>
  </si>
  <si>
    <t>CRISTIAN MAURICIO GUZMAN MONROY</t>
  </si>
  <si>
    <t>106974056000</t>
  </si>
  <si>
    <t>1069740560-1</t>
  </si>
  <si>
    <t>ROMERO GONZALEZ YEISON ESTID / TODO HIERROS JR</t>
  </si>
  <si>
    <t>83200801700</t>
  </si>
  <si>
    <t>832008017-1</t>
  </si>
  <si>
    <t>RODY TRANSMISIONES S.A.S.</t>
  </si>
  <si>
    <t>9008615730</t>
  </si>
  <si>
    <t>900861573-7</t>
  </si>
  <si>
    <t>DIARQUING S.A.S.</t>
  </si>
  <si>
    <t>3465795000</t>
  </si>
  <si>
    <t>34657950-6</t>
  </si>
  <si>
    <t>CERON URBANO YOLANDA / EL BARATON DEL SUR</t>
  </si>
  <si>
    <t>100079425400</t>
  </si>
  <si>
    <t>1000794254-1</t>
  </si>
  <si>
    <t>RIZO PEÑUELA LAURA TATIANA /  FERRE RIZO</t>
  </si>
  <si>
    <t>8026174400</t>
  </si>
  <si>
    <t>80261744</t>
  </si>
  <si>
    <t>RODRIGUEZ GOMEZ RICARDO ISMAEL/PINTURAS Y TORNILLOS J.G.</t>
  </si>
  <si>
    <t>83001735800</t>
  </si>
  <si>
    <t>830017358-7</t>
  </si>
  <si>
    <t>EDIFICIO EL PORTAL DEL SALITRE - PROPIEDAD HORIZONTAL</t>
  </si>
  <si>
    <t>86001377100</t>
  </si>
  <si>
    <t>860013771-7</t>
  </si>
  <si>
    <t>AJOVER DARNEL S A S</t>
  </si>
  <si>
    <t>8047241200</t>
  </si>
  <si>
    <t>80472412-7</t>
  </si>
  <si>
    <t>JAIRO SILVA GUATAQUI</t>
  </si>
  <si>
    <t>5280471700</t>
  </si>
  <si>
    <t>52804717-2</t>
  </si>
  <si>
    <t>SANDRA LILIANA FIRACATIVE GIL</t>
  </si>
  <si>
    <t>80024818000</t>
  </si>
  <si>
    <t>800248180-5</t>
  </si>
  <si>
    <t>IMPROTEC LIMITADA</t>
  </si>
  <si>
    <t>102081828200</t>
  </si>
  <si>
    <t>1020818282-6</t>
  </si>
  <si>
    <t>MALDONADO SANCHEZ JUAN PABLO /  FERRELECTRICOS ALFA</t>
  </si>
  <si>
    <t>90100978200</t>
  </si>
  <si>
    <t>901009782-0</t>
  </si>
  <si>
    <t>CENKAP COLOMBIA  S.A.S</t>
  </si>
  <si>
    <t>90065729300</t>
  </si>
  <si>
    <t>900657293-6</t>
  </si>
  <si>
    <t>NNTIRADO INVERSIONES S.A.S.</t>
  </si>
  <si>
    <t>83007505900</t>
  </si>
  <si>
    <t>830075059-7</t>
  </si>
  <si>
    <t>PARRLOP S.A.S</t>
  </si>
  <si>
    <t>5174016300</t>
  </si>
  <si>
    <t>51740163-2</t>
  </si>
  <si>
    <t>MARY PATRICIA ROJAS AREVALO</t>
  </si>
  <si>
    <t>7978772000</t>
  </si>
  <si>
    <t>79787720-1</t>
  </si>
  <si>
    <t>SUESCA RODRIGUEZ JOSE GONZALO/PIPERFILES</t>
  </si>
  <si>
    <t>90134295100</t>
  </si>
  <si>
    <t>901342951-5</t>
  </si>
  <si>
    <t>GRUPO EMPRESARIAL SAN CARLOS "ACACIAS"</t>
  </si>
  <si>
    <t>3497499300</t>
  </si>
  <si>
    <t>34974993-1</t>
  </si>
  <si>
    <t>DE LA OSSA VIVERO LUZ EUGENIA</t>
  </si>
  <si>
    <t>86052257600</t>
  </si>
  <si>
    <t>860522576-0</t>
  </si>
  <si>
    <t>ESTACION DE SERVICIO KL SA</t>
  </si>
  <si>
    <t>102728186000</t>
  </si>
  <si>
    <t>1027281860</t>
  </si>
  <si>
    <t>RAMIREZ GOLONDRINO JOSUE LEONARDO</t>
  </si>
  <si>
    <t>5518262400</t>
  </si>
  <si>
    <t>55182624-6</t>
  </si>
  <si>
    <t>MUÑOZ ORTIZ SANDRA LILIANA/LA CASA DE LAS PINTURAS DE PITALITO</t>
  </si>
  <si>
    <t>7956152600</t>
  </si>
  <si>
    <t>79561526-6</t>
  </si>
  <si>
    <t>LATORRE PRIETO FERNANDO ALBEIRO / FERREOBRERO CONSTRUCTOR</t>
  </si>
  <si>
    <t>9100065300</t>
  </si>
  <si>
    <t>91000653-0</t>
  </si>
  <si>
    <t>MARCO ANTONIO PEÑA MORENO</t>
  </si>
  <si>
    <t>5177577900</t>
  </si>
  <si>
    <t>51775779-1</t>
  </si>
  <si>
    <t>MURILLO MARIA MIRIAM/GUZMAR 65</t>
  </si>
  <si>
    <t>106917479100</t>
  </si>
  <si>
    <t>1069174791</t>
  </si>
  <si>
    <t>JOHANA MOGOLLON GAMBOA</t>
  </si>
  <si>
    <t>90033771100</t>
  </si>
  <si>
    <t>900337711-0</t>
  </si>
  <si>
    <t>TROPICAL DE COLOMBIA S.A.S.</t>
  </si>
  <si>
    <t>409337200</t>
  </si>
  <si>
    <t>4093372-8</t>
  </si>
  <si>
    <t>PAEZ CASTELLANOS EVERARDO / DISTRIBUIDORA EL IMPERIO DE LA CONSTRUCCION</t>
  </si>
  <si>
    <t>101609765400</t>
  </si>
  <si>
    <t>1016097654-2</t>
  </si>
  <si>
    <t>QUECANO UZCATEGUI ANGEL DAVID / FERRETERIA Y SURTIDORA MIS BENDICIONES</t>
  </si>
  <si>
    <t>90067141700</t>
  </si>
  <si>
    <t>900671417-0</t>
  </si>
  <si>
    <t>GRUPO GUSTAVO CORDOBA S.A.S</t>
  </si>
  <si>
    <t>5202549100</t>
  </si>
  <si>
    <t>52025491-0</t>
  </si>
  <si>
    <t>GLADYS MARIA VELANDIA HERRERA</t>
  </si>
  <si>
    <t>7914139800</t>
  </si>
  <si>
    <t>79141398-8</t>
  </si>
  <si>
    <t>ALBERTO FRANCISCO ANTONIO MARIA VELEZ VAN MEERBEKE</t>
  </si>
  <si>
    <t>8074072300</t>
  </si>
  <si>
    <t>80740723-2</t>
  </si>
  <si>
    <t>GONZALEZ CARDONA DIEGO ANDRES / FERREDEPOSITO LOS VECIS</t>
  </si>
  <si>
    <t>90066615000</t>
  </si>
  <si>
    <t>900666150-1</t>
  </si>
  <si>
    <t>TOPOGRAFIA CONVENCIONAL Y TECNOLOGIA SAS</t>
  </si>
  <si>
    <t>100022244301</t>
  </si>
  <si>
    <t>100529429400</t>
  </si>
  <si>
    <t>1005294294-9</t>
  </si>
  <si>
    <t>DIAZ GONZALEZ JONATHAN/ALMACEN DE PINTURAS LOS MIL Y UN COLORES</t>
  </si>
  <si>
    <t>7913839200</t>
  </si>
  <si>
    <t>79138392-3</t>
  </si>
  <si>
    <t>AGUILERA MORALES ARNOLDO / PINTEXCO</t>
  </si>
  <si>
    <t>86000969424</t>
  </si>
  <si>
    <t>CYRGO S.A.S -"CARTAGENA"</t>
  </si>
  <si>
    <t>8049184900</t>
  </si>
  <si>
    <t>80491849-2</t>
  </si>
  <si>
    <t>BOJACA APONTE CESAR GERMAN</t>
  </si>
  <si>
    <t>5163246800</t>
  </si>
  <si>
    <t>51632468-0</t>
  </si>
  <si>
    <t>LILIAN MERCEDES SUA RUIZ</t>
  </si>
  <si>
    <t>102296441800</t>
  </si>
  <si>
    <t>1022964418</t>
  </si>
  <si>
    <t>LINA PAOLA BALLEN CARRILLO</t>
  </si>
  <si>
    <t>106973523400</t>
  </si>
  <si>
    <t>1069735234-3</t>
  </si>
  <si>
    <t>RENGIFO MOSQUERA JOSE EDWINSON</t>
  </si>
  <si>
    <t>5298119400</t>
  </si>
  <si>
    <t>52981194-8</t>
  </si>
  <si>
    <t>JIMENEZ SANCHEZ JULIETH ADELAIDA/PINTURAS EVELYN</t>
  </si>
  <si>
    <t>199400500</t>
  </si>
  <si>
    <t>1994005-5</t>
  </si>
  <si>
    <t>DAZA BARRETO JULIO ANIBAL / FERRELECTRICOS DAZA</t>
  </si>
  <si>
    <t>5196400800</t>
  </si>
  <si>
    <t>51964008-0</t>
  </si>
  <si>
    <t>SANDRA JANNETH MORALES CONTRERAS</t>
  </si>
  <si>
    <t>7911226400</t>
  </si>
  <si>
    <t>79112264-6</t>
  </si>
  <si>
    <t>PABLO ANTONIO MARTINEZ SALINAS</t>
  </si>
  <si>
    <t>5194992500</t>
  </si>
  <si>
    <t>51949925-7</t>
  </si>
  <si>
    <t>NANCY YAMILE SIABATO ALVAREZ</t>
  </si>
  <si>
    <t>90051010000</t>
  </si>
  <si>
    <t>900510100-1</t>
  </si>
  <si>
    <t>FERRIMORENO SAS</t>
  </si>
  <si>
    <t>7971965800</t>
  </si>
  <si>
    <t>79719658-0</t>
  </si>
  <si>
    <t>MORA BOTERO ANDRES / DISTRIBUCIONES PINTUMOOR</t>
  </si>
  <si>
    <t>100480740600</t>
  </si>
  <si>
    <t>1004807406</t>
  </si>
  <si>
    <t>BELEÑO NAVARRO LISANDRO ANDRES</t>
  </si>
  <si>
    <t>90103664500</t>
  </si>
  <si>
    <t>901036645-4</t>
  </si>
  <si>
    <t>FORMAS METALICAS MERCHAN SAS</t>
  </si>
  <si>
    <t>90132536300</t>
  </si>
  <si>
    <t>901325363-2</t>
  </si>
  <si>
    <t>COLGASOCIADOS SAS</t>
  </si>
  <si>
    <t>7514676400</t>
  </si>
  <si>
    <t>75146764-9</t>
  </si>
  <si>
    <t>GARCIA NARANJO RAFAEL / FERRETERIA Y SUMINISTROS EL MARTILLO</t>
  </si>
  <si>
    <t>CHINCHINA - CALDAS</t>
  </si>
  <si>
    <t>1370580500</t>
  </si>
  <si>
    <t>13705805-6</t>
  </si>
  <si>
    <t>ARIZA GONZALEZ OVIDIO/FERRECOLMENA ALIADAS</t>
  </si>
  <si>
    <t>90055135201</t>
  </si>
  <si>
    <t>TECNIPINTURAS ELITE S.A.S. "COTA"</t>
  </si>
  <si>
    <t>1395363600</t>
  </si>
  <si>
    <t>13953636-0</t>
  </si>
  <si>
    <t>SERRANO CADENA SILVESTRE/FERRELECTRICOS NELMAR</t>
  </si>
  <si>
    <t>7923034800</t>
  </si>
  <si>
    <t>79230348-1</t>
  </si>
  <si>
    <t>RODRIGUEZ GUTIERREZ CARLOS ARTURO/FERRELECTRIC DE SUBA</t>
  </si>
  <si>
    <t>318070900</t>
  </si>
  <si>
    <t>3180709-5</t>
  </si>
  <si>
    <t>GOMEZ ZANABRIA MARCO/EQUIPOS PARA CONSTRUCCION MG</t>
  </si>
  <si>
    <t>107362961700</t>
  </si>
  <si>
    <t>1073629617-1</t>
  </si>
  <si>
    <t>ELEN JERALDINT MARTINEZ CASALLAS</t>
  </si>
  <si>
    <t>83001378800</t>
  </si>
  <si>
    <t>830013788-2</t>
  </si>
  <si>
    <t>CAJAS FUERTES LUJAVI LIMITADA</t>
  </si>
  <si>
    <t>7926920700</t>
  </si>
  <si>
    <t>79269207-0</t>
  </si>
  <si>
    <t>JUAN JOSE QUINTERO GARAY</t>
  </si>
  <si>
    <t>90033425900</t>
  </si>
  <si>
    <t>900334259-9</t>
  </si>
  <si>
    <t>CONJUNTO RESIDENCIAL MIRADOR DEL REY  - PROPIEDAD HORIZONTAL</t>
  </si>
  <si>
    <t>102239915100</t>
  </si>
  <si>
    <t>1022399151-8</t>
  </si>
  <si>
    <t>PICO ECHEVERRI YULY ANDREA / FERREALUMINIOS LA PRADERA</t>
  </si>
  <si>
    <t>102299691800</t>
  </si>
  <si>
    <t>1022996918-0</t>
  </si>
  <si>
    <t>HERNANDEZ SUAREZ MARIA FERNANDA / FERRELECTRICOS MATI</t>
  </si>
  <si>
    <t>595791300</t>
  </si>
  <si>
    <t>5957913-5</t>
  </si>
  <si>
    <t>ELIO REINALDO PARDO SIERRA</t>
  </si>
  <si>
    <t>1934172400</t>
  </si>
  <si>
    <t>19341724-6</t>
  </si>
  <si>
    <t>CARREÑO HECTOR JULIO/FERRELECTRICOS J J M</t>
  </si>
  <si>
    <t>299474400</t>
  </si>
  <si>
    <t>2994744-3</t>
  </si>
  <si>
    <t>LARA MALAVER ALFONSO</t>
  </si>
  <si>
    <t>7995352700</t>
  </si>
  <si>
    <t>79953527-6</t>
  </si>
  <si>
    <t>GEOVANNY ARCINIEGAS GARCIA</t>
  </si>
  <si>
    <t>103241258500</t>
  </si>
  <si>
    <t>1032412585-2</t>
  </si>
  <si>
    <t>JOSE EDILSO CASTRO RIAÑO</t>
  </si>
  <si>
    <t>90036285700</t>
  </si>
  <si>
    <t>900362857-2</t>
  </si>
  <si>
    <t>AGRUPACION VILLA SANTORINI - PROPIEDAD HORIZONTAL</t>
  </si>
  <si>
    <t>101845816400</t>
  </si>
  <si>
    <t>1018458164-2</t>
  </si>
  <si>
    <t>HERNANDEZ RODRIGUEZ LADY DANIELA / FERREPINTURAS TECNIKOLOR</t>
  </si>
  <si>
    <t>90121129800</t>
  </si>
  <si>
    <t>901211298-1</t>
  </si>
  <si>
    <t>DISEÑO,CONSTRUCCION E INGENERIA LFG SAS</t>
  </si>
  <si>
    <t>80013459700</t>
  </si>
  <si>
    <t>800134597-2</t>
  </si>
  <si>
    <t>IMCD COLOMBIA S.A.S</t>
  </si>
  <si>
    <t>8001792300</t>
  </si>
  <si>
    <t>80017923-9</t>
  </si>
  <si>
    <t>PARDO PINZON CARLOS ALBERTO / FERRIPARS</t>
  </si>
  <si>
    <t>7967974700</t>
  </si>
  <si>
    <t>79679747-5</t>
  </si>
  <si>
    <t>RODOLFO EUCLIDES YARURO PICON</t>
  </si>
  <si>
    <t>90008545600</t>
  </si>
  <si>
    <t>900085456-4</t>
  </si>
  <si>
    <t>GRUPO CONSTRUCCENTER SAS</t>
  </si>
  <si>
    <t>7981628400</t>
  </si>
  <si>
    <t>79816284-5</t>
  </si>
  <si>
    <t>CASALLAS AREVALO BLADIMIR/FERRETERIA ALMIRANTE</t>
  </si>
  <si>
    <t>101542961600</t>
  </si>
  <si>
    <t>1015429616</t>
  </si>
  <si>
    <t>ANA FRANCINNA DEVIA</t>
  </si>
  <si>
    <t>4170347800</t>
  </si>
  <si>
    <t>41703478-3</t>
  </si>
  <si>
    <t>LOPEZ CASTILLO MARIA LUZ MARINA/METROHOGAR CASTILLO</t>
  </si>
  <si>
    <t>5186551300</t>
  </si>
  <si>
    <t>51865513-4</t>
  </si>
  <si>
    <t>ELIZABETH SANCHEZ SANCHEZ</t>
  </si>
  <si>
    <t>4175577200</t>
  </si>
  <si>
    <t>41755772-7</t>
  </si>
  <si>
    <t>VARGAS LUZ ESTELA/FERREPINTURAS</t>
  </si>
  <si>
    <t>80010221200</t>
  </si>
  <si>
    <t>800102212-5</t>
  </si>
  <si>
    <t>MICROMOTORES LTDA</t>
  </si>
  <si>
    <t>7976652500</t>
  </si>
  <si>
    <t>79766525-1</t>
  </si>
  <si>
    <t>MILTON ESNEIDER AREVALO RAMIREZ</t>
  </si>
  <si>
    <t>7912547600</t>
  </si>
  <si>
    <t>79125476-7</t>
  </si>
  <si>
    <t>GUATIVA VARGAS NELSON/FERRETERIA Y DEPOSITO EL ESPECIAL</t>
  </si>
  <si>
    <t>7987533300</t>
  </si>
  <si>
    <t>79875333-1</t>
  </si>
  <si>
    <t>JOYA MARTINEZ JULIO MAURICIO/EL PUNTO FERRELECTRICO</t>
  </si>
  <si>
    <t>8075608800</t>
  </si>
  <si>
    <t>ARANGUREN MAURICIO</t>
  </si>
  <si>
    <t>5177936500</t>
  </si>
  <si>
    <t>51779365</t>
  </si>
  <si>
    <t>MARISOL MORENO MORENO ANGARITA</t>
  </si>
  <si>
    <t>103246980300</t>
  </si>
  <si>
    <t>1032469803</t>
  </si>
  <si>
    <t>STEVE CORTES RODRIGUEZ</t>
  </si>
  <si>
    <t>8001792301</t>
  </si>
  <si>
    <t>7957070100</t>
  </si>
  <si>
    <t>79570701-7</t>
  </si>
  <si>
    <t>JORGE ENRIQUE MADERO BELTRAN</t>
  </si>
  <si>
    <t>7509304100</t>
  </si>
  <si>
    <t>75093041</t>
  </si>
  <si>
    <t>OSPINA RINCON JERSON ENRIQUE</t>
  </si>
  <si>
    <t>5208471400</t>
  </si>
  <si>
    <t>DARLY MIRANDA BARBOSA</t>
  </si>
  <si>
    <t>5220036000</t>
  </si>
  <si>
    <t>52200360-4</t>
  </si>
  <si>
    <t>MARTHA MARGARITA JEMAINA TORREGROZA GUTIERREZ</t>
  </si>
  <si>
    <t>101360381500</t>
  </si>
  <si>
    <t>1013603815-2</t>
  </si>
  <si>
    <t>LOPEZ BENITEZ NELY CAROLINA / PERFILES Y SERVICIOS MS</t>
  </si>
  <si>
    <t>33449800</t>
  </si>
  <si>
    <t>334498</t>
  </si>
  <si>
    <t>BROUNEN JOEL BENJAMIN</t>
  </si>
  <si>
    <t>90158053200</t>
  </si>
  <si>
    <t>901580532-2</t>
  </si>
  <si>
    <t>MEGACONSTRUCCIONES BOGOTA SAS</t>
  </si>
  <si>
    <t>90132589000</t>
  </si>
  <si>
    <t>901325890-2</t>
  </si>
  <si>
    <t>DISTRIBUIDORA BAUMARKT S.A.S.</t>
  </si>
  <si>
    <t>111855799900</t>
  </si>
  <si>
    <t>1118557999</t>
  </si>
  <si>
    <t>CACHAY JORGE</t>
  </si>
  <si>
    <t>90138252000</t>
  </si>
  <si>
    <t>901382520-5</t>
  </si>
  <si>
    <t>1A-WHITEBOARDS S.A.S.</t>
  </si>
  <si>
    <t>90100657700</t>
  </si>
  <si>
    <t>901006577-3</t>
  </si>
  <si>
    <t>INVERSIONES J.E. DE COLOMBIA S.A.S</t>
  </si>
  <si>
    <t>90160601400</t>
  </si>
  <si>
    <t>901606014-3</t>
  </si>
  <si>
    <t>DISTRIBUIDORA FERRECOL S A S</t>
  </si>
  <si>
    <t>5196729900</t>
  </si>
  <si>
    <t>51967299-0</t>
  </si>
  <si>
    <t>NUBIA YANETH LANDINEZ ESPITIA</t>
  </si>
  <si>
    <t>1152333700</t>
  </si>
  <si>
    <t>11523337-1</t>
  </si>
  <si>
    <t>IBAN GARCIA RODRIGUEZ</t>
  </si>
  <si>
    <t>8025079400</t>
  </si>
  <si>
    <t>80250794-2</t>
  </si>
  <si>
    <t>CAÑON SOLANO ALEX YESID</t>
  </si>
  <si>
    <t>90077788000</t>
  </si>
  <si>
    <t>900777880-4</t>
  </si>
  <si>
    <t>DELTA METALES S.A.S.</t>
  </si>
  <si>
    <t>86002484300</t>
  </si>
  <si>
    <t>860024843-6</t>
  </si>
  <si>
    <t>FERRETERIA LATINA S.A.S - 7 AGOSTO</t>
  </si>
  <si>
    <t>7927810600</t>
  </si>
  <si>
    <t>79278106-3</t>
  </si>
  <si>
    <t>JUAN PABLO MACIAS RODRIGUEZ</t>
  </si>
  <si>
    <t>7924422700</t>
  </si>
  <si>
    <t>79244227</t>
  </si>
  <si>
    <t>JOSE MANUEL BAUTISTA CASTILLO</t>
  </si>
  <si>
    <t>8017335500</t>
  </si>
  <si>
    <t>80173355-2</t>
  </si>
  <si>
    <t>OSCAR ERLEY CASTAÑEDA BOSSSA</t>
  </si>
  <si>
    <t>102446335500</t>
  </si>
  <si>
    <t>1024463355-4</t>
  </si>
  <si>
    <t>RAMIREZ PARADA SINDY NATALY / FERREMAYORISTA RAMIREZ</t>
  </si>
  <si>
    <t>7905099100</t>
  </si>
  <si>
    <t>79050991</t>
  </si>
  <si>
    <t>PASCAGAZA PINZON PEDRO GILBERTO</t>
  </si>
  <si>
    <t>5228184200</t>
  </si>
  <si>
    <t>52281842-9</t>
  </si>
  <si>
    <t>ADRIANA SALAZAR CACERES</t>
  </si>
  <si>
    <t>8771082600</t>
  </si>
  <si>
    <t>87710826-1</t>
  </si>
  <si>
    <t>DIEGO MARTIN GUERRERO RECALDE</t>
  </si>
  <si>
    <t>6346343900</t>
  </si>
  <si>
    <t>63463439-5</t>
  </si>
  <si>
    <t>TANIA ISABEL CALAO GONZALEZ</t>
  </si>
  <si>
    <t>7952231400</t>
  </si>
  <si>
    <t>79522314-5</t>
  </si>
  <si>
    <t>PABLO ENRIQUE HERNANDEZ CARDENAS</t>
  </si>
  <si>
    <t>1660840500</t>
  </si>
  <si>
    <t>16608405-9</t>
  </si>
  <si>
    <t>DIEGO ALBERTO SANCHEZ RESTREPO</t>
  </si>
  <si>
    <t>413284000</t>
  </si>
  <si>
    <t>4132840-1</t>
  </si>
  <si>
    <t>MORALES GARCIA JAIRO ERNESTO</t>
  </si>
  <si>
    <t>5179958500</t>
  </si>
  <si>
    <t>51799585-1</t>
  </si>
  <si>
    <t>ADRIANA SENIOR MOJICA</t>
  </si>
  <si>
    <t>80019658300</t>
  </si>
  <si>
    <t>800196583-5</t>
  </si>
  <si>
    <t>WILLTEX S.A.S.</t>
  </si>
  <si>
    <t>101238153000</t>
  </si>
  <si>
    <t>1012381530-0</t>
  </si>
  <si>
    <t>FREDY ALONSO SILVA SANCHEZ</t>
  </si>
  <si>
    <t>90109669500</t>
  </si>
  <si>
    <t>901096695-9</t>
  </si>
  <si>
    <t>BUILD COLOMBIA S.A.</t>
  </si>
  <si>
    <t>93506290</t>
  </si>
  <si>
    <t>9350629-0</t>
  </si>
  <si>
    <t>HUESO RAFAEL</t>
  </si>
  <si>
    <t>80014951900</t>
  </si>
  <si>
    <t>800149519-3</t>
  </si>
  <si>
    <t>VIJO GUTIERREZ S EN C</t>
  </si>
  <si>
    <t>102301683700</t>
  </si>
  <si>
    <t>5194500700</t>
  </si>
  <si>
    <t>51945007-2</t>
  </si>
  <si>
    <t>LUCIA VARGAS VASQUEZ</t>
  </si>
  <si>
    <t>428789700</t>
  </si>
  <si>
    <t>4287897</t>
  </si>
  <si>
    <t>MOLANO HERNANDEZ EDGAR</t>
  </si>
  <si>
    <t>8018321900</t>
  </si>
  <si>
    <t>80183219-1</t>
  </si>
  <si>
    <t>JOAN MANUEL OSORIO CANTOR</t>
  </si>
  <si>
    <t>101359220000</t>
  </si>
  <si>
    <t>1013592200</t>
  </si>
  <si>
    <t>LORENA VARGAS</t>
  </si>
  <si>
    <t>8011729500</t>
  </si>
  <si>
    <t>80117295-0</t>
  </si>
  <si>
    <t>MIGUEL ANGEL PEÑA BARBOSA</t>
  </si>
  <si>
    <t>5252845700</t>
  </si>
  <si>
    <t>ANDREA MOLANO RODRIGUEZ</t>
  </si>
  <si>
    <t>8081763900</t>
  </si>
  <si>
    <t>80817639-4</t>
  </si>
  <si>
    <t>CARLOS ANDRES FIRACATIVE GIL</t>
  </si>
  <si>
    <t>722922500</t>
  </si>
  <si>
    <t>7229225-0</t>
  </si>
  <si>
    <t>GONZALO TAMAYO TAMAYO</t>
  </si>
  <si>
    <t>21113430-6</t>
  </si>
  <si>
    <t>ROA ROCHA MARTHA PATRICIA/SURTI COLORPLAX</t>
  </si>
  <si>
    <t>323749200</t>
  </si>
  <si>
    <t>3237492-1</t>
  </si>
  <si>
    <t>AREVALO CASTRO LEONARDO/PINTUVIDRIOS A.C.</t>
  </si>
  <si>
    <t>101850924100</t>
  </si>
  <si>
    <t>1018509241-1</t>
  </si>
  <si>
    <t>KAREN DAYANA TORRES CASANOVA</t>
  </si>
  <si>
    <t>5227691400</t>
  </si>
  <si>
    <t>52276914</t>
  </si>
  <si>
    <t>ORTIZ VIVIANA</t>
  </si>
  <si>
    <t>90163260400</t>
  </si>
  <si>
    <t>901632604-9</t>
  </si>
  <si>
    <t>FLIP S.A.S</t>
  </si>
  <si>
    <t>4155578600</t>
  </si>
  <si>
    <t>41555786-1</t>
  </si>
  <si>
    <t>MARIA NELLY ENRIQUEZ GARCIA</t>
  </si>
  <si>
    <t>86000633410</t>
  </si>
  <si>
    <t>ORDEN AGUSTINOS RECOLETOS-CURIA PROVINCIAL</t>
  </si>
  <si>
    <t>80023733200</t>
  </si>
  <si>
    <t>800237332-0</t>
  </si>
  <si>
    <t>DECORASEO S.A.S</t>
  </si>
  <si>
    <t>5295843700</t>
  </si>
  <si>
    <t>52958437-6</t>
  </si>
  <si>
    <t>RUTH NIÑO RIVERA</t>
  </si>
  <si>
    <t>9334368300</t>
  </si>
  <si>
    <t>93343683-0</t>
  </si>
  <si>
    <t>JOSE MANUEL POLOCHE PAMO</t>
  </si>
  <si>
    <t>7910955000</t>
  </si>
  <si>
    <t>LUIS EDUARDO OSPINA HIDALGO</t>
  </si>
  <si>
    <t>102079590900</t>
  </si>
  <si>
    <t>1020795909-4</t>
  </si>
  <si>
    <t>JUAN ESTEBAN MONTES CAMACHO</t>
  </si>
  <si>
    <t>90011380400</t>
  </si>
  <si>
    <t>900113804-5</t>
  </si>
  <si>
    <t>GLOBAL LOGISTICS  SERVICES LTDA</t>
  </si>
  <si>
    <t>7941748000</t>
  </si>
  <si>
    <t>79417480-0</t>
  </si>
  <si>
    <t>CERON VILLEGAS CARLOS URIEL  / THOR - NILLO</t>
  </si>
  <si>
    <t>3550495900</t>
  </si>
  <si>
    <t>35504959-9</t>
  </si>
  <si>
    <t>OLGA LUCIA RODRIGUEZ GARZON</t>
  </si>
  <si>
    <t>90134524500</t>
  </si>
  <si>
    <t>901345245-7</t>
  </si>
  <si>
    <t>DISMAINT SAS</t>
  </si>
  <si>
    <t>3979280800</t>
  </si>
  <si>
    <t>39792808-3</t>
  </si>
  <si>
    <t>PINEDA MERCHAN GLORIA ELVIRA / LA FERRETERIA 27</t>
  </si>
  <si>
    <t>5298127700</t>
  </si>
  <si>
    <t>52981277-0</t>
  </si>
  <si>
    <t>VALLARINO RODRIGUEZ DAYAN KATHERINE / NABIPINTURAS</t>
  </si>
  <si>
    <t>7974407400</t>
  </si>
  <si>
    <t>79744074-5</t>
  </si>
  <si>
    <t>JHON FREDY GALEANO VILLA</t>
  </si>
  <si>
    <t>107587889000</t>
  </si>
  <si>
    <t>1075878890-0</t>
  </si>
  <si>
    <t>KORINA SALAMANCA PARRA</t>
  </si>
  <si>
    <t>7439243400</t>
  </si>
  <si>
    <t>74392434-3</t>
  </si>
  <si>
    <t>PARRA PARRA JUAN DE JESUS /FERREDEPOSITO D.J</t>
  </si>
  <si>
    <t>7923480800</t>
  </si>
  <si>
    <t>79234808-6</t>
  </si>
  <si>
    <t>ERNESTO MARTINEZ CONTRERAS</t>
  </si>
  <si>
    <t>90147181700</t>
  </si>
  <si>
    <t>901471817-9</t>
  </si>
  <si>
    <t>ERAZO MUÑOZ HOTEL S.A.S</t>
  </si>
  <si>
    <t>300681700</t>
  </si>
  <si>
    <t>3006817-9</t>
  </si>
  <si>
    <t>JAIRO TRIANA LOPEZ</t>
  </si>
  <si>
    <t>1707265700</t>
  </si>
  <si>
    <t>17072657-9</t>
  </si>
  <si>
    <t>VICTOR HUGO DIAZ RONDON</t>
  </si>
  <si>
    <t>101600669300</t>
  </si>
  <si>
    <t>1016006693-0</t>
  </si>
  <si>
    <t>RETAVISCAS GAVIRIA MARYI KARINA / FERRETERIA FUNZA MR</t>
  </si>
  <si>
    <t>1906584900</t>
  </si>
  <si>
    <t>19065849</t>
  </si>
  <si>
    <t>JUAN MEZA GIRALDO</t>
  </si>
  <si>
    <t>90108894200</t>
  </si>
  <si>
    <t>105881729400</t>
  </si>
  <si>
    <t>1058817294-8</t>
  </si>
  <si>
    <t>DANADIER CARDONA DUQUE</t>
  </si>
  <si>
    <t>5313429300</t>
  </si>
  <si>
    <t>53134293-1</t>
  </si>
  <si>
    <t>CLAUDIA MILENA BARBOSA SANCHEZ</t>
  </si>
  <si>
    <t>90159781100</t>
  </si>
  <si>
    <t>901597811-7</t>
  </si>
  <si>
    <t>MIPUNTO FERRETERO SAS</t>
  </si>
  <si>
    <t>83050552300</t>
  </si>
  <si>
    <t>830505523-1</t>
  </si>
  <si>
    <t>INTEGRACION COMUNITARIA ASINCO</t>
  </si>
  <si>
    <t>288205600</t>
  </si>
  <si>
    <t>2882056-3</t>
  </si>
  <si>
    <t>VICTOR HUGO GOMEZ PAEZ</t>
  </si>
  <si>
    <t>1125011000</t>
  </si>
  <si>
    <t>11250110-4</t>
  </si>
  <si>
    <t>ORLANDO DUARTE DIAZ</t>
  </si>
  <si>
    <t>102074119700</t>
  </si>
  <si>
    <t>1020741197</t>
  </si>
  <si>
    <t>TOVAR JULIA</t>
  </si>
  <si>
    <t>1118642700</t>
  </si>
  <si>
    <t>11186427-1</t>
  </si>
  <si>
    <t>WILLIAM ALBERTO ARISTIZABAL ROJAS</t>
  </si>
  <si>
    <t>5253084200</t>
  </si>
  <si>
    <t>52530842-8</t>
  </si>
  <si>
    <t>RUBIANO ROJAS ANGELA/FERREDEPOSITO LA CONSTRUCCION EXPRESS</t>
  </si>
  <si>
    <t>8410509400</t>
  </si>
  <si>
    <t>84105094-1</t>
  </si>
  <si>
    <t>BRITO GAMEZ AMILCAR YESITH/FERREDEPOSITO Y PINTURAS DISTRICONDOR</t>
  </si>
  <si>
    <t>1929862100</t>
  </si>
  <si>
    <t>19298621</t>
  </si>
  <si>
    <t>SANTIAGO ROMERO</t>
  </si>
  <si>
    <t>1423302100</t>
  </si>
  <si>
    <t>14233021</t>
  </si>
  <si>
    <t>CARO PULIDO JOSE OBDULIO</t>
  </si>
  <si>
    <t>1348914800</t>
  </si>
  <si>
    <t>13489148-8</t>
  </si>
  <si>
    <t>NUMA SANJUAN NEYEF</t>
  </si>
  <si>
    <t>1949829300</t>
  </si>
  <si>
    <t>19498293-8</t>
  </si>
  <si>
    <t>SALCEDO MILLAN RAMIRO/FERRELECTRICOS CALIMA</t>
  </si>
  <si>
    <t>7983547000</t>
  </si>
  <si>
    <t>79835470-1</t>
  </si>
  <si>
    <t>NELSON JAVIER SUA TORRES</t>
  </si>
  <si>
    <t>7952804900</t>
  </si>
  <si>
    <t>79528049-5</t>
  </si>
  <si>
    <t>JAVIER ORTIZ CERVERA</t>
  </si>
  <si>
    <t>2868511700</t>
  </si>
  <si>
    <t>28685117-4</t>
  </si>
  <si>
    <t>NANCY FLOREZ DEVIA</t>
  </si>
  <si>
    <t>102452713300</t>
  </si>
  <si>
    <t>1024527133-2</t>
  </si>
  <si>
    <t>CAROL BRIGITTE HERNANDEZ RODRIGUEZ</t>
  </si>
  <si>
    <t>900022000-TUL</t>
  </si>
  <si>
    <t>900022000-1</t>
  </si>
  <si>
    <t>AAXAA INDUSTRIAS E INVERSIONES S A S</t>
  </si>
  <si>
    <t>8001701200</t>
  </si>
  <si>
    <t>80017012</t>
  </si>
  <si>
    <t>AVILA MARROQUIN GUILLERMO</t>
  </si>
  <si>
    <t>7994196200</t>
  </si>
  <si>
    <t>79941962-5</t>
  </si>
  <si>
    <t>JUAN CARLOS RODRIGUEZ AYALA</t>
  </si>
  <si>
    <t>90045789200</t>
  </si>
  <si>
    <t>900457892-1</t>
  </si>
  <si>
    <t>FERRESCALA S.A.S</t>
  </si>
  <si>
    <t>110117467700</t>
  </si>
  <si>
    <t>11011746770</t>
  </si>
  <si>
    <t>BENAVIDES YOVANI</t>
  </si>
  <si>
    <t>104963575200</t>
  </si>
  <si>
    <t>1049635752-5</t>
  </si>
  <si>
    <t>CASTEBLANCO ALFONSO DAVID LEONARDO / FERRELECTRICOS DC</t>
  </si>
  <si>
    <t>7965303600</t>
  </si>
  <si>
    <t>79653036-4</t>
  </si>
  <si>
    <t>DORADO PAREDEZ JAVIER</t>
  </si>
  <si>
    <t>5193791800</t>
  </si>
  <si>
    <t>51937918-3</t>
  </si>
  <si>
    <t>NORMA EDITH ARIAS GONZALEZ</t>
  </si>
  <si>
    <t>425106400</t>
  </si>
  <si>
    <t>4251064-2</t>
  </si>
  <si>
    <t>SENEN DIAZ RUIZ</t>
  </si>
  <si>
    <t>5169641600</t>
  </si>
  <si>
    <t>51696416-2</t>
  </si>
  <si>
    <t>ELVA AVILA ROPERO</t>
  </si>
  <si>
    <t>101358838100</t>
  </si>
  <si>
    <t>1013588381-3</t>
  </si>
  <si>
    <t>LENY MARYORI ROJAS CHAVARRO</t>
  </si>
  <si>
    <t>9836090600</t>
  </si>
  <si>
    <t>98360906</t>
  </si>
  <si>
    <t>WILSON ANDRES PANTOJA MEZA</t>
  </si>
  <si>
    <t>1134814300</t>
  </si>
  <si>
    <t>11348143-1</t>
  </si>
  <si>
    <t>DUARTE MARCO ANTONIO/TODO COLOR</t>
  </si>
  <si>
    <t>106673363000</t>
  </si>
  <si>
    <t>1066733630</t>
  </si>
  <si>
    <t>BENITEZ OVIEDO FRANCISCO JAVIER</t>
  </si>
  <si>
    <t>103065901100</t>
  </si>
  <si>
    <t>1030659011-0</t>
  </si>
  <si>
    <t>ANGIE DANIELA BENAVIDES GUTIERREZ</t>
  </si>
  <si>
    <t>8085304600</t>
  </si>
  <si>
    <t>80853046-1</t>
  </si>
  <si>
    <t>RAMIRO CASTAÑEDA GALVIS</t>
  </si>
  <si>
    <t>7964942700</t>
  </si>
  <si>
    <t>79649427-5</t>
  </si>
  <si>
    <t>GAMBOA GARZON RODRIGO/INNOVACIONES GAMBOA</t>
  </si>
  <si>
    <t>101004417000</t>
  </si>
  <si>
    <t>1010044170-0</t>
  </si>
  <si>
    <t>ANGIE DANIELA JIMENEZ MARTIN</t>
  </si>
  <si>
    <t>90151679600</t>
  </si>
  <si>
    <t>901516796-8</t>
  </si>
  <si>
    <t>SPORT PRO GROUP SAS</t>
  </si>
  <si>
    <t>901160441900</t>
  </si>
  <si>
    <t>901160441-9</t>
  </si>
  <si>
    <t>TECNOLOGIAS Y PROYECTOS GLOBALMENTE APLICADOS S.A.S.</t>
  </si>
  <si>
    <t>103116114600</t>
  </si>
  <si>
    <t>1031161146-0</t>
  </si>
  <si>
    <t>DIAZ VISCANO TATIANA MARCELA / FERRETERIA EL PORVENIR W A</t>
  </si>
  <si>
    <t>3979503900</t>
  </si>
  <si>
    <t>39795039-1</t>
  </si>
  <si>
    <t>GLORIA EDYL MAHECHA MARTINEZ</t>
  </si>
  <si>
    <t>5191693200</t>
  </si>
  <si>
    <t>51916932-7</t>
  </si>
  <si>
    <t>MARIA UMELIA VARGAS BARRERA</t>
  </si>
  <si>
    <t>3034685200</t>
  </si>
  <si>
    <t>5315558400</t>
  </si>
  <si>
    <t>53155584</t>
  </si>
  <si>
    <t>RINCON RINCON CAROLINA</t>
  </si>
  <si>
    <t>83013066500</t>
  </si>
  <si>
    <t>830130665-6</t>
  </si>
  <si>
    <t>ADGE IMPERMEABILIZACIONES SAS</t>
  </si>
  <si>
    <t>7428292700</t>
  </si>
  <si>
    <t>74282927-0</t>
  </si>
  <si>
    <t>HUGO MORENO MORALES</t>
  </si>
  <si>
    <t>5245943600</t>
  </si>
  <si>
    <t>52459436-8</t>
  </si>
  <si>
    <t>SANDRA LILIANA MELO GIL</t>
  </si>
  <si>
    <t>7939000100</t>
  </si>
  <si>
    <t>79390001-7</t>
  </si>
  <si>
    <t>JAIRO INDALECIO PUENTES JAIMES</t>
  </si>
  <si>
    <t>83005761700</t>
  </si>
  <si>
    <t>830057617-0</t>
  </si>
  <si>
    <t>INGENIERIA Y SERVICIOS B &amp; R S.A.S.</t>
  </si>
  <si>
    <t>2419749800</t>
  </si>
  <si>
    <t>24197498-7</t>
  </si>
  <si>
    <t>ARAMINTA MORENO LOPEZ</t>
  </si>
  <si>
    <t>110407022700</t>
  </si>
  <si>
    <t>1104070227-2</t>
  </si>
  <si>
    <t>KATERINE MANCILLA TORRES</t>
  </si>
  <si>
    <t>8029517400</t>
  </si>
  <si>
    <t>80295174-1</t>
  </si>
  <si>
    <t>TRIANA MOJICA CESAR MANUEL/FERRELECTRICOS COSTA AZUL</t>
  </si>
  <si>
    <t>9128119400</t>
  </si>
  <si>
    <t>91281194</t>
  </si>
  <si>
    <t>NAVAS CORONA ALEJANDRO</t>
  </si>
  <si>
    <t>8049040300</t>
  </si>
  <si>
    <t>80490403-7</t>
  </si>
  <si>
    <t>JOSE ELBAR MAHECHA RODRIGUEZ</t>
  </si>
  <si>
    <t>101543494400</t>
  </si>
  <si>
    <t>1015434944-6</t>
  </si>
  <si>
    <t>MARYURY ALEJANDRA BELTRAN GONZALEZ</t>
  </si>
  <si>
    <t>102232411800</t>
  </si>
  <si>
    <t>1022324118</t>
  </si>
  <si>
    <t>ROZO ROZO ANGELO HERNAN</t>
  </si>
  <si>
    <t>7932377500</t>
  </si>
  <si>
    <t>79323775-3</t>
  </si>
  <si>
    <t>CARLOS LEONARDO VILLA ARCILA</t>
  </si>
  <si>
    <t>7942617500</t>
  </si>
  <si>
    <t>79426175-7</t>
  </si>
  <si>
    <t>OMAR WILLIAM PARADA ROA</t>
  </si>
  <si>
    <t>5235496400</t>
  </si>
  <si>
    <t>52354964-3</t>
  </si>
  <si>
    <t>LUZ MARITZA ACERO FORERO</t>
  </si>
  <si>
    <t>101545764100</t>
  </si>
  <si>
    <t>1015457641</t>
  </si>
  <si>
    <t>MARTINEZ NIÑO MICHAEL STEVEN</t>
  </si>
  <si>
    <t>101908652200</t>
  </si>
  <si>
    <t>1019086522</t>
  </si>
  <si>
    <t>JUAN SEBASTIAN VINASCO SANCHEZ</t>
  </si>
  <si>
    <t>102237183200</t>
  </si>
  <si>
    <t>1022371832</t>
  </si>
  <si>
    <t>ISRAEL ANDRES RICO RAMIREZ</t>
  </si>
  <si>
    <t>90145250700</t>
  </si>
  <si>
    <t>901452507-1</t>
  </si>
  <si>
    <t>AMERICANA DE GRABADOS SAS</t>
  </si>
  <si>
    <t>123389167600</t>
  </si>
  <si>
    <t>1233891676-7</t>
  </si>
  <si>
    <t>JUAN SEBASTIAN RODRIGUEZ CABRERA</t>
  </si>
  <si>
    <t>1927859500</t>
  </si>
  <si>
    <t>19278595</t>
  </si>
  <si>
    <t>ULISESE BAUTISTA RIOS</t>
  </si>
  <si>
    <t>101418273300</t>
  </si>
  <si>
    <t>1014182733-2</t>
  </si>
  <si>
    <t>CAMILO ANTONIO VERGARA SAENZ</t>
  </si>
  <si>
    <t>115194270400</t>
  </si>
  <si>
    <t>1151942704-8</t>
  </si>
  <si>
    <t>ARLEN OSIRIS AREVALO HINCAPIE</t>
  </si>
  <si>
    <t>1141385100</t>
  </si>
  <si>
    <t>11413851</t>
  </si>
  <si>
    <t>GERMAN PARRADO RUIZ</t>
  </si>
  <si>
    <t>3979038100</t>
  </si>
  <si>
    <t>39790381-1</t>
  </si>
  <si>
    <t>ELIANA XIMENA TOVAR ZAPATA</t>
  </si>
  <si>
    <t>101430034900</t>
  </si>
  <si>
    <t>1014300349</t>
  </si>
  <si>
    <t>PAULA KATHERINE GONZALEZ ACOSTA</t>
  </si>
  <si>
    <t>5272623100</t>
  </si>
  <si>
    <t>52726231</t>
  </si>
  <si>
    <t>YESENIA PACHON ROBAYO</t>
  </si>
  <si>
    <t>8090131000</t>
  </si>
  <si>
    <t>80901310</t>
  </si>
  <si>
    <t>LUIS LOZANO</t>
  </si>
  <si>
    <t>8017248400</t>
  </si>
  <si>
    <t>80172484-1</t>
  </si>
  <si>
    <t>DIEGO ARMANADO BAEZ LOPEZ</t>
  </si>
  <si>
    <t>1926919200</t>
  </si>
  <si>
    <t>19269192-0</t>
  </si>
  <si>
    <t>ERNESTO MARCUCCI PEREIRA</t>
  </si>
  <si>
    <t>9129398100</t>
  </si>
  <si>
    <t>91293981-8</t>
  </si>
  <si>
    <t>CARLOS FERNANDO PADILLA USEDA</t>
  </si>
  <si>
    <t>7954320100</t>
  </si>
  <si>
    <t>79543201-1</t>
  </si>
  <si>
    <t>AMED ANTENOR ABASOLO URRESTA</t>
  </si>
  <si>
    <t>8021061000</t>
  </si>
  <si>
    <t>80210610-5</t>
  </si>
  <si>
    <t>HUGO ALBERTO ACERO MARTINEZ</t>
  </si>
  <si>
    <t>5249435000</t>
  </si>
  <si>
    <t>52494350-1</t>
  </si>
  <si>
    <t>PARRA OSORIO NELLY LUCIA</t>
  </si>
  <si>
    <t>100444298900</t>
  </si>
  <si>
    <t>1004442989</t>
  </si>
  <si>
    <t>YURY VANESA ORTIZ GAVIRIA</t>
  </si>
  <si>
    <t>1131296000</t>
  </si>
  <si>
    <t>11312960-5</t>
  </si>
  <si>
    <t>EDGAR OSWALDO SERRANO ARCINIEGAS</t>
  </si>
  <si>
    <t>101908357800</t>
  </si>
  <si>
    <t>1019083578-0</t>
  </si>
  <si>
    <t>SIMON SERRANO VIDAL</t>
  </si>
  <si>
    <t>7927784100</t>
  </si>
  <si>
    <t>79277841-4</t>
  </si>
  <si>
    <t>EDUARDO EMILIO TRIANA RAMIREZ</t>
  </si>
  <si>
    <t>102080809500</t>
  </si>
  <si>
    <t>1020808095</t>
  </si>
  <si>
    <t>RODRIGUEZ DANI</t>
  </si>
  <si>
    <t>7960284000</t>
  </si>
  <si>
    <t>79602840</t>
  </si>
  <si>
    <t>HERNANDEZ BACCA HECTOR DANIEL</t>
  </si>
  <si>
    <t>100356085900</t>
  </si>
  <si>
    <t>1003560859</t>
  </si>
  <si>
    <t>LAURA VALENTINA URQUIJO</t>
  </si>
  <si>
    <t>90072983700</t>
  </si>
  <si>
    <t>900729837-2</t>
  </si>
  <si>
    <t>AAA HIERROS Y PERFILES HENAO S.A.S</t>
  </si>
  <si>
    <t>90012022000</t>
  </si>
  <si>
    <t>900120220-3</t>
  </si>
  <si>
    <t>ACERARQ S.A.S.</t>
  </si>
  <si>
    <t>100774195200</t>
  </si>
  <si>
    <t>1007741952-2</t>
  </si>
  <si>
    <t>ACOSTA JIMENEZ ERICK SEBASTIAN/DISTRIBUIDORA EL IMPERIO  DE LAS PINTURAS</t>
  </si>
  <si>
    <t>111604154500</t>
  </si>
  <si>
    <t>1116041545</t>
  </si>
  <si>
    <t>ADAN JOSE EMILIO</t>
  </si>
  <si>
    <t>90004606700</t>
  </si>
  <si>
    <t>900046067-6</t>
  </si>
  <si>
    <t>AGROCONSTRUCCIONES SERVIMAT SANDOVAL S.A.S</t>
  </si>
  <si>
    <t>90063640200</t>
  </si>
  <si>
    <t>900636402-2</t>
  </si>
  <si>
    <t>AGROSERVICIOS J J U SAS</t>
  </si>
  <si>
    <t>100236935400</t>
  </si>
  <si>
    <t>1002369354</t>
  </si>
  <si>
    <t>ALBEIRO GALLEGO</t>
  </si>
  <si>
    <t>3526464200</t>
  </si>
  <si>
    <t>35264642-9</t>
  </si>
  <si>
    <t>ALEXANDRA TORRES GARZÓN</t>
  </si>
  <si>
    <t>900077562000</t>
  </si>
  <si>
    <t>900077562-3</t>
  </si>
  <si>
    <t>ALMA VP PROYECTOS S A S</t>
  </si>
  <si>
    <t>5511146900</t>
  </si>
  <si>
    <t>55111469-7</t>
  </si>
  <si>
    <t>ALVARADO PERDOMO FANNY/FERRETERIA UNIDO</t>
  </si>
  <si>
    <t>101906526500</t>
  </si>
  <si>
    <t>1019075265</t>
  </si>
  <si>
    <t>ALVAREZ CESAR AUGUSTO</t>
  </si>
  <si>
    <t>5308072800</t>
  </si>
  <si>
    <t>53080728-8</t>
  </si>
  <si>
    <t>AMADO HERREÑO JULY/HIERROS Y HERRAJES DEL NORTE</t>
  </si>
  <si>
    <t>102077149400</t>
  </si>
  <si>
    <t>1020771494-6</t>
  </si>
  <si>
    <t>AMAYA CASTRO ROBERTO ALEJANDRO</t>
  </si>
  <si>
    <t>90061352100</t>
  </si>
  <si>
    <t>900613521-1</t>
  </si>
  <si>
    <t>ANGEL INVERSIONES S.A.S.</t>
  </si>
  <si>
    <t>3909511100</t>
  </si>
  <si>
    <t>39095111-9</t>
  </si>
  <si>
    <t>ARAGON MEDINA SAMIRNA ESTHER/FERRETERIA DONDE KEVIN</t>
  </si>
  <si>
    <t>PLATO - MAGDALENA</t>
  </si>
  <si>
    <t>8002100200</t>
  </si>
  <si>
    <t>80021002-6</t>
  </si>
  <si>
    <t>ARAGON PINZON JUAN CARLOS</t>
  </si>
  <si>
    <t>1718226200</t>
  </si>
  <si>
    <t>17182262</t>
  </si>
  <si>
    <t>ARANGUREN DANIEL</t>
  </si>
  <si>
    <t>102391904100</t>
  </si>
  <si>
    <t>1023919041</t>
  </si>
  <si>
    <t>ARIZA CAMACHO ALDEMAR</t>
  </si>
  <si>
    <t>1911894100</t>
  </si>
  <si>
    <t>19118941-3</t>
  </si>
  <si>
    <t>AYALA FORERO LUIS ERNESTO / FERRELECTRICOS LAS NIEVES</t>
  </si>
  <si>
    <t>FIRAVITOBA - BOYACA</t>
  </si>
  <si>
    <t>7983689500</t>
  </si>
  <si>
    <t>79836895-0</t>
  </si>
  <si>
    <t>BALLEN ALDANA OMAR/GAMA COLOR EL ROLO</t>
  </si>
  <si>
    <t>107095955200</t>
  </si>
  <si>
    <t>1070959552</t>
  </si>
  <si>
    <t>BAQUERO MENDOZA ANYI PATRICIA</t>
  </si>
  <si>
    <t>9333762400</t>
  </si>
  <si>
    <t>93337624-1</t>
  </si>
  <si>
    <t>BAQUERO RODRIGUEZ GERMAN/DISTRIBUCIONES B Y B</t>
  </si>
  <si>
    <t>9113062200</t>
  </si>
  <si>
    <t>91130622</t>
  </si>
  <si>
    <t>BARRERA JORGE</t>
  </si>
  <si>
    <t>107096369400</t>
  </si>
  <si>
    <t>1070963694</t>
  </si>
  <si>
    <t>BARRERA YOVANNI</t>
  </si>
  <si>
    <t>107351552800</t>
  </si>
  <si>
    <t>1073515528</t>
  </si>
  <si>
    <t>BERNAL TRIANA VIVIANA PAOLA</t>
  </si>
  <si>
    <t>2272715200</t>
  </si>
  <si>
    <t>22727152-2</t>
  </si>
  <si>
    <t>BITAR CASTRO ODALIS DE JESUS/FERRETERIA LIBANO</t>
  </si>
  <si>
    <t>2752953600</t>
  </si>
  <si>
    <t>27529536-6</t>
  </si>
  <si>
    <t>BOLAÑOS GEMMA/VIDRIOS OBEYMAR</t>
  </si>
  <si>
    <t>TUQUERRES - NARIÑO</t>
  </si>
  <si>
    <t>112182685100</t>
  </si>
  <si>
    <t>1121826851-7</t>
  </si>
  <si>
    <t>BOTINA GOMEZ CIELO ALEXANDRA/HIERROS Y SUMINISTROS DEL ORIENTE</t>
  </si>
  <si>
    <t>100724561500</t>
  </si>
  <si>
    <t>1007245615</t>
  </si>
  <si>
    <t>BRAYAN JOSE INFANTE RODRIGUEZ</t>
  </si>
  <si>
    <t>111686178400</t>
  </si>
  <si>
    <t>1116861784-1</t>
  </si>
  <si>
    <t>CABALLERO DIAZ JEFERSONN/ MULTICOLORES LA CASA DE LAS PINTURAS</t>
  </si>
  <si>
    <t>108532656600</t>
  </si>
  <si>
    <t>1085326566-7</t>
  </si>
  <si>
    <t>CABRERA ORDOÑEZ MAIRHEN MISHELL/ FERRETERIA CABRERA´S D.J.</t>
  </si>
  <si>
    <t>LEIVA - NARIÑO</t>
  </si>
  <si>
    <t>SW-2976953</t>
  </si>
  <si>
    <t>2898501300</t>
  </si>
  <si>
    <t>28985013-4</t>
  </si>
  <si>
    <t>CALDERON SANABRIA MARIA ALEYDA/ CACHARRERIA LA BUJIA A C</t>
  </si>
  <si>
    <t>VILLAHERMOSA - TOLIMA</t>
  </si>
  <si>
    <t>8318239600</t>
  </si>
  <si>
    <t>83182396-3</t>
  </si>
  <si>
    <t>CANACUE DIAZ YESID /FERRELECTRICOS ACEVEDO</t>
  </si>
  <si>
    <t>9312696100</t>
  </si>
  <si>
    <t>93126961</t>
  </si>
  <si>
    <t>CARLOS ALBERTO GONGORA</t>
  </si>
  <si>
    <t>101910346000</t>
  </si>
  <si>
    <t>1019103460</t>
  </si>
  <si>
    <t>CARVAJAL GUTIERREZ LEDY JULIETH</t>
  </si>
  <si>
    <t>108801192300</t>
  </si>
  <si>
    <t>1088011923</t>
  </si>
  <si>
    <t>CARVAJAL LAURA</t>
  </si>
  <si>
    <t>6697932600</t>
  </si>
  <si>
    <t>66979326</t>
  </si>
  <si>
    <t>CASTAÑEDA LEMOS YAMILETH</t>
  </si>
  <si>
    <t>1618896400</t>
  </si>
  <si>
    <t>16188964-0</t>
  </si>
  <si>
    <t>CASTRILLON PULECIO MILLER HADER / FERRETERIA CASTRILLON</t>
  </si>
  <si>
    <t>SOLITA - CAQUETA</t>
  </si>
  <si>
    <t>106589597200</t>
  </si>
  <si>
    <t>1065895972-1</t>
  </si>
  <si>
    <t>CHINCHILLA CARRIZOSA EDWIN ALEJANDRO / ALEJO PINTUMEZCLAS</t>
  </si>
  <si>
    <t>7997980600</t>
  </si>
  <si>
    <t>79979806</t>
  </si>
  <si>
    <t>CIRO ALEXANDER CAMACHO</t>
  </si>
  <si>
    <t>724611200</t>
  </si>
  <si>
    <t>7246012-0</t>
  </si>
  <si>
    <t>CIRO JIMENEZ MANUEL/FERRETERIA UNICA</t>
  </si>
  <si>
    <t>80600843900</t>
  </si>
  <si>
    <t>806008439-1</t>
  </si>
  <si>
    <t>CLINICA CARTAGENA DEL MAR S.A.</t>
  </si>
  <si>
    <t>108093218500</t>
  </si>
  <si>
    <t>1080932185-5</t>
  </si>
  <si>
    <t>COLLAZOS BARRERA HILDE ROZO/DEPOSITO FERRESUR C &amp; B</t>
  </si>
  <si>
    <t>90099620800</t>
  </si>
  <si>
    <t>900996208-3</t>
  </si>
  <si>
    <t>COLORYARTE ESCENOGRAFOS S.A.S.</t>
  </si>
  <si>
    <t>90020537703</t>
  </si>
  <si>
    <t>900205377-7</t>
  </si>
  <si>
    <t>COMERCIALIZADORA AGROHIERROS S.A. No. 1</t>
  </si>
  <si>
    <t>90020537704</t>
  </si>
  <si>
    <t>COMERCIALIZADORA AGROHIERROS S.A. No. 2</t>
  </si>
  <si>
    <t>90020537701</t>
  </si>
  <si>
    <t>COMERCIALIZADORA AGROHIERROS S.A. No. 5</t>
  </si>
  <si>
    <t>90115716700</t>
  </si>
  <si>
    <t>901157167-4</t>
  </si>
  <si>
    <t>COMERCIALIZADORA NACIONAL FERRETERA J.A. S.A.S.</t>
  </si>
  <si>
    <t>80003985400</t>
  </si>
  <si>
    <t>800039854-4</t>
  </si>
  <si>
    <t>CONJUNTO RESIDENCIAL SAN CRISTOBAL SECTOR I - PROPIEDAD HORIZANTAL</t>
  </si>
  <si>
    <t>90123895700</t>
  </si>
  <si>
    <t>901238957-4</t>
  </si>
  <si>
    <t>CONSORCIO MO SANTOS 2018</t>
  </si>
  <si>
    <t>90142055400</t>
  </si>
  <si>
    <t>901420554-9</t>
  </si>
  <si>
    <t>CONSORCIO OBRAS FASE 2</t>
  </si>
  <si>
    <t>90142425600</t>
  </si>
  <si>
    <t>901424256-7</t>
  </si>
  <si>
    <t>CONSTRUGUAVIARE "CG SAS" ZOMAC</t>
  </si>
  <si>
    <t>EL RETORNO - GUAVIARE</t>
  </si>
  <si>
    <t>90117469800</t>
  </si>
  <si>
    <t>901174698-5</t>
  </si>
  <si>
    <t>CONSTRUHEGO S.A.S.</t>
  </si>
  <si>
    <t>90064823400</t>
  </si>
  <si>
    <t>900648234-3</t>
  </si>
  <si>
    <t>CONSTRUNORTE COMERCIALIZADORA S.A.S "SUC. BELLO HORIZONTE"</t>
  </si>
  <si>
    <t>103247879600</t>
  </si>
  <si>
    <t>1032478796</t>
  </si>
  <si>
    <t>CORTES PLATA JOAHO STIVEN</t>
  </si>
  <si>
    <t>86007030100</t>
  </si>
  <si>
    <t>860070301-1</t>
  </si>
  <si>
    <t>CRUZ ROJA COLOMBIANA SECCIONAL CUNDINAMARCA Y BOGOTA D.C.</t>
  </si>
  <si>
    <t>90134467000</t>
  </si>
  <si>
    <t>901344670-1</t>
  </si>
  <si>
    <t>CS INDUMETALICAS S.A.S.</t>
  </si>
  <si>
    <t>5178064900</t>
  </si>
  <si>
    <t>51780649-0</t>
  </si>
  <si>
    <t>CUBIDES PARADA JINIER/PINTURAS LA MEZCLA PROFESIONAL DE COLORES</t>
  </si>
  <si>
    <t>105173478600</t>
  </si>
  <si>
    <t>1051734786</t>
  </si>
  <si>
    <t>DANIEL RODOLFO BELEÑO MIRANDA</t>
  </si>
  <si>
    <t>8018488200</t>
  </si>
  <si>
    <t>80184882</t>
  </si>
  <si>
    <t>DAVID GARZON RAMIREZ</t>
  </si>
  <si>
    <t>171960612</t>
  </si>
  <si>
    <t>17196061-2</t>
  </si>
  <si>
    <t>DAZA ISIDRO/DEPOSITO TUNA</t>
  </si>
  <si>
    <t>1103898300</t>
  </si>
  <si>
    <t>11038983</t>
  </si>
  <si>
    <t>DEIVIS MANUEL MEJIA</t>
  </si>
  <si>
    <t>90003283800</t>
  </si>
  <si>
    <t>900032838-7</t>
  </si>
  <si>
    <t>DEPOSITO DE MADERAS Y MATERIALES EL PORVENIR</t>
  </si>
  <si>
    <t>101720455700</t>
  </si>
  <si>
    <t>1017204557-1</t>
  </si>
  <si>
    <t>DIAZ OSORIO YURI YESSENIA/LA ORNAMENTACION FERRETERIA</t>
  </si>
  <si>
    <t>8081718300</t>
  </si>
  <si>
    <t>80817183</t>
  </si>
  <si>
    <t>DIEGO ALEJANDRO CORREA GARZON</t>
  </si>
  <si>
    <t>90008434100</t>
  </si>
  <si>
    <t>900084341-1</t>
  </si>
  <si>
    <t>DIGITAL BUSINESS DBX LTDA</t>
  </si>
  <si>
    <t>90142605700</t>
  </si>
  <si>
    <t>901426057-7</t>
  </si>
  <si>
    <t>DISTRIBUCIONES FERRE - MAKRO S.A.S.</t>
  </si>
  <si>
    <t>83005513700</t>
  </si>
  <si>
    <t>830055137-8</t>
  </si>
  <si>
    <t>DISTRIBUIDORA ALIANZA LTDA</t>
  </si>
  <si>
    <t>83004332200</t>
  </si>
  <si>
    <t>830043322-2</t>
  </si>
  <si>
    <t>EDIFICIO ALMENAS DEL CASTILLO PROPIEDAD HORIZONTAL</t>
  </si>
  <si>
    <t>80012598020</t>
  </si>
  <si>
    <t>800125980-2</t>
  </si>
  <si>
    <t>EMECON S.A. EN REORGANIZACION</t>
  </si>
  <si>
    <t>90000868900</t>
  </si>
  <si>
    <t>900008689-5</t>
  </si>
  <si>
    <t>EMME S.A.S</t>
  </si>
  <si>
    <t>901197536</t>
  </si>
  <si>
    <t>901197536-1</t>
  </si>
  <si>
    <t>ENERGIA SEGURA SAS</t>
  </si>
  <si>
    <t>90118710900</t>
  </si>
  <si>
    <t>901187109-5</t>
  </si>
  <si>
    <t>ENGINEERING AND MANUFACTURING EYM SAS</t>
  </si>
  <si>
    <t>90037604100</t>
  </si>
  <si>
    <t>900376041-0</t>
  </si>
  <si>
    <t>ESCALA ARQUITECTURA E INGENIERIA S.A.S.</t>
  </si>
  <si>
    <t>80001507900</t>
  </si>
  <si>
    <t>800015079-9</t>
  </si>
  <si>
    <t>ESGUERRA Y GOMEZ S.A.S</t>
  </si>
  <si>
    <t>90019545100</t>
  </si>
  <si>
    <t>900195451-1</t>
  </si>
  <si>
    <t>ESPACIO LEVE INGENIERIA LTDA</t>
  </si>
  <si>
    <t>90115866400</t>
  </si>
  <si>
    <t>901158664-8</t>
  </si>
  <si>
    <t>ESTRUCTURAS Y CUBIERTAS CONSTRUACERO S.A.S.</t>
  </si>
  <si>
    <t>5222370200</t>
  </si>
  <si>
    <t>52223702</t>
  </si>
  <si>
    <t>EVA LUCIA MARENTES RODRIGUEZ</t>
  </si>
  <si>
    <t>90137102600</t>
  </si>
  <si>
    <t>901371026-0</t>
  </si>
  <si>
    <t>F &amp; M CASA FERRETERA S.A.S.</t>
  </si>
  <si>
    <t>80006088001</t>
  </si>
  <si>
    <t>800060880-3</t>
  </si>
  <si>
    <t>FERRAGRO S.A.S. "MONTERIA"</t>
  </si>
  <si>
    <t>90083473600</t>
  </si>
  <si>
    <t>900834736-6</t>
  </si>
  <si>
    <t>FERRE CONSTRU HOGAR S.A.S.</t>
  </si>
  <si>
    <t>900008620</t>
  </si>
  <si>
    <t>900008620-8</t>
  </si>
  <si>
    <t>FERRECENTRO  BELCAS S.A.S</t>
  </si>
  <si>
    <t>90096245100</t>
  </si>
  <si>
    <t>900962451-0</t>
  </si>
  <si>
    <t>FERRECHINCHINA S.A.S.</t>
  </si>
  <si>
    <t>90130229800</t>
  </si>
  <si>
    <t>901302298-2</t>
  </si>
  <si>
    <t>FERRELECTRICOS LA PRIMAVERA S.A.S. ZOMAC</t>
  </si>
  <si>
    <t>TAURAMENA - CASANARE</t>
  </si>
  <si>
    <t>80401645100</t>
  </si>
  <si>
    <t>804016451-5</t>
  </si>
  <si>
    <t>FERRETERIA MULTIMATERIALES LTDA</t>
  </si>
  <si>
    <t>CIMITARRA - SANTANDER</t>
  </si>
  <si>
    <t>82300166000</t>
  </si>
  <si>
    <t>823001660-1</t>
  </si>
  <si>
    <t>FERRETERIA NACIONAL S.A.S.</t>
  </si>
  <si>
    <t>83000083800</t>
  </si>
  <si>
    <t>830000838-6</t>
  </si>
  <si>
    <t>FERREXITO S.A.S.</t>
  </si>
  <si>
    <t>90157741300</t>
  </si>
  <si>
    <t>901577413-3</t>
  </si>
  <si>
    <t>FERROMATERIALES SAN BLAS S.A.S</t>
  </si>
  <si>
    <t>MORROA - SUCRE</t>
  </si>
  <si>
    <t>80020079200</t>
  </si>
  <si>
    <t>800200792-5</t>
  </si>
  <si>
    <t>FERROPINTURAS DEL CAUCA S.A.S No 2</t>
  </si>
  <si>
    <t>2076775200</t>
  </si>
  <si>
    <t>20767752-5</t>
  </si>
  <si>
    <t>FIERRO MAHECHA CLARA EDITH / FERREAVENIDA</t>
  </si>
  <si>
    <t>80020113600</t>
  </si>
  <si>
    <t>800201036-1</t>
  </si>
  <si>
    <t>FORMARAN LTDA</t>
  </si>
  <si>
    <t>90006011500</t>
  </si>
  <si>
    <t>900060115-1</t>
  </si>
  <si>
    <t>FULLEQUIPOS Y CALDERAS S.A.S.</t>
  </si>
  <si>
    <t>86001383000</t>
  </si>
  <si>
    <t>860013830-3</t>
  </si>
  <si>
    <t>FUNDACION GIMNASIO MODERNO</t>
  </si>
  <si>
    <t>716916300</t>
  </si>
  <si>
    <t>7169163-4</t>
  </si>
  <si>
    <t>GALINDO BALLESTEROS CARLOS ALBERTO/DISTRIBUIDORA PINTURA G &amp; MCOLORS</t>
  </si>
  <si>
    <t>2471568400</t>
  </si>
  <si>
    <t>24715684-4</t>
  </si>
  <si>
    <t>GALVIS RINCON CLAUDIA MARCELA</t>
  </si>
  <si>
    <t>1892370900</t>
  </si>
  <si>
    <t>18923709-1</t>
  </si>
  <si>
    <t>GARAY YEPES JOSE ANTONIO/PINTURAS Y HERRAJES VIVA COLOR</t>
  </si>
  <si>
    <t>SABANA DE TORRES - SANTANDER</t>
  </si>
  <si>
    <t>2150078500</t>
  </si>
  <si>
    <t>2150785-5</t>
  </si>
  <si>
    <t>GARCES QUIROZ DIANA DEL CARMEN/DEPOSITO Y FERRETERIA FONQUETA</t>
  </si>
  <si>
    <t>111361932600</t>
  </si>
  <si>
    <t>1113619326-5</t>
  </si>
  <si>
    <t>GARCIA GARCIA CAROLINA/PALMIPINTURAS</t>
  </si>
  <si>
    <t>100242389500</t>
  </si>
  <si>
    <t>1002423895</t>
  </si>
  <si>
    <t>GENARO LASSO</t>
  </si>
  <si>
    <t>101907710200</t>
  </si>
  <si>
    <t>1019077102</t>
  </si>
  <si>
    <t>GIRALDO BERNAL CARLOS ALBERTO</t>
  </si>
  <si>
    <t>BOGOTA</t>
  </si>
  <si>
    <t>90124099500</t>
  </si>
  <si>
    <t>901240995-0</t>
  </si>
  <si>
    <t>GLOBAL CONSTRUCCIONES HOUSE S.A.S.</t>
  </si>
  <si>
    <t>102039495800</t>
  </si>
  <si>
    <t>1020394958-4</t>
  </si>
  <si>
    <t>GOMEZ PALACIO DIANA MILENA/PINTURAS LA 49</t>
  </si>
  <si>
    <t>3541947800</t>
  </si>
  <si>
    <t>35419478-4</t>
  </si>
  <si>
    <t>GONZALEZ MONROY EMILIA CAROLINA/EL REY DE LAS PINTURAS</t>
  </si>
  <si>
    <t>109934308100</t>
  </si>
  <si>
    <t>1099343081-1</t>
  </si>
  <si>
    <t>GONZALEZ PARRA GINNA LIZETH</t>
  </si>
  <si>
    <t>90105073200</t>
  </si>
  <si>
    <t>901050732-5</t>
  </si>
  <si>
    <t>GRUPO PEGASSO S A S</t>
  </si>
  <si>
    <t>107352192500</t>
  </si>
  <si>
    <t>1073521925</t>
  </si>
  <si>
    <t>GUALTEROS PULIDO CATHERINE</t>
  </si>
  <si>
    <t>594489900</t>
  </si>
  <si>
    <t>5944899-3</t>
  </si>
  <si>
    <t>GUILLEN RUIZ JORGE/HIERRO Y ACERO TRES ESQUINAS</t>
  </si>
  <si>
    <t>83002362700</t>
  </si>
  <si>
    <t>830023627-8</t>
  </si>
  <si>
    <t>GUTIERREZ CASTRO ARQUITECTOS LTDA</t>
  </si>
  <si>
    <t>3980596100</t>
  </si>
  <si>
    <t>39805961-0</t>
  </si>
  <si>
    <t>GUTIERREZ REYES MARISOL/FERRE - VARIEDADES M Y M</t>
  </si>
  <si>
    <t>2117823200</t>
  </si>
  <si>
    <t>21178232-3</t>
  </si>
  <si>
    <t>GUZMAN RAMIREZ DORA ASTRID/FERRELECTRICOS M Y C</t>
  </si>
  <si>
    <t>86001053500</t>
  </si>
  <si>
    <t>860010535-1</t>
  </si>
  <si>
    <t>HERMANAS MERCEDARIAS DEL SANTISIMO SACRAMENTO</t>
  </si>
  <si>
    <t>80356190</t>
  </si>
  <si>
    <t>HERNANDEZ LUIS EDUARDO</t>
  </si>
  <si>
    <t>100343147800</t>
  </si>
  <si>
    <t>1003431478</t>
  </si>
  <si>
    <t>HORACIO MARTINEZ</t>
  </si>
  <si>
    <t>90123850300</t>
  </si>
  <si>
    <t>901238503-4</t>
  </si>
  <si>
    <t>HOSTDIME GLOBAL DATA SAS</t>
  </si>
  <si>
    <t>1095342100</t>
  </si>
  <si>
    <t>10953421-3</t>
  </si>
  <si>
    <t>HOYOS SERPA JOSE RENE / PROMADERAS . ING</t>
  </si>
  <si>
    <t>PLANETA RICA - CORDOBA</t>
  </si>
  <si>
    <t>90106287000</t>
  </si>
  <si>
    <t>901062870-5</t>
  </si>
  <si>
    <t>HS INGENIERIA SOSTENIBLE S.A.S</t>
  </si>
  <si>
    <t>3034591600</t>
  </si>
  <si>
    <t>30345916-1</t>
  </si>
  <si>
    <t>IBARRA BUITRAGO BISMARY/FERRELECTRICOS LA MONA</t>
  </si>
  <si>
    <t>PUERTO SALGAR - CUNDINAMARCA</t>
  </si>
  <si>
    <t>90099828700</t>
  </si>
  <si>
    <t>900998287-4</t>
  </si>
  <si>
    <t>ICMME S.A.S.</t>
  </si>
  <si>
    <t>83006636800</t>
  </si>
  <si>
    <t>830066368-1</t>
  </si>
  <si>
    <t>IGLOSS DE COLOMBIA S A</t>
  </si>
  <si>
    <t>90020919700</t>
  </si>
  <si>
    <t>900209197-6</t>
  </si>
  <si>
    <t>IMPORTADORA MHAPRE S.A.S.</t>
  </si>
  <si>
    <t>90095944900</t>
  </si>
  <si>
    <t>900959449-4</t>
  </si>
  <si>
    <t>INDUJARA RG S.A.S.</t>
  </si>
  <si>
    <t>90115345000</t>
  </si>
  <si>
    <t>901153450-6</t>
  </si>
  <si>
    <t>INDUSTRIAS FUNDIAGRO S.A.S.</t>
  </si>
  <si>
    <t>90026233900</t>
  </si>
  <si>
    <t>900262339-1</t>
  </si>
  <si>
    <t>INGENIERIA ESTRUCTURAL Y CONSTRUCCIONES LTDA</t>
  </si>
  <si>
    <t>90119007000</t>
  </si>
  <si>
    <t>901190070-8</t>
  </si>
  <si>
    <t>INGESCO COLOMBIA S.A.S.</t>
  </si>
  <si>
    <t>90032666700</t>
  </si>
  <si>
    <t>900326667-7</t>
  </si>
  <si>
    <t>INPAME S.A.S.</t>
  </si>
  <si>
    <t>86001387400</t>
  </si>
  <si>
    <t>860013874-7</t>
  </si>
  <si>
    <t>INSTITUTO DE ORTOPEDIA INFANTIL ROSSEVELT</t>
  </si>
  <si>
    <t>80014495200</t>
  </si>
  <si>
    <t>800144952-7</t>
  </si>
  <si>
    <t>INTERNACIONAL DE REPRESENTACIONES Y SERVICIOS DE INGENIERIA TEREG DE COLOMBIA LTDA</t>
  </si>
  <si>
    <t>90133940600</t>
  </si>
  <si>
    <t>901339406-1</t>
  </si>
  <si>
    <t>INVERMATH GROUP S.A.S.</t>
  </si>
  <si>
    <t>90065834900</t>
  </si>
  <si>
    <t>900658349-4</t>
  </si>
  <si>
    <t>INVERSIONES JAPP SAS</t>
  </si>
  <si>
    <t>90036191100</t>
  </si>
  <si>
    <t>900361911-8</t>
  </si>
  <si>
    <t>INVERSIONES MAFERCAUCHOS S.A.S</t>
  </si>
  <si>
    <t>90101287600</t>
  </si>
  <si>
    <t>901012876-5</t>
  </si>
  <si>
    <t>INVERSIONES MERCHAN &amp; CIA S.A.S.</t>
  </si>
  <si>
    <t>90038851800</t>
  </si>
  <si>
    <t>900388518-3</t>
  </si>
  <si>
    <t>INVERSIONES MOTOFUTURO S.A.S.</t>
  </si>
  <si>
    <t>90057823000</t>
  </si>
  <si>
    <t>900578230-3</t>
  </si>
  <si>
    <t>INVERSIONES SAN BERNARDO S.A.S.</t>
  </si>
  <si>
    <t>90074263300</t>
  </si>
  <si>
    <t>900742633-0</t>
  </si>
  <si>
    <t>IPO INTEGRAL DE PROYECTOS DE INGENIERIA S.A.S.</t>
  </si>
  <si>
    <t>90129430700</t>
  </si>
  <si>
    <t>901294307-5</t>
  </si>
  <si>
    <t>JHOJAVI SAS</t>
  </si>
  <si>
    <t>100109774300</t>
  </si>
  <si>
    <t>1001097743</t>
  </si>
  <si>
    <t>JHON SEBASTIAN RODRIGUEZ ZAMBRANO</t>
  </si>
  <si>
    <t>102866011900</t>
  </si>
  <si>
    <t>1028660119</t>
  </si>
  <si>
    <t>JUAN DAVID RODRIGUEZ QUESADA</t>
  </si>
  <si>
    <t>101910429300</t>
  </si>
  <si>
    <t>1019104293</t>
  </si>
  <si>
    <t>JUAN PABLO PATIÑO BURGOS</t>
  </si>
  <si>
    <t>8081770500</t>
  </si>
  <si>
    <t>80817705</t>
  </si>
  <si>
    <t>JULIO CESAR BECERRA</t>
  </si>
  <si>
    <t>90042983400</t>
  </si>
  <si>
    <t>900429834-3</t>
  </si>
  <si>
    <t>KUBO GROUP S.A.S.</t>
  </si>
  <si>
    <t>90134417300</t>
  </si>
  <si>
    <t>LA PLOMADA S.A.S.</t>
  </si>
  <si>
    <t>80005070400</t>
  </si>
  <si>
    <t>800050704-2</t>
  </si>
  <si>
    <t>LA TIENDA DE LAS PINTURAS LTDA</t>
  </si>
  <si>
    <t>86035195500</t>
  </si>
  <si>
    <t>860351955-4</t>
  </si>
  <si>
    <t>LABORATORIOS PRONABELL S.A.S.</t>
  </si>
  <si>
    <t>100237208400</t>
  </si>
  <si>
    <t>1002372084</t>
  </si>
  <si>
    <t>LAMBRAÑO RODRIGUEZ ELIAN DAVID</t>
  </si>
  <si>
    <t>90103058000</t>
  </si>
  <si>
    <t>901030580-7</t>
  </si>
  <si>
    <t>LATEMCO GROUP S.A.S.</t>
  </si>
  <si>
    <t>5274859800</t>
  </si>
  <si>
    <t>5274898</t>
  </si>
  <si>
    <t>LATORRE RODRIGUEZ CAROL</t>
  </si>
  <si>
    <t>4398776600</t>
  </si>
  <si>
    <t>43987766</t>
  </si>
  <si>
    <t>LEDYS MAYERLIN MARTINEZ QUIROZ</t>
  </si>
  <si>
    <t>108173412100</t>
  </si>
  <si>
    <t>1081734121-9</t>
  </si>
  <si>
    <t>LLANOS GOMEZ YONIBER/ FÁBRICA PROCESADOS Y ACABADOS LLAGO</t>
  </si>
  <si>
    <t>8608810700</t>
  </si>
  <si>
    <t>86088107-0</t>
  </si>
  <si>
    <t>LOZANO CRISTIAN ANDRES/  FERRETERIA TECNIPINTURAS C&amp;D</t>
  </si>
  <si>
    <t>2048369900</t>
  </si>
  <si>
    <t>20483699-2</t>
  </si>
  <si>
    <t>LOZANO MORENO MARIA EVA/MUNDO DEL COLOR YOPAL</t>
  </si>
  <si>
    <t>SAN CARLOS GUAROA - META</t>
  </si>
  <si>
    <t>101904592700</t>
  </si>
  <si>
    <t>1019045927</t>
  </si>
  <si>
    <t>LUIS FERNANDO REYES CUBILLOS</t>
  </si>
  <si>
    <t>103236456700</t>
  </si>
  <si>
    <t>1032364567-3</t>
  </si>
  <si>
    <t>LUZ DARY CRUZ MORA</t>
  </si>
  <si>
    <t>90117466500</t>
  </si>
  <si>
    <t>901174665-2</t>
  </si>
  <si>
    <t>MAC INGENIERIA E INNOVACION S.A.S</t>
  </si>
  <si>
    <t>2385536300</t>
  </si>
  <si>
    <t>23855363-1</t>
  </si>
  <si>
    <t>MARTINEZ NIÑO MIRYAM STELLA/FERRETERIA MARFLE</t>
  </si>
  <si>
    <t>939748200</t>
  </si>
  <si>
    <t>9397482-3</t>
  </si>
  <si>
    <t>MESA ESPINEL CESAR AUGUSTO / FERRETERIA EL CERREJON</t>
  </si>
  <si>
    <t>FONSECA - LA GUAJIRA</t>
  </si>
  <si>
    <t>90020722900</t>
  </si>
  <si>
    <t>900207229-4</t>
  </si>
  <si>
    <t>METALES Y COLORES S.A.S.</t>
  </si>
  <si>
    <t>90111757500</t>
  </si>
  <si>
    <t>901117575-5</t>
  </si>
  <si>
    <t>MFG INGENIERIA S.A.S</t>
  </si>
  <si>
    <t>90075241100</t>
  </si>
  <si>
    <t>900752411-5</t>
  </si>
  <si>
    <t>MI CONSTRUCTOR M Y C S.A.S.</t>
  </si>
  <si>
    <t>90066393200</t>
  </si>
  <si>
    <t>900663932-9</t>
  </si>
  <si>
    <t>MIGUEL CEDEÑO CONSTRUCCIONES METALICAS S.A.S.</t>
  </si>
  <si>
    <t>102387903300</t>
  </si>
  <si>
    <t>1023879033-0</t>
  </si>
  <si>
    <t>MONROY PEDROZA LUIS EDUARDO/FERREPINTURAS MONROY</t>
  </si>
  <si>
    <t>90025777500</t>
  </si>
  <si>
    <t>900257775-8</t>
  </si>
  <si>
    <t>MONTESCOL S.A.S.</t>
  </si>
  <si>
    <t>413284001</t>
  </si>
  <si>
    <t>3050421300</t>
  </si>
  <si>
    <t>30504213-5</t>
  </si>
  <si>
    <t>MORENO AMAYA CECILIA/FERRETERIA HR MATERIALES</t>
  </si>
  <si>
    <t>4037042400</t>
  </si>
  <si>
    <t>40370424-1</t>
  </si>
  <si>
    <t>MORENO PEÑA YANET/PINTURAS EL CENTAURO</t>
  </si>
  <si>
    <t>107061847200</t>
  </si>
  <si>
    <t>1070618472-2</t>
  </si>
  <si>
    <t>MORENO RODRIGUEZ KAREM VANESSA/COMERCIALIZADORA Y FERRETERIA UNIVERSAL GIRARDOT</t>
  </si>
  <si>
    <t>80009689000</t>
  </si>
  <si>
    <t>800096890-2</t>
  </si>
  <si>
    <t>MUROS Y TECHOS S.A.</t>
  </si>
  <si>
    <t>90099016400</t>
  </si>
  <si>
    <t>900990164-0</t>
  </si>
  <si>
    <t>MURYTECH S.A.S.</t>
  </si>
  <si>
    <t>7435703100</t>
  </si>
  <si>
    <t>74357031-0</t>
  </si>
  <si>
    <t>NEIRA GONZALEZ JUAN CARLOS/LA ESQUINA DEL COLOR</t>
  </si>
  <si>
    <t>SAMACA - BOYACA</t>
  </si>
  <si>
    <t>8036556400</t>
  </si>
  <si>
    <t>80365564-1</t>
  </si>
  <si>
    <t>NIÑO VARGAS JOSE/INDUMETAL DEL ORIENTE</t>
  </si>
  <si>
    <t>90134279900</t>
  </si>
  <si>
    <t>901342799-1</t>
  </si>
  <si>
    <t>NOVAMADERA S.A.S</t>
  </si>
  <si>
    <t>1256755500</t>
  </si>
  <si>
    <t>12567555-3</t>
  </si>
  <si>
    <t>OCHOA FAJARDO CARLOS ENRIQUE/AGRO FERRETERIA LA CAVA</t>
  </si>
  <si>
    <t>7939282500</t>
  </si>
  <si>
    <t>79392825-8</t>
  </si>
  <si>
    <t>OCHOA MANCIPE CARLOS ORLANDO/FERRE ORIENTE</t>
  </si>
  <si>
    <t>90049929900</t>
  </si>
  <si>
    <t>900499299-1</t>
  </si>
  <si>
    <t>OCTAVIO ARREGOCES INGENIERIA SAS</t>
  </si>
  <si>
    <t>1661143900</t>
  </si>
  <si>
    <t>16611439-1</t>
  </si>
  <si>
    <t>ORDOÑEZ SANDOVAL GUIDO/PUNTO DE CONSTRUCCIONES ORDOÑEZ QUILICHAO</t>
  </si>
  <si>
    <t>111047615900</t>
  </si>
  <si>
    <t>1110476159-5</t>
  </si>
  <si>
    <t>ORJUELA GUERRERO JEIRSON ANDRES / CASA BLANCA ACABADOS</t>
  </si>
  <si>
    <t>1124523600</t>
  </si>
  <si>
    <t>11245236</t>
  </si>
  <si>
    <t>ORTEGA MORENO EDISON</t>
  </si>
  <si>
    <t>7913478400</t>
  </si>
  <si>
    <t>79134784</t>
  </si>
  <si>
    <t>ORTIZ ANZOLA LUIS FERNANDO</t>
  </si>
  <si>
    <t>5515917600</t>
  </si>
  <si>
    <t>55159176-1</t>
  </si>
  <si>
    <t>ORTIZ MURCIA CLAUDIA XIMENA</t>
  </si>
  <si>
    <t>90084610000</t>
  </si>
  <si>
    <t>900846100-4</t>
  </si>
  <si>
    <t>OVIEDO VERA INGENIEROS CONSTRUCTORES S.A.S - OVINCO S.A.S</t>
  </si>
  <si>
    <t>VILLA DEL ROSARIO - NORTE DE S</t>
  </si>
  <si>
    <t>86004009400</t>
  </si>
  <si>
    <t>860040094-3</t>
  </si>
  <si>
    <t>OXIGENOS DE COLOMBIA LTDA</t>
  </si>
  <si>
    <t>109427574800</t>
  </si>
  <si>
    <t>1094275748-3</t>
  </si>
  <si>
    <t>PABON CONTRERAS CARLOS ANDRES</t>
  </si>
  <si>
    <t>109426463600</t>
  </si>
  <si>
    <t>1094264636-1</t>
  </si>
  <si>
    <t>PABON CONTRERAS OMAR EDUARDO/CENTRO MATERIALES FERRETERIA</t>
  </si>
  <si>
    <t>4001840400</t>
  </si>
  <si>
    <t>40018404-7</t>
  </si>
  <si>
    <t>PARADA BLANCA/DISTRIFER</t>
  </si>
  <si>
    <t>7940989700</t>
  </si>
  <si>
    <t>79409897-4</t>
  </si>
  <si>
    <t>PARDO CARDOZO LUIS HERNANDO/DEPOSITO Y FERRETERIA SAN LUIS</t>
  </si>
  <si>
    <t>8600327100</t>
  </si>
  <si>
    <t>PARDO CEPEDA ORLANDO / FERRECONSTRUCCIONES EL DIAMANTE "GRANADA "</t>
  </si>
  <si>
    <t>105650648000</t>
  </si>
  <si>
    <t>1056506480</t>
  </si>
  <si>
    <t>PEÑA QUIÑONES LEIDY</t>
  </si>
  <si>
    <t>107703501900</t>
  </si>
  <si>
    <t>1077035019</t>
  </si>
  <si>
    <t>PEÑALOZA RODIRGUEZ NATALIA</t>
  </si>
  <si>
    <t>SUBACHOQUE - CUNDINAMARCA</t>
  </si>
  <si>
    <t>109165325700</t>
  </si>
  <si>
    <t>PEREZ QUINTERO ZULEIDY / FERRETERIA EMANUEL Z "SUC OCAÑA"</t>
  </si>
  <si>
    <t>90138576100</t>
  </si>
  <si>
    <t>901385761-7</t>
  </si>
  <si>
    <t>PERFILES Y ACEROS INDUFEL S.A.S.</t>
  </si>
  <si>
    <t>1893448500</t>
  </si>
  <si>
    <t>18934485-2</t>
  </si>
  <si>
    <t>PIÑERES MACIAS ARMANDO / SISOLDA</t>
  </si>
  <si>
    <t>90158175700</t>
  </si>
  <si>
    <t>901581757-7</t>
  </si>
  <si>
    <t>PINTAMARKET S A S</t>
  </si>
  <si>
    <t>CASTILLA LA NUEVA - META</t>
  </si>
  <si>
    <t>101235335800</t>
  </si>
  <si>
    <t>1012353358-0</t>
  </si>
  <si>
    <t>PINTO JAIME JEFFERSON / FERREVIDRIOS VILLA SANDRA</t>
  </si>
  <si>
    <t>90128460900</t>
  </si>
  <si>
    <t>901284609-1</t>
  </si>
  <si>
    <t>PINTURAS CERETE S.A.S. / PINTURAS CERETE</t>
  </si>
  <si>
    <t>90149615200</t>
  </si>
  <si>
    <t>901496152-8</t>
  </si>
  <si>
    <t>PLAFECOL S.A.S.</t>
  </si>
  <si>
    <t>GALAPA - ATLANTICO</t>
  </si>
  <si>
    <t>106772292200</t>
  </si>
  <si>
    <t>1067722922-9</t>
  </si>
  <si>
    <t>PRADO ASCANIO EDUIN /MEZCLAS Y ACABADOS PRAGA</t>
  </si>
  <si>
    <t>90109834500</t>
  </si>
  <si>
    <t>901098345-5</t>
  </si>
  <si>
    <t>PREFABRICADOS METALICOS DE BOGOTA S.A.S.</t>
  </si>
  <si>
    <t>108295471600</t>
  </si>
  <si>
    <t>1082954716-8</t>
  </si>
  <si>
    <t>PRIETO MORANTES STHEPHANNY YISED/PINTURAS Y MOLDURAS EL GRANITO</t>
  </si>
  <si>
    <t>80021037500</t>
  </si>
  <si>
    <t>800210375-1</t>
  </si>
  <si>
    <t>PROCARDIO SERVICIOS MEDICOS INTEGRALES S.A.S</t>
  </si>
  <si>
    <t>7944817500</t>
  </si>
  <si>
    <t>79448175-1</t>
  </si>
  <si>
    <t>PUENTES FUENTES FLAMINIO/FERRETERIA PINTUDARO</t>
  </si>
  <si>
    <t>6039052300</t>
  </si>
  <si>
    <t>60390523-0</t>
  </si>
  <si>
    <t>QUINTERO BONETH DIANA PATRICIA</t>
  </si>
  <si>
    <t>LA GLORIA - CESAR</t>
  </si>
  <si>
    <t>5270637300</t>
  </si>
  <si>
    <t>52706373-2</t>
  </si>
  <si>
    <t>QUINTERO HENAO JEINNY JAGEL/ELECTRICOS FERRETERIA LA MUNDIAL</t>
  </si>
  <si>
    <t>8075674400</t>
  </si>
  <si>
    <t>80756744</t>
  </si>
  <si>
    <t>RAMIREZ CORTES NICOLAS</t>
  </si>
  <si>
    <t>100677203300</t>
  </si>
  <si>
    <t>1006772033-8</t>
  </si>
  <si>
    <t>RAMIREZ MARTINEZ DAVID FERNANDOS / DISTRIPINTURAS DS</t>
  </si>
  <si>
    <t>3528606000</t>
  </si>
  <si>
    <t>35286060-7</t>
  </si>
  <si>
    <t>RAMOS DAZA GLADYS AURORA/FERRETERIA JG TU MEJORA HERRAMIENTA PARA LA CONSTRUCCION</t>
  </si>
  <si>
    <t>41327600</t>
  </si>
  <si>
    <t>413276-9</t>
  </si>
  <si>
    <t>RAUL PINEDA ALVARADO</t>
  </si>
  <si>
    <t>7969317900</t>
  </si>
  <si>
    <t>RENE LEON</t>
  </si>
  <si>
    <t>2332211100</t>
  </si>
  <si>
    <t>23322111-5</t>
  </si>
  <si>
    <t>RINCON DE CEPEDA MARIA MARGARITA/STAR COLORS</t>
  </si>
  <si>
    <t>8009680600</t>
  </si>
  <si>
    <t>80096806-2</t>
  </si>
  <si>
    <t>RIVERA NOREÑA EDWIN HOLMAN</t>
  </si>
  <si>
    <t>5210650600</t>
  </si>
  <si>
    <t>52106506-0</t>
  </si>
  <si>
    <t>RIVERA TORRES MARLEN /FERRELECTRICOS RIVERA</t>
  </si>
  <si>
    <t>1151600600</t>
  </si>
  <si>
    <t>11516006-1</t>
  </si>
  <si>
    <t>ROBAYO CRISTANCHO DANIEL/FERRIMADERAS LA CIMA</t>
  </si>
  <si>
    <t>3608977900</t>
  </si>
  <si>
    <t>36089779-2</t>
  </si>
  <si>
    <t>ROCHA CORTES ALBA YINETH / ROCHYS MATERIALES PARA LA CONSTRUCCION</t>
  </si>
  <si>
    <t>105468291000</t>
  </si>
  <si>
    <t>1054682910</t>
  </si>
  <si>
    <t>RODRIGUEZ DAVILA JAIR</t>
  </si>
  <si>
    <t>9101705800</t>
  </si>
  <si>
    <t>91017058-2</t>
  </si>
  <si>
    <t>RODRIGUEZ PEÑA WILLIAM ANTONIO / FERRETERIA EL CONSTRUCTOR</t>
  </si>
  <si>
    <t>6332254600</t>
  </si>
  <si>
    <t>63322546-0</t>
  </si>
  <si>
    <t>ROJAS LUZ MARINA / FERRETERIA VINICOLOR</t>
  </si>
  <si>
    <t>771912600</t>
  </si>
  <si>
    <t>7719126-2</t>
  </si>
  <si>
    <t>ROJAS OBANDO FEDERICO/ FERRETERIA LAS F</t>
  </si>
  <si>
    <t>7964599600</t>
  </si>
  <si>
    <t>79645990-6</t>
  </si>
  <si>
    <t>RUGE JIMENEZ LUIS ALEJANDRO</t>
  </si>
  <si>
    <t>7970740700</t>
  </si>
  <si>
    <t>79707407-7</t>
  </si>
  <si>
    <t>RUIZ GARZON EDWIN LEONARDO</t>
  </si>
  <si>
    <t>7715144300</t>
  </si>
  <si>
    <t>77151443-7</t>
  </si>
  <si>
    <t>RUIZ YERENA RAFAEL / FERRETERIA PANASSONI R.E.C "LA VICTORIA DE SAN ISIDRO"</t>
  </si>
  <si>
    <t>90137219600</t>
  </si>
  <si>
    <t>901372196-9</t>
  </si>
  <si>
    <t>SAES ACERO SAS</t>
  </si>
  <si>
    <t>8038131900</t>
  </si>
  <si>
    <t>80381319-9</t>
  </si>
  <si>
    <t>SALAS MATEUS HUGO ENRIQUE/FERRETERIA USME H S</t>
  </si>
  <si>
    <t>1758092300</t>
  </si>
  <si>
    <t>17580923-2</t>
  </si>
  <si>
    <t>SANCHEZ PEREZ MIGUEL EDUARDO / TALLER METALURGICAS DEL LLANO</t>
  </si>
  <si>
    <t>100051366100</t>
  </si>
  <si>
    <t>1000513661</t>
  </si>
  <si>
    <t>SARA DANIELA CASTILLO LOPEZ</t>
  </si>
  <si>
    <t>81102332100</t>
  </si>
  <si>
    <t>811023321-0</t>
  </si>
  <si>
    <t>SEIMA LTDA</t>
  </si>
  <si>
    <t>YONDO - ANTIOQUIA</t>
  </si>
  <si>
    <t>90091689200</t>
  </si>
  <si>
    <t>900916892-1</t>
  </si>
  <si>
    <t>SEPSPEC SAS</t>
  </si>
  <si>
    <t>80016967401</t>
  </si>
  <si>
    <t>800169674-2</t>
  </si>
  <si>
    <t>SNA SELLOS NORMALIZADOS PARA ACEITE S.A.S</t>
  </si>
  <si>
    <t>4151828500</t>
  </si>
  <si>
    <t>41518285-6</t>
  </si>
  <si>
    <t>SOLANGE BONILLA LOZANO</t>
  </si>
  <si>
    <t>9834710300</t>
  </si>
  <si>
    <t>98347103-7</t>
  </si>
  <si>
    <t>SOLARTE SALAZAR OSCAR EMILIO/SU CASA FERRETERA O M</t>
  </si>
  <si>
    <t>80020591400</t>
  </si>
  <si>
    <t>800205914-1</t>
  </si>
  <si>
    <t>SOLUCIONES INTEGRALES UNION S.A.S.</t>
  </si>
  <si>
    <t>90095398800</t>
  </si>
  <si>
    <t>900953988-5</t>
  </si>
  <si>
    <t>SPACES INGENIERIA Y DISEÑO S.A.S.</t>
  </si>
  <si>
    <t>1764573000</t>
  </si>
  <si>
    <t>17645730-9</t>
  </si>
  <si>
    <t>SUAREZ ASCENCIO BERNARDO/PINTURAS MARACOLOR</t>
  </si>
  <si>
    <t>86035092200</t>
  </si>
  <si>
    <t>860350922-7</t>
  </si>
  <si>
    <t>TECNINTEGRAL S.A.S.</t>
  </si>
  <si>
    <t>83200548600</t>
  </si>
  <si>
    <t>832005486-7</t>
  </si>
  <si>
    <t>TODO EN SUMINISTROS CUYA SIGLA ES COMERCIALIZADORA EL GUAVIO LTDA</t>
  </si>
  <si>
    <t>90056561700</t>
  </si>
  <si>
    <t>900565617-3</t>
  </si>
  <si>
    <t>TODOFER DISTRIBUCIONES S.A.S.</t>
  </si>
  <si>
    <t>1733073400</t>
  </si>
  <si>
    <t>17330734-5</t>
  </si>
  <si>
    <t>TORRES CASTRILLO OSCAR/PINTURAS MUNDICOLOR</t>
  </si>
  <si>
    <t>2094741400</t>
  </si>
  <si>
    <t>20947414-3</t>
  </si>
  <si>
    <t>TORRES LEON MARIA TERESA/FERRELECTRICOS LA MONTANA</t>
  </si>
  <si>
    <t>5283614200</t>
  </si>
  <si>
    <t>52836142-5</t>
  </si>
  <si>
    <t>TORRES PEÑA INGRID LILIANA / FERRETERIA LA W</t>
  </si>
  <si>
    <t>90131651500</t>
  </si>
  <si>
    <t>901316515-7</t>
  </si>
  <si>
    <t>TOTALUM S.A.S.</t>
  </si>
  <si>
    <t>83012665900</t>
  </si>
  <si>
    <t>830126659-6</t>
  </si>
  <si>
    <t>TRANSPORTES ALVAREZ S.A.S.</t>
  </si>
  <si>
    <t>830058315011</t>
  </si>
  <si>
    <t>830058315-6</t>
  </si>
  <si>
    <t>TREFILADOS DE COLOMBIA S.A.S-CUCUTA</t>
  </si>
  <si>
    <t>83005831505</t>
  </si>
  <si>
    <t>TREFILADOS DE COLOMBIA S.A.S-VILLAVICENCIO</t>
  </si>
  <si>
    <t>5505705500</t>
  </si>
  <si>
    <t>55057055-0</t>
  </si>
  <si>
    <t>TRIANA OTALORA IRMA /FERRECONSTRUCTOR LA 12</t>
  </si>
  <si>
    <t>90135983700</t>
  </si>
  <si>
    <t>901359837-8</t>
  </si>
  <si>
    <t>TUL S.A.S.</t>
  </si>
  <si>
    <t>3387516400</t>
  </si>
  <si>
    <t>33875164-4</t>
  </si>
  <si>
    <t>UBAQUE SANDRA MILENA/DISTRIBUCIONES MATHIS</t>
  </si>
  <si>
    <t>PALOCABILDO - TOLIMA</t>
  </si>
  <si>
    <t>5234534800</t>
  </si>
  <si>
    <t>52345348-8</t>
  </si>
  <si>
    <t>VALDES NIMISCA LUZ DARY/FERRETERIA Y ELECTRICOS L2 VALDES</t>
  </si>
  <si>
    <t>89080356800</t>
  </si>
  <si>
    <t>890803568-7</t>
  </si>
  <si>
    <t>VALTA S.A.S</t>
  </si>
  <si>
    <t>7915229700</t>
  </si>
  <si>
    <t>79152297-1</t>
  </si>
  <si>
    <t>VARGAS CEBALLOS JULIO EDUARDO /  QUINTA EL REFUGIO</t>
  </si>
  <si>
    <t>111752686700</t>
  </si>
  <si>
    <t>1117526867-2</t>
  </si>
  <si>
    <t>VEGA ALVEAR YEFFERSON/ ALMACEN DE PINTURAS PINTATODO</t>
  </si>
  <si>
    <t>90116832100</t>
  </si>
  <si>
    <t>901168321-1</t>
  </si>
  <si>
    <t>VIAR VIVAS ARQUITECTOS S.A.S.</t>
  </si>
  <si>
    <t>1658406400</t>
  </si>
  <si>
    <t>16584064</t>
  </si>
  <si>
    <t>VICTOR FLOREZ</t>
  </si>
  <si>
    <t>35532666</t>
  </si>
  <si>
    <t>VILLARRAGA SANDRA PATRICIA</t>
  </si>
  <si>
    <t>80017952700</t>
  </si>
  <si>
    <t>800179527-0</t>
  </si>
  <si>
    <t>WATER PURIFIERS AGUA SISTEMAS DE PURIFICACION S.A.S.</t>
  </si>
  <si>
    <t>10495004800</t>
  </si>
  <si>
    <t>10495048-3</t>
  </si>
  <si>
    <t>YATACUE PECHENE LUIS ALFONSO/FERRETERIA Y GRANOS MANANTIAL DE VIDA</t>
  </si>
  <si>
    <t>TORIBIO - CAUCA</t>
  </si>
  <si>
    <t>8601424100</t>
  </si>
  <si>
    <t>86014241-2</t>
  </si>
  <si>
    <t>YEPES BARRIOS LUIS FERNANDO /  SOLO MEZCLAS VISTAHERMOSA I</t>
  </si>
  <si>
    <t>VISTA HERMOSA - META</t>
  </si>
  <si>
    <t>446586700</t>
  </si>
  <si>
    <t>4465867-9</t>
  </si>
  <si>
    <t>RENDON VARGAS ELIAS/FERRETERIA PINTURENDON</t>
  </si>
  <si>
    <t>MONTENEGRO - QUINDIO</t>
  </si>
  <si>
    <t>90137753100</t>
  </si>
  <si>
    <t>901377531-6</t>
  </si>
  <si>
    <t>CERAMIKA Y DEKORADOS SAS</t>
  </si>
  <si>
    <t>VENTAS 2024</t>
  </si>
  <si>
    <t>VENTAS 2025</t>
  </si>
  <si>
    <t>CRECIMIENTO</t>
  </si>
  <si>
    <t>PARTICIPACIÓN GENERAL</t>
  </si>
  <si>
    <t>CRECIMIENTO VS 2024</t>
  </si>
  <si>
    <t>CRECIMIENTO DETALLADO X ZONA VS 2024</t>
  </si>
  <si>
    <t>Cauca</t>
  </si>
  <si>
    <t>Eje Cafetero</t>
  </si>
  <si>
    <t>Nariño</t>
  </si>
  <si>
    <t>Putumayo</t>
  </si>
  <si>
    <t>PARTICIPACIÓN ZONA 2025</t>
  </si>
  <si>
    <t>Tolima Norte</t>
  </si>
  <si>
    <t>Tolima Sur</t>
  </si>
  <si>
    <t>Sabana Centro</t>
  </si>
  <si>
    <t xml:space="preserve">Boyaca </t>
  </si>
  <si>
    <t>Casanare</t>
  </si>
  <si>
    <t>Guaviare</t>
  </si>
  <si>
    <t>Huila-Caqueta</t>
  </si>
  <si>
    <t>Meta</t>
  </si>
  <si>
    <t>Santander 2</t>
  </si>
  <si>
    <t>Norte del Santander</t>
  </si>
  <si>
    <t>Arauca</t>
  </si>
  <si>
    <t>Cesar</t>
  </si>
  <si>
    <t>Ciudad Bolivar</t>
  </si>
  <si>
    <t>Candelaria</t>
  </si>
  <si>
    <t>Martires</t>
  </si>
  <si>
    <t>Puente Aranda</t>
  </si>
  <si>
    <t>San Cristobal</t>
  </si>
  <si>
    <t>Santafe</t>
  </si>
  <si>
    <t>Usme</t>
  </si>
  <si>
    <t>Costa Centro</t>
  </si>
  <si>
    <t>Costa Norte</t>
  </si>
  <si>
    <t>Costa Sur</t>
  </si>
  <si>
    <t>ASESORES VIAJEROS</t>
  </si>
  <si>
    <t>Barrios Unidos</t>
  </si>
  <si>
    <t>Chapinero</t>
  </si>
  <si>
    <t>Fontibon</t>
  </si>
  <si>
    <t>Teusaquillo</t>
  </si>
  <si>
    <t>Sabana Occidente</t>
  </si>
  <si>
    <t>Suba</t>
  </si>
  <si>
    <t>Engativa</t>
  </si>
  <si>
    <t>Usaquen</t>
  </si>
  <si>
    <t>Antonio Nariño</t>
  </si>
  <si>
    <t>Bosa</t>
  </si>
  <si>
    <t>Kennedy</t>
  </si>
  <si>
    <t>Rafael Uribe Uribe</t>
  </si>
  <si>
    <t>Tunjuelito</t>
  </si>
  <si>
    <t>Soacha - Sibate</t>
  </si>
  <si>
    <t>ASESORTES BOGOTA</t>
  </si>
  <si>
    <t>CRECIMIENTO CLIENTES VS 2024</t>
  </si>
  <si>
    <t>CLIENTE</t>
  </si>
  <si>
    <t xml:space="preserve">CRECIMIENTO  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</si>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</sst>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charset val="238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9F99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2">
    <xf numFmtId="0" fontId="0" fillId="0" borderId="0" xfId="0"/>
    <xf numFmtId="42" fontId="0" fillId="0" borderId="0" xfId="42" applyFont="1"/>
    <xf numFmtId="42" fontId="0" fillId="0" borderId="10" xfId="42" applyFont="1" applyBorder="1"/>
    <xf numFmtId="42" fontId="18" fillId="0" borderId="11" xfId="42" applyFont="1" applyBorder="1"/>
    <xf numFmtId="0" fontId="0" fillId="0" borderId="10" xfId="0" applyBorder="1"/>
    <xf numFmtId="0" fontId="18" fillId="0" borderId="10" xfId="0" applyFont="1" applyBorder="1" applyAlignment="1">
      <alignment horizontal="center"/>
    </xf>
    <xf numFmtId="42" fontId="18" fillId="0" borderId="10" xfId="42" applyFont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12" xfId="0" applyBorder="1"/>
    <xf numFmtId="10" fontId="0" fillId="0" borderId="10" xfId="43" applyNumberFormat="1" applyFont="1" applyBorder="1"/>
    <xf numFmtId="10" fontId="0" fillId="0" borderId="10" xfId="43" applyNumberFormat="1" applyFont="1" applyBorder="1" applyAlignment="1">
      <alignment horizontal="center"/>
    </xf>
    <xf numFmtId="0" fontId="0" fillId="0" borderId="10" xfId="0" applyBorder="1" applyAlignment="1">
      <alignment horizontal="left"/>
    </xf>
    <xf numFmtId="9" fontId="18" fillId="0" borderId="10" xfId="0" applyNumberFormat="1" applyFont="1" applyBorder="1" applyAlignment="1">
      <alignment horizontal="center"/>
    </xf>
    <xf numFmtId="42" fontId="18" fillId="0" borderId="10" xfId="0" applyNumberFormat="1" applyFont="1" applyBorder="1"/>
    <xf numFmtId="0" fontId="0" fillId="0" borderId="10" xfId="0" applyBorder="1" applyAlignment="1">
      <alignment horizontal="center"/>
    </xf>
    <xf numFmtId="42" fontId="0" fillId="0" borderId="10" xfId="42" applyFont="1" applyBorder="1" applyAlignment="1">
      <alignment horizontal="center"/>
    </xf>
    <xf numFmtId="0" fontId="0" fillId="0" borderId="0" xfId="0" applyAlignment="1">
      <alignment horizontal="center"/>
    </xf>
    <xf numFmtId="42" fontId="18" fillId="0" borderId="10" xfId="42" applyFont="1" applyBorder="1"/>
    <xf numFmtId="10" fontId="18" fillId="0" borderId="10" xfId="43" applyNumberFormat="1" applyFont="1" applyBorder="1" applyAlignment="1"/>
    <xf numFmtId="0" fontId="0" fillId="34" borderId="13" xfId="0" applyFill="1" applyBorder="1"/>
    <xf numFmtId="42" fontId="0" fillId="34" borderId="13" xfId="42" applyFont="1" applyFill="1" applyBorder="1" applyAlignment="1"/>
    <xf numFmtId="0" fontId="18" fillId="0" borderId="13" xfId="0" applyFont="1" applyBorder="1" applyAlignment="1">
      <alignment horizontal="center"/>
    </xf>
    <xf numFmtId="0" fontId="0" fillId="33" borderId="13" xfId="0" applyFill="1" applyBorder="1"/>
    <xf numFmtId="42" fontId="0" fillId="33" borderId="13" xfId="42" applyFont="1" applyFill="1" applyBorder="1" applyAlignment="1"/>
    <xf numFmtId="10" fontId="18" fillId="33" borderId="13" xfId="43" applyNumberFormat="1" applyFont="1" applyFill="1" applyBorder="1" applyAlignment="1"/>
    <xf numFmtId="10" fontId="18" fillId="34" borderId="13" xfId="43" applyNumberFormat="1" applyFont="1" applyFill="1" applyBorder="1" applyAlignment="1"/>
    <xf numFmtId="0" fontId="0" fillId="35" borderId="13" xfId="0" applyFill="1" applyBorder="1"/>
    <xf numFmtId="42" fontId="0" fillId="35" borderId="13" xfId="42" applyFont="1" applyFill="1" applyBorder="1" applyAlignment="1"/>
    <xf numFmtId="10" fontId="18" fillId="35" borderId="13" xfId="43" applyNumberFormat="1" applyFont="1" applyFill="1" applyBorder="1" applyAlignment="1"/>
    <xf numFmtId="0" fontId="0" fillId="36" borderId="13" xfId="0" applyFill="1" applyBorder="1"/>
    <xf numFmtId="42" fontId="0" fillId="36" borderId="13" xfId="42" applyFont="1" applyFill="1" applyBorder="1" applyAlignment="1"/>
    <xf numFmtId="10" fontId="18" fillId="36" borderId="13" xfId="43" applyNumberFormat="1" applyFont="1" applyFill="1" applyBorder="1" applyAlignment="1"/>
    <xf numFmtId="0" fontId="0" fillId="37" borderId="13" xfId="0" applyFill="1" applyBorder="1"/>
    <xf numFmtId="42" fontId="0" fillId="37" borderId="13" xfId="42" applyFont="1" applyFill="1" applyBorder="1" applyAlignment="1"/>
    <xf numFmtId="10" fontId="18" fillId="37" borderId="13" xfId="43" applyNumberFormat="1" applyFont="1" applyFill="1" applyBorder="1" applyAlignment="1"/>
    <xf numFmtId="0" fontId="0" fillId="38" borderId="13" xfId="0" applyFill="1" applyBorder="1"/>
    <xf numFmtId="42" fontId="0" fillId="38" borderId="13" xfId="42" applyFont="1" applyFill="1" applyBorder="1" applyAlignment="1"/>
    <xf numFmtId="10" fontId="18" fillId="38" borderId="13" xfId="43" applyNumberFormat="1" applyFont="1" applyFill="1" applyBorder="1" applyAlignment="1"/>
    <xf numFmtId="0" fontId="0" fillId="40" borderId="13" xfId="0" applyFill="1" applyBorder="1"/>
    <xf numFmtId="0" fontId="0" fillId="41" borderId="13" xfId="0" applyFill="1" applyBorder="1"/>
    <xf numFmtId="42" fontId="0" fillId="41" borderId="13" xfId="42" applyFont="1" applyFill="1" applyBorder="1" applyAlignment="1"/>
    <xf numFmtId="10" fontId="18" fillId="41" borderId="13" xfId="43" applyNumberFormat="1" applyFont="1" applyFill="1" applyBorder="1" applyAlignment="1"/>
    <xf numFmtId="42" fontId="0" fillId="40" borderId="13" xfId="42" applyFont="1" applyFill="1" applyBorder="1" applyAlignment="1"/>
    <xf numFmtId="10" fontId="18" fillId="40" borderId="13" xfId="43" applyNumberFormat="1" applyFont="1" applyFill="1" applyBorder="1" applyAlignment="1"/>
    <xf numFmtId="0" fontId="0" fillId="42" borderId="13" xfId="0" applyFill="1" applyBorder="1"/>
    <xf numFmtId="42" fontId="0" fillId="42" borderId="13" xfId="42" applyFont="1" applyFill="1" applyBorder="1" applyAlignment="1"/>
    <xf numFmtId="10" fontId="18" fillId="42" borderId="13" xfId="43" applyNumberFormat="1" applyFont="1" applyFill="1" applyBorder="1" applyAlignment="1"/>
    <xf numFmtId="0" fontId="18" fillId="0" borderId="11" xfId="0" applyFont="1" applyBorder="1" applyAlignment="1">
      <alignment horizontal="center"/>
    </xf>
    <xf numFmtId="42" fontId="18" fillId="0" borderId="11" xfId="42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43" borderId="13" xfId="0" applyFont="1" applyFill="1" applyBorder="1" applyAlignment="1">
      <alignment horizontal="center"/>
    </xf>
    <xf numFmtId="42" fontId="0" fillId="0" borderId="13" xfId="42" applyFont="1" applyBorder="1"/>
    <xf numFmtId="0" fontId="0" fillId="0" borderId="13" xfId="0" applyBorder="1" applyAlignment="1">
      <alignment horizontal="center"/>
    </xf>
    <xf numFmtId="10" fontId="18" fillId="43" borderId="13" xfId="43" applyNumberFormat="1" applyFont="1" applyFill="1" applyBorder="1" applyAlignment="1">
      <alignment horizontal="center"/>
    </xf>
    <xf numFmtId="42" fontId="0" fillId="0" borderId="0" xfId="0" applyNumberFormat="1"/>
    <xf numFmtId="42" fontId="0" fillId="0" borderId="10" xfId="0" applyNumberFormat="1" applyBorder="1"/>
    <xf numFmtId="0" fontId="18" fillId="0" borderId="20" xfId="0" applyFont="1" applyBorder="1" applyAlignment="1">
      <alignment horizontal="center"/>
    </xf>
    <xf numFmtId="42" fontId="0" fillId="0" borderId="11" xfId="0" applyNumberFormat="1" applyBorder="1"/>
    <xf numFmtId="42" fontId="0" fillId="0" borderId="19" xfId="0" applyNumberFormat="1" applyBorder="1"/>
    <xf numFmtId="0" fontId="0" fillId="44" borderId="13" xfId="0" applyFill="1" applyBorder="1"/>
    <xf numFmtId="42" fontId="0" fillId="44" borderId="13" xfId="42" applyFont="1" applyFill="1" applyBorder="1" applyAlignment="1"/>
    <xf numFmtId="10" fontId="18" fillId="44" borderId="13" xfId="43" applyNumberFormat="1" applyFont="1" applyFill="1" applyBorder="1" applyAlignment="1"/>
    <xf numFmtId="0" fontId="20" fillId="0" borderId="10" xfId="0" applyFont="1" applyBorder="1"/>
    <xf numFmtId="10" fontId="18" fillId="33" borderId="21" xfId="43" applyNumberFormat="1" applyFont="1" applyFill="1" applyBorder="1" applyAlignment="1"/>
    <xf numFmtId="10" fontId="18" fillId="36" borderId="21" xfId="43" applyNumberFormat="1" applyFont="1" applyFill="1" applyBorder="1" applyAlignment="1"/>
    <xf numFmtId="10" fontId="18" fillId="35" borderId="21" xfId="43" applyNumberFormat="1" applyFont="1" applyFill="1" applyBorder="1" applyAlignment="1"/>
    <xf numFmtId="10" fontId="18" fillId="44" borderId="21" xfId="43" applyNumberFormat="1" applyFont="1" applyFill="1" applyBorder="1" applyAlignment="1"/>
    <xf numFmtId="10" fontId="18" fillId="38" borderId="21" xfId="43" applyNumberFormat="1" applyFont="1" applyFill="1" applyBorder="1" applyAlignment="1"/>
    <xf numFmtId="10" fontId="18" fillId="34" borderId="21" xfId="43" applyNumberFormat="1" applyFont="1" applyFill="1" applyBorder="1" applyAlignment="1"/>
    <xf numFmtId="10" fontId="18" fillId="37" borderId="21" xfId="43" applyNumberFormat="1" applyFont="1" applyFill="1" applyBorder="1" applyAlignment="1"/>
    <xf numFmtId="10" fontId="18" fillId="40" borderId="21" xfId="43" applyNumberFormat="1" applyFont="1" applyFill="1" applyBorder="1" applyAlignment="1"/>
    <xf numFmtId="10" fontId="18" fillId="42" borderId="21" xfId="43" applyNumberFormat="1" applyFont="1" applyFill="1" applyBorder="1" applyAlignment="1"/>
    <xf numFmtId="10" fontId="18" fillId="41" borderId="21" xfId="43" applyNumberFormat="1" applyFont="1" applyFill="1" applyBorder="1" applyAlignment="1"/>
    <xf numFmtId="10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33" borderId="17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9" fillId="39" borderId="10" xfId="0" applyFont="1" applyFill="1" applyBorder="1" applyAlignment="1">
      <alignment vertical="center" textRotation="255" wrapText="1"/>
    </xf>
    <xf numFmtId="0" fontId="18" fillId="34" borderId="17" xfId="0" applyFont="1" applyFill="1" applyBorder="1" applyAlignment="1">
      <alignment horizontal="center" vertical="center"/>
    </xf>
    <xf numFmtId="0" fontId="18" fillId="35" borderId="17" xfId="0" applyFont="1" applyFill="1" applyBorder="1" applyAlignment="1">
      <alignment horizontal="center" vertical="center"/>
    </xf>
    <xf numFmtId="0" fontId="18" fillId="40" borderId="13" xfId="0" applyFont="1" applyFill="1" applyBorder="1" applyAlignment="1">
      <alignment horizontal="center" vertical="center"/>
    </xf>
    <xf numFmtId="0" fontId="18" fillId="43" borderId="13" xfId="0" applyFont="1" applyFill="1" applyBorder="1" applyAlignment="1">
      <alignment horizontal="center"/>
    </xf>
    <xf numFmtId="0" fontId="18" fillId="42" borderId="13" xfId="0" applyFont="1" applyFill="1" applyBorder="1" applyAlignment="1">
      <alignment horizontal="center" vertical="center"/>
    </xf>
    <xf numFmtId="0" fontId="18" fillId="41" borderId="13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textRotation="255" wrapText="1"/>
    </xf>
    <xf numFmtId="0" fontId="18" fillId="0" borderId="13" xfId="0" applyFont="1" applyBorder="1" applyAlignment="1">
      <alignment horizontal="center" vertical="center" textRotation="255" wrapText="1"/>
    </xf>
    <xf numFmtId="0" fontId="18" fillId="36" borderId="17" xfId="0" applyFont="1" applyFill="1" applyBorder="1" applyAlignment="1">
      <alignment horizontal="center" vertical="center"/>
    </xf>
    <xf numFmtId="0" fontId="18" fillId="38" borderId="17" xfId="0" applyFont="1" applyFill="1" applyBorder="1" applyAlignment="1">
      <alignment horizontal="center" vertical="center"/>
    </xf>
    <xf numFmtId="0" fontId="18" fillId="37" borderId="15" xfId="0" applyFont="1" applyFill="1" applyBorder="1" applyAlignment="1">
      <alignment horizontal="center" vertical="center"/>
    </xf>
    <xf numFmtId="0" fontId="18" fillId="37" borderId="14" xfId="0" applyFont="1" applyFill="1" applyBorder="1" applyAlignment="1">
      <alignment horizontal="center" vertical="center"/>
    </xf>
    <xf numFmtId="0" fontId="18" fillId="37" borderId="16" xfId="0" applyFont="1" applyFill="1" applyBorder="1" applyAlignment="1">
      <alignment horizontal="center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 [0]" xfId="42" builtinId="7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2">
    <dxf>
      <numFmt numFmtId="32" formatCode="_-&quot;$&quot;\ * #,##0_-;\-&quot;$&quot;\ * #,##0_-;_-&quot;$&quot;\ * &quot;-&quot;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numFmt numFmtId="14" formatCode="0.0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38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9F99B"/>
      <color rgb="FF3889FE"/>
      <color rgb="FF000000"/>
      <color rgb="FF4FFA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D2D66-4183-2041-88E5-9A3E59E1611A}" name="Tabla4" displayName="Tabla4" ref="A1:R2034" totalsRowShown="0" headerRowDxfId="41" headerRowBorderDxfId="40" tableBorderDxfId="39">
  <autoFilter ref="A1:R2034" xr:uid="{26FD2D66-4183-2041-88E5-9A3E59E1611A}">
    <filterColumn colId="3">
      <filters>
        <filter val="G Y J  FERRETERIAS S.A.  - NEIVA"/>
        <filter val="G Y J  FERRETERIAS S.A.  - SINCELEJO"/>
        <filter val="G Y J  FERRETERIAS S.A.  - UNES YOPAL"/>
        <filter val="G Y J  FERRETERIAS S.A.  -BOGOTA"/>
        <filter val="G Y J  FERRETERIAS S.A. -  GIRARDOT"/>
        <filter val="G Y J  FERRETERIAS S.A. - &quot; TIBASOSA &quot;"/>
        <filter val="G Y J  FERRETERIAS S.A. - BARRANCA"/>
        <filter val="G Y J  FERRETERIAS S.A. - BARRANQUILLA"/>
        <filter val="G Y J  FERRETERIAS S.A. - BELLO ANTIOQUIA"/>
        <filter val="G Y J  FERRETERIAS S.A. - CALI"/>
        <filter val="G Y J  FERRETERIAS S.A. - CARTAGO"/>
        <filter val="G Y J  FERRETERIAS S.A. - FLORENCIA"/>
        <filter val="G Y J  FERRETERIAS S.A. - FUNZA"/>
        <filter val="G Y J  FERRETERIAS S.A. - IBAGUE JARDIN"/>
        <filter val="G Y J  FERRETERIAS S.A. - MALAMBO"/>
        <filter val="G Y J  FERRETERIAS S.A. - MARINILLA"/>
        <filter val="G Y J  FERRETERIAS S.A. - PALOQUEMAO"/>
        <filter val="G Y J  FERRETERIAS S.A. - PASTO"/>
        <filter val="G Y J  FERRETERIAS S.A. - PEREIRA"/>
        <filter val="G Y J  FERRETERIAS S.A. - SABANETA"/>
        <filter val="G Y J  FERRETERIAS S.A. - TUNJA"/>
        <filter val="G Y J  FERRETERIAS S.A. - UNES BOGOTA SUR"/>
        <filter val="G Y J  FERRETERIAS S.A. - VILLAVICENCIO"/>
        <filter val="G Y J  FERRETERIAS S.A. -VALLEDUPAR - LA CASITA"/>
        <filter val="G Y J  FERRETERIAS S.A.-MIROLINDO"/>
        <filter val="G Y J FERRETERIAS  S.A. - YUMBO"/>
        <filter val="G Y J FERRETERIAS  S.A. -CUCUTA"/>
        <filter val="G Y J FERRETERIAS  S.A. -DORADA"/>
        <filter val="G Y J FERRETERIAS  S.A.-CR 1"/>
        <filter val="G Y J FERRETERIAS S.A. - DUITAMA AMERICAS"/>
      </filters>
    </filterColumn>
  </autoFilter>
  <tableColumns count="18">
    <tableColumn id="1" xr3:uid="{B687BC23-2E60-0145-A38B-3C8AB045C5B4}" name="#" dataDxfId="38"/>
    <tableColumn id="2" xr3:uid="{3A12AF58-06D7-0140-B973-F0F8C3E628FC}" name="Valor Bruto" dataDxfId="37" dataCellStyle="Moneda [0]"/>
    <tableColumn id="3" xr3:uid="{A0B02876-119A-BD48-AC5F-880E8A9C5A3B}" name="Descuento" dataDxfId="36" dataCellStyle="Moneda [0]"/>
    <tableColumn id="19" xr3:uid="{BE47E125-E4C9-7C49-89A2-D6677E2306C8}" name="Nombre de cliente/proveedor" dataDxfId="35" dataCellStyle="Moneda [0]"/>
    <tableColumn id="4" xr3:uid="{A6207E8F-BF7F-6346-8A38-7731132E8A5D}" name="Subtotal" dataDxfId="34" dataCellStyle="Moneda [0]"/>
    <tableColumn id="5" xr3:uid="{B0BA2A4A-66C3-7145-8E22-2694622D5CE0}" name="Impuesto" dataDxfId="33" dataCellStyle="Moneda [0]"/>
    <tableColumn id="6" xr3:uid="{0BEB4101-A289-7240-B7D8-C3DC777C133E}" name="ReteFuente" dataDxfId="32" dataCellStyle="Moneda [0]"/>
    <tableColumn id="7" xr3:uid="{E4E19419-3032-554A-8461-FB8081E9773F}" name="Rete IVA" dataDxfId="31"/>
    <tableColumn id="8" xr3:uid="{442924C3-1F0E-2647-A2B4-7FD0D5795B56}" name="Rete ICA" dataDxfId="30"/>
    <tableColumn id="9" xr3:uid="{6834A2B4-25B5-4642-84D5-AA08F38B5331}" name="Total Reteciones" dataDxfId="29"/>
    <tableColumn id="10" xr3:uid="{130DECD7-14D6-764C-994E-3FACA745FF92}" name="Total Documento" dataDxfId="28"/>
    <tableColumn id="11" xr3:uid="{C48476E0-78D2-8542-9CE9-78674A39CDC6}" name="Cod SN" dataDxfId="27"/>
    <tableColumn id="12" xr3:uid="{6E86FD41-DE53-C446-BC5D-1FFDDA7F45B9}" name="NIT" dataDxfId="26"/>
    <tableColumn id="14" xr3:uid="{F43375BD-2715-3148-B6D9-ED35309975BA}" name="City" dataDxfId="25"/>
    <tableColumn id="15" xr3:uid="{9B284CAC-A560-954C-9CC4-C668B610DCE8}" name="Vendedor en doc" dataDxfId="24"/>
    <tableColumn id="16" xr3:uid="{79374000-F409-9E47-96BD-D5FF12031CE3}" name="Vendedor Actual" dataDxfId="23"/>
    <tableColumn id="17" xr3:uid="{C4AA035A-BD56-1E43-AE3C-1DBB2EC47CED}" name="Canal de Cliente" dataDxfId="22"/>
    <tableColumn id="18" xr3:uid="{47225640-3B94-224B-B76C-7ADF6F17008B}" name="PARTICIPACION CLIENT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AC2F7C-DD82-7F49-A4D4-F106D22AF054}" name="Tabla3" displayName="Tabla3" ref="A1:S1757" totalsRowShown="0" headerRowDxfId="21" headerRowBorderDxfId="20" tableBorderDxfId="19">
  <autoFilter ref="A1:S1757" xr:uid="{EEAC2F7C-DD82-7F49-A4D4-F106D22AF054}"/>
  <tableColumns count="19">
    <tableColumn id="1" xr3:uid="{C05E6372-2A4E-F74B-8E7C-8DA3742F411F}" name="#" dataDxfId="18"/>
    <tableColumn id="2" xr3:uid="{48E68B41-D526-B84F-A9EC-90F6CF3261F7}" name="Valor Bruto" dataDxfId="17" dataCellStyle="Moneda [0]"/>
    <tableColumn id="3" xr3:uid="{BDD326DB-9F24-9144-B4B7-D400CF7B6699}" name="Descuento" dataDxfId="16" dataCellStyle="Moneda [0]"/>
    <tableColumn id="21" xr3:uid="{C9ED9BA2-71F5-204B-9116-46184382DB2D}" name="Nombre de cliente/proveedor" dataDxfId="15" dataCellStyle="Moneda [0]"/>
    <tableColumn id="4" xr3:uid="{2F45AE2B-FAC6-3847-B185-2EA56A546E87}" name="Subtotal" dataDxfId="14" dataCellStyle="Moneda [0]"/>
    <tableColumn id="5" xr3:uid="{239BAE3B-36BA-5741-832C-6D3DE4CF8B09}" name="Impuesto" dataDxfId="13" dataCellStyle="Moneda [0]"/>
    <tableColumn id="6" xr3:uid="{D1B83B30-C2CE-C64F-A249-949E960B586E}" name="ReteFuente" dataDxfId="12" dataCellStyle="Moneda [0]"/>
    <tableColumn id="7" xr3:uid="{BE99D47C-CBC8-914E-9B89-14EFE00FDC4C}" name="Rete IVA" dataDxfId="11"/>
    <tableColumn id="8" xr3:uid="{3AADBC04-3E9D-8940-85AF-9F78DC06E441}" name="Rete ICA" dataDxfId="10"/>
    <tableColumn id="9" xr3:uid="{08FD8CDE-BAA1-0944-8DBE-62B9710C6A21}" name="Total Reteciones" dataDxfId="9"/>
    <tableColumn id="10" xr3:uid="{7E9E5386-6C5F-464B-AF5C-B31766D8CBD8}" name="Total Documento" dataDxfId="8"/>
    <tableColumn id="11" xr3:uid="{03BAF2C8-FE34-B847-8438-940041DB92A2}" name="Cod SN" dataDxfId="7"/>
    <tableColumn id="12" xr3:uid="{2A34D2E1-3D93-3D44-99BF-628408635C59}" name="NIT" dataDxfId="6"/>
    <tableColumn id="14" xr3:uid="{86CE3AB4-C34D-9B46-A1A6-36399DFF068C}" name="City" dataDxfId="5"/>
    <tableColumn id="15" xr3:uid="{43F3B08D-7228-5A4D-84A0-5B641A7D0FC4}" name="Vendedor en doc" dataDxfId="4"/>
    <tableColumn id="16" xr3:uid="{4653C0EB-B1D9-E84A-8B76-BDF66F892AFF}" name="Vendedor Actual" dataDxfId="3"/>
    <tableColumn id="17" xr3:uid="{6DEEDFB4-942D-D54F-B52F-6460E36624CF}" name="Canal de Cliente" dataDxfId="2"/>
    <tableColumn id="18" xr3:uid="{208B4423-25C4-5B4C-AF0B-82AF18ACBC37}" name="PARTICIPACION CLIENTE " dataDxfId="1" dataCellStyle="Porcentaje"/>
    <tableColumn id="20" xr3:uid="{76D58690-FDBB-0846-8BFD-0A47DD7DBA65}" name="Columna1" dataDxfId="0">
      <calculatedColumnFormula>Tabla3[[#This Row],[Subtotal]]/12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3B9B-136B-784D-B981-2C78AB248D24}">
  <dimension ref="A1:R2034"/>
  <sheetViews>
    <sheetView zoomScaleNormal="100" workbookViewId="0">
      <selection activeCell="A25" sqref="A25:E1379"/>
    </sheetView>
  </sheetViews>
  <sheetFormatPr baseColWidth="10" defaultRowHeight="15" x14ac:dyDescent="0.2"/>
  <cols>
    <col min="1" max="1" width="5.33203125" bestFit="1" customWidth="1"/>
    <col min="2" max="2" width="15" style="1" hidden="1" customWidth="1"/>
    <col min="3" max="3" width="12.5" style="1" hidden="1" customWidth="1"/>
    <col min="4" max="4" width="79.1640625" style="1" bestFit="1" customWidth="1"/>
    <col min="5" max="5" width="16.1640625" style="1" bestFit="1" customWidth="1"/>
    <col min="6" max="6" width="13.5" style="1" hidden="1" customWidth="1"/>
    <col min="7" max="7" width="13" style="1" hidden="1" customWidth="1"/>
    <col min="8" max="8" width="12.1640625" hidden="1" customWidth="1"/>
    <col min="9" max="9" width="11.1640625" hidden="1" customWidth="1"/>
    <col min="10" max="10" width="16.33203125" hidden="1" customWidth="1"/>
    <col min="11" max="11" width="16.83203125" hidden="1" customWidth="1"/>
    <col min="12" max="12" width="14.1640625" hidden="1" customWidth="1"/>
    <col min="13" max="13" width="12.6640625" bestFit="1" customWidth="1"/>
    <col min="14" max="14" width="30" bestFit="1" customWidth="1"/>
    <col min="15" max="16" width="44.6640625" bestFit="1" customWidth="1"/>
    <col min="17" max="17" width="19.5" bestFit="1" customWidth="1"/>
    <col min="18" max="18" width="25" bestFit="1" customWidth="1"/>
  </cols>
  <sheetData>
    <row r="1" spans="1:18" s="7" customFormat="1" x14ac:dyDescent="0.2">
      <c r="A1" s="47" t="s">
        <v>0</v>
      </c>
      <c r="B1" s="48" t="s">
        <v>1</v>
      </c>
      <c r="C1" s="48" t="s">
        <v>2</v>
      </c>
      <c r="D1" s="47" t="s">
        <v>12</v>
      </c>
      <c r="E1" s="48" t="s">
        <v>3</v>
      </c>
      <c r="F1" s="48" t="s">
        <v>4</v>
      </c>
      <c r="G1" s="48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13</v>
      </c>
      <c r="O1" s="47" t="s">
        <v>14</v>
      </c>
      <c r="P1" s="47" t="s">
        <v>15</v>
      </c>
      <c r="Q1" s="47" t="s">
        <v>16</v>
      </c>
      <c r="R1" s="47" t="s">
        <v>5340</v>
      </c>
    </row>
    <row r="2" spans="1:18" hidden="1" x14ac:dyDescent="0.2">
      <c r="A2" s="4">
        <v>1247</v>
      </c>
      <c r="B2" s="2">
        <v>2392576183.46</v>
      </c>
      <c r="C2" s="2">
        <v>89357046.519999996</v>
      </c>
      <c r="D2" s="4" t="s">
        <v>19</v>
      </c>
      <c r="E2" s="2">
        <v>2303219136.9400001</v>
      </c>
      <c r="F2" s="2">
        <v>437611636.06999999</v>
      </c>
      <c r="G2" s="2">
        <v>55624644.560000002</v>
      </c>
      <c r="H2" s="4">
        <v>0</v>
      </c>
      <c r="I2" s="4">
        <v>0</v>
      </c>
      <c r="J2" s="4">
        <v>55624644.560000002</v>
      </c>
      <c r="K2" s="4">
        <v>2685206128.4499998</v>
      </c>
      <c r="L2" s="4" t="s">
        <v>17</v>
      </c>
      <c r="M2" s="4" t="s">
        <v>18</v>
      </c>
      <c r="N2" s="4" t="s">
        <v>20</v>
      </c>
      <c r="O2" s="4" t="s">
        <v>21</v>
      </c>
      <c r="P2" s="4" t="s">
        <v>21</v>
      </c>
      <c r="Q2" s="4" t="s">
        <v>22</v>
      </c>
      <c r="R2" s="9">
        <f>E2/$E$2034</f>
        <v>4.5879949281034255E-2</v>
      </c>
    </row>
    <row r="3" spans="1:18" hidden="1" x14ac:dyDescent="0.2">
      <c r="A3" s="4">
        <v>307</v>
      </c>
      <c r="B3" s="2">
        <v>1932161344.9100001</v>
      </c>
      <c r="C3" s="2">
        <v>464046.78</v>
      </c>
      <c r="D3" s="4" t="s">
        <v>25</v>
      </c>
      <c r="E3" s="2">
        <v>1931697298.1300001</v>
      </c>
      <c r="F3" s="2">
        <v>367022486.63999999</v>
      </c>
      <c r="G3" s="2">
        <v>44148358.619999997</v>
      </c>
      <c r="H3" s="4">
        <v>0</v>
      </c>
      <c r="I3" s="4">
        <v>0</v>
      </c>
      <c r="J3" s="4">
        <v>44148358.619999997</v>
      </c>
      <c r="K3" s="4">
        <v>2254571426.1500001</v>
      </c>
      <c r="L3" s="4" t="s">
        <v>23</v>
      </c>
      <c r="M3" s="4" t="s">
        <v>24</v>
      </c>
      <c r="N3" s="4" t="s">
        <v>26</v>
      </c>
      <c r="O3" s="4" t="s">
        <v>27</v>
      </c>
      <c r="P3" s="4" t="s">
        <v>27</v>
      </c>
      <c r="Q3" s="4" t="s">
        <v>28</v>
      </c>
      <c r="R3" s="9">
        <f t="shared" ref="R3:R66" si="0">E3/$E$2034</f>
        <v>3.8479262629895414E-2</v>
      </c>
    </row>
    <row r="4" spans="1:18" hidden="1" x14ac:dyDescent="0.2">
      <c r="A4" s="4">
        <v>1273</v>
      </c>
      <c r="B4" s="2">
        <v>1153020562</v>
      </c>
      <c r="C4" s="2">
        <v>14940865.640000001</v>
      </c>
      <c r="D4" s="4" t="s">
        <v>49</v>
      </c>
      <c r="E4" s="2">
        <v>1138079696.3599999</v>
      </c>
      <c r="F4" s="2">
        <v>216235142.31</v>
      </c>
      <c r="G4" s="2">
        <v>26494246.550000001</v>
      </c>
      <c r="H4" s="4">
        <v>0</v>
      </c>
      <c r="I4" s="4">
        <v>0</v>
      </c>
      <c r="J4" s="4">
        <v>26494246.550000001</v>
      </c>
      <c r="K4" s="4">
        <v>1327820592.1199999</v>
      </c>
      <c r="L4" s="4" t="s">
        <v>47</v>
      </c>
      <c r="M4" s="4" t="s">
        <v>48</v>
      </c>
      <c r="N4" s="4" t="s">
        <v>32</v>
      </c>
      <c r="O4" s="4" t="s">
        <v>33</v>
      </c>
      <c r="P4" s="4" t="s">
        <v>33</v>
      </c>
      <c r="Q4" s="4" t="s">
        <v>22</v>
      </c>
      <c r="R4" s="9">
        <f t="shared" si="0"/>
        <v>2.2670460621538283E-2</v>
      </c>
    </row>
    <row r="5" spans="1:18" hidden="1" x14ac:dyDescent="0.2">
      <c r="A5" s="4">
        <v>1292</v>
      </c>
      <c r="B5" s="2">
        <v>1062240262</v>
      </c>
      <c r="C5" s="2">
        <v>2349974.62</v>
      </c>
      <c r="D5" s="4" t="s">
        <v>40</v>
      </c>
      <c r="E5" s="2">
        <v>1059890287.38</v>
      </c>
      <c r="F5" s="2">
        <v>201379154.59999999</v>
      </c>
      <c r="G5" s="2">
        <v>22679975.550000001</v>
      </c>
      <c r="H5" s="4">
        <v>0</v>
      </c>
      <c r="I5" s="4">
        <v>0</v>
      </c>
      <c r="J5" s="4">
        <v>22679975.550000001</v>
      </c>
      <c r="K5" s="4">
        <v>1238589466.4300001</v>
      </c>
      <c r="L5" s="4" t="s">
        <v>38</v>
      </c>
      <c r="M5" s="4" t="s">
        <v>39</v>
      </c>
      <c r="N5" s="4" t="s">
        <v>41</v>
      </c>
      <c r="O5" s="4" t="s">
        <v>42</v>
      </c>
      <c r="P5" s="4" t="s">
        <v>42</v>
      </c>
      <c r="Q5" s="4" t="s">
        <v>22</v>
      </c>
      <c r="R5" s="9">
        <f t="shared" si="0"/>
        <v>2.1112933566999097E-2</v>
      </c>
    </row>
    <row r="6" spans="1:18" hidden="1" x14ac:dyDescent="0.2">
      <c r="A6" s="4">
        <v>609</v>
      </c>
      <c r="B6" s="2">
        <v>986195843</v>
      </c>
      <c r="C6" s="2">
        <v>2914125.93</v>
      </c>
      <c r="D6" s="4" t="s">
        <v>36</v>
      </c>
      <c r="E6" s="2">
        <v>983281717.07000005</v>
      </c>
      <c r="F6" s="2">
        <v>186823526.22999999</v>
      </c>
      <c r="G6" s="2">
        <v>22838255.469999999</v>
      </c>
      <c r="H6" s="4">
        <v>0</v>
      </c>
      <c r="I6" s="4">
        <v>0</v>
      </c>
      <c r="J6" s="4">
        <v>22838255.469999999</v>
      </c>
      <c r="K6" s="4">
        <v>1147266987.8299999</v>
      </c>
      <c r="L6" s="4" t="s">
        <v>34</v>
      </c>
      <c r="M6" s="4" t="s">
        <v>35</v>
      </c>
      <c r="N6" s="4" t="s">
        <v>37</v>
      </c>
      <c r="O6" s="4" t="s">
        <v>33</v>
      </c>
      <c r="P6" s="4" t="s">
        <v>33</v>
      </c>
      <c r="Q6" s="4" t="s">
        <v>28</v>
      </c>
      <c r="R6" s="9">
        <f t="shared" si="0"/>
        <v>1.9586896698017098E-2</v>
      </c>
    </row>
    <row r="7" spans="1:18" hidden="1" x14ac:dyDescent="0.2">
      <c r="A7" s="4">
        <v>736</v>
      </c>
      <c r="B7" s="2">
        <v>954636523</v>
      </c>
      <c r="C7" s="2">
        <v>4799038.08</v>
      </c>
      <c r="D7" s="4" t="s">
        <v>31</v>
      </c>
      <c r="E7" s="2">
        <v>949837484.91999996</v>
      </c>
      <c r="F7" s="2">
        <v>180469122.11000001</v>
      </c>
      <c r="G7" s="2">
        <v>22337185.440000001</v>
      </c>
      <c r="H7" s="4">
        <v>25645301.879999999</v>
      </c>
      <c r="I7" s="4">
        <v>0</v>
      </c>
      <c r="J7" s="4">
        <v>47982487.32</v>
      </c>
      <c r="K7" s="4">
        <v>1082324119.71</v>
      </c>
      <c r="L7" s="4" t="s">
        <v>29</v>
      </c>
      <c r="M7" s="4" t="s">
        <v>30</v>
      </c>
      <c r="N7" s="4" t="s">
        <v>32</v>
      </c>
      <c r="O7" s="4" t="s">
        <v>33</v>
      </c>
      <c r="P7" s="4" t="s">
        <v>33</v>
      </c>
      <c r="Q7" s="4" t="s">
        <v>28</v>
      </c>
      <c r="R7" s="9">
        <f t="shared" si="0"/>
        <v>1.8920690148160217E-2</v>
      </c>
    </row>
    <row r="8" spans="1:18" hidden="1" x14ac:dyDescent="0.2">
      <c r="A8" s="4">
        <v>1051</v>
      </c>
      <c r="B8" s="2">
        <v>929659150</v>
      </c>
      <c r="C8" s="2">
        <v>8664023.2699999996</v>
      </c>
      <c r="D8" s="4" t="s">
        <v>45</v>
      </c>
      <c r="E8" s="2">
        <v>920995126.73000002</v>
      </c>
      <c r="F8" s="2">
        <v>174989074.08000001</v>
      </c>
      <c r="G8" s="2">
        <v>19642262.23</v>
      </c>
      <c r="H8" s="4">
        <v>0</v>
      </c>
      <c r="I8" s="4">
        <v>0</v>
      </c>
      <c r="J8" s="4">
        <v>19642262.23</v>
      </c>
      <c r="K8" s="4">
        <v>1076341938.5799999</v>
      </c>
      <c r="L8" s="4" t="s">
        <v>43</v>
      </c>
      <c r="M8" s="4" t="s">
        <v>44</v>
      </c>
      <c r="N8" s="4" t="s">
        <v>46</v>
      </c>
      <c r="O8" s="4" t="s">
        <v>27</v>
      </c>
      <c r="P8" s="4" t="s">
        <v>27</v>
      </c>
      <c r="Q8" s="4" t="s">
        <v>22</v>
      </c>
      <c r="R8" s="9">
        <f t="shared" si="0"/>
        <v>1.8346152576081555E-2</v>
      </c>
    </row>
    <row r="9" spans="1:18" hidden="1" x14ac:dyDescent="0.2">
      <c r="A9" s="4">
        <v>1023</v>
      </c>
      <c r="B9" s="2">
        <v>759311128</v>
      </c>
      <c r="C9" s="2">
        <v>933426.82</v>
      </c>
      <c r="D9" s="4" t="s">
        <v>52</v>
      </c>
      <c r="E9" s="2">
        <v>758377701.17999995</v>
      </c>
      <c r="F9" s="2">
        <v>144091763.22</v>
      </c>
      <c r="G9" s="2">
        <v>17812191.829999998</v>
      </c>
      <c r="H9" s="4">
        <v>20305898.690000001</v>
      </c>
      <c r="I9" s="4">
        <v>0</v>
      </c>
      <c r="J9" s="4">
        <v>38118090.520000003</v>
      </c>
      <c r="K9" s="4">
        <v>864351373.88</v>
      </c>
      <c r="L9" s="4" t="s">
        <v>50</v>
      </c>
      <c r="M9" s="4" t="s">
        <v>51</v>
      </c>
      <c r="N9" s="4" t="s">
        <v>20</v>
      </c>
      <c r="O9" s="4" t="s">
        <v>21</v>
      </c>
      <c r="P9" s="4" t="s">
        <v>21</v>
      </c>
      <c r="Q9" s="4" t="s">
        <v>22</v>
      </c>
      <c r="R9" s="9">
        <f t="shared" si="0"/>
        <v>1.5106825880334008E-2</v>
      </c>
    </row>
    <row r="10" spans="1:18" hidden="1" x14ac:dyDescent="0.2">
      <c r="A10" s="4">
        <v>1246</v>
      </c>
      <c r="B10" s="2">
        <v>654937948.55999994</v>
      </c>
      <c r="C10" s="2">
        <v>22842514.890000001</v>
      </c>
      <c r="D10" s="4" t="s">
        <v>54</v>
      </c>
      <c r="E10" s="2">
        <v>632095433.66999996</v>
      </c>
      <c r="F10" s="2">
        <v>120098132.40000001</v>
      </c>
      <c r="G10" s="2">
        <v>15602633.07</v>
      </c>
      <c r="H10" s="4">
        <v>0</v>
      </c>
      <c r="I10" s="4">
        <v>0</v>
      </c>
      <c r="J10" s="4">
        <v>15602633.07</v>
      </c>
      <c r="K10" s="4">
        <v>736590933</v>
      </c>
      <c r="L10" s="4" t="s">
        <v>53</v>
      </c>
      <c r="M10" s="4" t="s">
        <v>18</v>
      </c>
      <c r="N10" s="4" t="s">
        <v>20</v>
      </c>
      <c r="O10" s="4" t="s">
        <v>21</v>
      </c>
      <c r="P10" s="4" t="s">
        <v>21</v>
      </c>
      <c r="Q10" s="4" t="s">
        <v>22</v>
      </c>
      <c r="R10" s="9">
        <f t="shared" si="0"/>
        <v>1.259129275735452E-2</v>
      </c>
    </row>
    <row r="11" spans="1:18" hidden="1" x14ac:dyDescent="0.2">
      <c r="A11" s="4">
        <v>385</v>
      </c>
      <c r="B11" s="2">
        <v>552274178</v>
      </c>
      <c r="C11" s="2">
        <v>1871664.24</v>
      </c>
      <c r="D11" s="4" t="s">
        <v>74</v>
      </c>
      <c r="E11" s="2">
        <v>550402513.75999999</v>
      </c>
      <c r="F11" s="2">
        <v>0</v>
      </c>
      <c r="G11" s="2">
        <v>11500856.310000001</v>
      </c>
      <c r="H11" s="4">
        <v>0</v>
      </c>
      <c r="I11" s="4">
        <v>0</v>
      </c>
      <c r="J11" s="4">
        <v>11500856.310000001</v>
      </c>
      <c r="K11" s="4">
        <v>538901657.45000005</v>
      </c>
      <c r="L11" s="4" t="s">
        <v>72</v>
      </c>
      <c r="M11" s="4" t="s">
        <v>73</v>
      </c>
      <c r="N11" s="4" t="s">
        <v>75</v>
      </c>
      <c r="O11" s="4" t="s">
        <v>76</v>
      </c>
      <c r="P11" s="4" t="s">
        <v>76</v>
      </c>
      <c r="Q11" s="4" t="s">
        <v>28</v>
      </c>
      <c r="R11" s="9">
        <f t="shared" si="0"/>
        <v>1.0963976032698445E-2</v>
      </c>
    </row>
    <row r="12" spans="1:18" hidden="1" x14ac:dyDescent="0.2">
      <c r="A12" s="4">
        <v>1841</v>
      </c>
      <c r="B12" s="2">
        <v>502582007</v>
      </c>
      <c r="C12" s="2">
        <v>461122.2</v>
      </c>
      <c r="D12" s="4" t="s">
        <v>62</v>
      </c>
      <c r="E12" s="2">
        <v>502120884.80000001</v>
      </c>
      <c r="F12" s="2">
        <v>95402968.109999999</v>
      </c>
      <c r="G12" s="2">
        <v>11277482.140000001</v>
      </c>
      <c r="H12" s="4">
        <v>8128134.3300000001</v>
      </c>
      <c r="I12" s="4">
        <v>0</v>
      </c>
      <c r="J12" s="4">
        <v>19405616.469999999</v>
      </c>
      <c r="K12" s="4">
        <v>578118236.44000006</v>
      </c>
      <c r="L12" s="4" t="s">
        <v>60</v>
      </c>
      <c r="M12" s="4" t="s">
        <v>61</v>
      </c>
      <c r="N12" s="4" t="s">
        <v>63</v>
      </c>
      <c r="O12" s="4" t="s">
        <v>33</v>
      </c>
      <c r="P12" s="4" t="s">
        <v>33</v>
      </c>
      <c r="Q12" s="4" t="s">
        <v>28</v>
      </c>
      <c r="R12" s="9">
        <f t="shared" si="0"/>
        <v>1.0002209671711396E-2</v>
      </c>
    </row>
    <row r="13" spans="1:18" hidden="1" x14ac:dyDescent="0.2">
      <c r="A13" s="4">
        <v>1700</v>
      </c>
      <c r="B13" s="2">
        <v>517709948.72000003</v>
      </c>
      <c r="C13" s="2">
        <v>44609327.57</v>
      </c>
      <c r="D13" s="4" t="s">
        <v>79</v>
      </c>
      <c r="E13" s="2">
        <v>473100621.14999998</v>
      </c>
      <c r="F13" s="2">
        <v>89889117.959999993</v>
      </c>
      <c r="G13" s="2">
        <v>0</v>
      </c>
      <c r="H13" s="4">
        <v>0</v>
      </c>
      <c r="I13" s="4">
        <v>0</v>
      </c>
      <c r="J13" s="4">
        <v>0</v>
      </c>
      <c r="K13" s="4">
        <v>562989739.11000001</v>
      </c>
      <c r="L13" s="4" t="s">
        <v>77</v>
      </c>
      <c r="M13" s="4" t="s">
        <v>78</v>
      </c>
      <c r="N13" s="4" t="s">
        <v>20</v>
      </c>
      <c r="O13" s="4" t="s">
        <v>21</v>
      </c>
      <c r="P13" s="4" t="s">
        <v>21</v>
      </c>
      <c r="Q13" s="4" t="s">
        <v>22</v>
      </c>
      <c r="R13" s="9">
        <f t="shared" si="0"/>
        <v>9.4241282364584868E-3</v>
      </c>
    </row>
    <row r="14" spans="1:18" hidden="1" x14ac:dyDescent="0.2">
      <c r="A14" s="4">
        <v>1468</v>
      </c>
      <c r="B14" s="2">
        <v>438354151</v>
      </c>
      <c r="C14" s="2">
        <v>1192349.7</v>
      </c>
      <c r="D14" s="4" t="s">
        <v>57</v>
      </c>
      <c r="E14" s="2">
        <v>437161801.30000001</v>
      </c>
      <c r="F14" s="2">
        <v>83060742.25</v>
      </c>
      <c r="G14" s="2">
        <v>9874762.2699999996</v>
      </c>
      <c r="H14" s="4">
        <v>0</v>
      </c>
      <c r="I14" s="4">
        <v>0</v>
      </c>
      <c r="J14" s="4">
        <v>9874762.2699999996</v>
      </c>
      <c r="K14" s="4">
        <v>510347781.27999997</v>
      </c>
      <c r="L14" s="4" t="s">
        <v>55</v>
      </c>
      <c r="M14" s="4" t="s">
        <v>56</v>
      </c>
      <c r="N14" s="4" t="s">
        <v>58</v>
      </c>
      <c r="O14" s="4" t="s">
        <v>59</v>
      </c>
      <c r="P14" s="4" t="s">
        <v>59</v>
      </c>
      <c r="Q14" s="4" t="s">
        <v>28</v>
      </c>
      <c r="R14" s="9">
        <f t="shared" si="0"/>
        <v>8.708229690161726E-3</v>
      </c>
    </row>
    <row r="15" spans="1:18" hidden="1" x14ac:dyDescent="0.2">
      <c r="A15" s="4">
        <v>1843</v>
      </c>
      <c r="B15" s="2">
        <v>405158189</v>
      </c>
      <c r="C15" s="2">
        <v>604924.86</v>
      </c>
      <c r="D15" s="4" t="s">
        <v>65</v>
      </c>
      <c r="E15" s="2">
        <v>404553264.13999999</v>
      </c>
      <c r="F15" s="2">
        <v>76865120.189999998</v>
      </c>
      <c r="G15" s="2">
        <v>8607871.5999999996</v>
      </c>
      <c r="H15" s="4">
        <v>7115876.9500000002</v>
      </c>
      <c r="I15" s="4">
        <v>0</v>
      </c>
      <c r="J15" s="4">
        <v>15723748.550000001</v>
      </c>
      <c r="K15" s="4">
        <v>465694635.77999997</v>
      </c>
      <c r="L15" s="4" t="s">
        <v>64</v>
      </c>
      <c r="M15" s="4" t="s">
        <v>61</v>
      </c>
      <c r="N15" s="4" t="s">
        <v>66</v>
      </c>
      <c r="O15" s="4" t="s">
        <v>67</v>
      </c>
      <c r="P15" s="4" t="s">
        <v>67</v>
      </c>
      <c r="Q15" s="4" t="s">
        <v>28</v>
      </c>
      <c r="R15" s="9">
        <f t="shared" si="0"/>
        <v>8.0586701206727483E-3</v>
      </c>
    </row>
    <row r="16" spans="1:18" hidden="1" x14ac:dyDescent="0.2">
      <c r="A16" s="4">
        <v>341</v>
      </c>
      <c r="B16" s="2">
        <v>402171676</v>
      </c>
      <c r="C16" s="2">
        <v>562162.86</v>
      </c>
      <c r="D16" s="4" t="s">
        <v>103</v>
      </c>
      <c r="E16" s="2">
        <v>401609513.13999999</v>
      </c>
      <c r="F16" s="2">
        <v>76305807.5</v>
      </c>
      <c r="G16" s="2">
        <v>9507435</v>
      </c>
      <c r="H16" s="4">
        <v>0</v>
      </c>
      <c r="I16" s="4">
        <v>0</v>
      </c>
      <c r="J16" s="4">
        <v>9507435</v>
      </c>
      <c r="K16" s="4">
        <v>468407885.63999999</v>
      </c>
      <c r="L16" s="4" t="s">
        <v>101</v>
      </c>
      <c r="M16" s="4" t="s">
        <v>102</v>
      </c>
      <c r="N16" s="4" t="s">
        <v>104</v>
      </c>
      <c r="O16" s="4" t="s">
        <v>105</v>
      </c>
      <c r="P16" s="4" t="s">
        <v>105</v>
      </c>
      <c r="Q16" s="4" t="s">
        <v>28</v>
      </c>
      <c r="R16" s="9">
        <f t="shared" si="0"/>
        <v>8.0000308256053098E-3</v>
      </c>
    </row>
    <row r="17" spans="1:18" hidden="1" x14ac:dyDescent="0.2">
      <c r="A17" s="4">
        <v>207</v>
      </c>
      <c r="B17" s="2">
        <v>388516748</v>
      </c>
      <c r="C17" s="2">
        <v>852087.63</v>
      </c>
      <c r="D17" s="4" t="s">
        <v>87</v>
      </c>
      <c r="E17" s="2">
        <v>387664660.37</v>
      </c>
      <c r="F17" s="2">
        <v>73656285.469999999</v>
      </c>
      <c r="G17" s="2">
        <v>8870154.5</v>
      </c>
      <c r="H17" s="4">
        <v>0</v>
      </c>
      <c r="I17" s="4">
        <v>0</v>
      </c>
      <c r="J17" s="4">
        <v>8870154.5</v>
      </c>
      <c r="K17" s="4">
        <v>452450791.33999997</v>
      </c>
      <c r="L17" s="4" t="s">
        <v>85</v>
      </c>
      <c r="M17" s="4" t="s">
        <v>86</v>
      </c>
      <c r="N17" s="4" t="s">
        <v>88</v>
      </c>
      <c r="O17" s="4" t="s">
        <v>89</v>
      </c>
      <c r="P17" s="4" t="s">
        <v>89</v>
      </c>
      <c r="Q17" s="4" t="s">
        <v>28</v>
      </c>
      <c r="R17" s="9">
        <f t="shared" si="0"/>
        <v>7.7222504235767405E-3</v>
      </c>
    </row>
    <row r="18" spans="1:18" hidden="1" x14ac:dyDescent="0.2">
      <c r="A18" s="4">
        <v>297</v>
      </c>
      <c r="B18" s="2">
        <v>337830689.60000002</v>
      </c>
      <c r="C18" s="2">
        <v>0</v>
      </c>
      <c r="D18" s="4" t="s">
        <v>111</v>
      </c>
      <c r="E18" s="2">
        <v>337830689.60000002</v>
      </c>
      <c r="F18" s="2">
        <v>64187831.020000003</v>
      </c>
      <c r="G18" s="2">
        <v>7613986.2300000004</v>
      </c>
      <c r="H18" s="4">
        <v>8679944.2899999991</v>
      </c>
      <c r="I18" s="4">
        <v>0</v>
      </c>
      <c r="J18" s="4">
        <v>16293930.52</v>
      </c>
      <c r="K18" s="4">
        <v>385724590.10000002</v>
      </c>
      <c r="L18" s="4" t="s">
        <v>109</v>
      </c>
      <c r="M18" s="4" t="s">
        <v>110</v>
      </c>
      <c r="N18" s="4" t="s">
        <v>112</v>
      </c>
      <c r="O18" s="4" t="s">
        <v>21</v>
      </c>
      <c r="P18" s="4" t="s">
        <v>21</v>
      </c>
      <c r="Q18" s="4" t="s">
        <v>22</v>
      </c>
      <c r="R18" s="9">
        <f t="shared" si="0"/>
        <v>6.729561532307032E-3</v>
      </c>
    </row>
    <row r="19" spans="1:18" hidden="1" x14ac:dyDescent="0.2">
      <c r="A19" s="4">
        <v>129</v>
      </c>
      <c r="B19" s="2">
        <v>310337011</v>
      </c>
      <c r="C19" s="2">
        <v>878729.79</v>
      </c>
      <c r="D19" s="4" t="s">
        <v>70</v>
      </c>
      <c r="E19" s="2">
        <v>309458281.20999998</v>
      </c>
      <c r="F19" s="2">
        <v>58797073.43</v>
      </c>
      <c r="G19" s="2">
        <v>6782690.8300000001</v>
      </c>
      <c r="H19" s="4">
        <v>0</v>
      </c>
      <c r="I19" s="4">
        <v>0</v>
      </c>
      <c r="J19" s="4">
        <v>6782690.8300000001</v>
      </c>
      <c r="K19" s="4">
        <v>361472663.81</v>
      </c>
      <c r="L19" s="4" t="s">
        <v>68</v>
      </c>
      <c r="M19" s="4" t="s">
        <v>69</v>
      </c>
      <c r="N19" s="4" t="s">
        <v>20</v>
      </c>
      <c r="O19" s="4" t="s">
        <v>71</v>
      </c>
      <c r="P19" s="4" t="s">
        <v>71</v>
      </c>
      <c r="Q19" s="4" t="s">
        <v>28</v>
      </c>
      <c r="R19" s="9">
        <f t="shared" si="0"/>
        <v>6.1643853243481877E-3</v>
      </c>
    </row>
    <row r="20" spans="1:18" hidden="1" x14ac:dyDescent="0.2">
      <c r="A20" s="4">
        <v>683</v>
      </c>
      <c r="B20" s="2">
        <v>300096754</v>
      </c>
      <c r="C20" s="2">
        <v>1297174.1399999999</v>
      </c>
      <c r="D20" s="4" t="s">
        <v>116</v>
      </c>
      <c r="E20" s="2">
        <v>298799579.86000001</v>
      </c>
      <c r="F20" s="2">
        <v>56771920.18</v>
      </c>
      <c r="G20" s="2">
        <v>7319962.1100000003</v>
      </c>
      <c r="H20" s="4">
        <v>0</v>
      </c>
      <c r="I20" s="4">
        <v>0</v>
      </c>
      <c r="J20" s="4">
        <v>7319962.1100000003</v>
      </c>
      <c r="K20" s="4">
        <v>348251537.93000001</v>
      </c>
      <c r="L20" s="4" t="s">
        <v>114</v>
      </c>
      <c r="M20" s="4" t="s">
        <v>115</v>
      </c>
      <c r="N20" s="4" t="s">
        <v>117</v>
      </c>
      <c r="O20" s="4" t="s">
        <v>93</v>
      </c>
      <c r="P20" s="4" t="s">
        <v>93</v>
      </c>
      <c r="Q20" s="4" t="s">
        <v>28</v>
      </c>
      <c r="R20" s="9">
        <f t="shared" si="0"/>
        <v>5.952064807599881E-3</v>
      </c>
    </row>
    <row r="21" spans="1:18" hidden="1" x14ac:dyDescent="0.2">
      <c r="A21" s="4">
        <v>355</v>
      </c>
      <c r="B21" s="2">
        <v>297961331</v>
      </c>
      <c r="C21" s="2">
        <v>536304.03</v>
      </c>
      <c r="D21" s="4" t="s">
        <v>162</v>
      </c>
      <c r="E21" s="2">
        <v>297425026.97000003</v>
      </c>
      <c r="F21" s="2">
        <v>56510755.119999997</v>
      </c>
      <c r="G21" s="2">
        <v>5244698.4800000004</v>
      </c>
      <c r="H21" s="4">
        <v>0</v>
      </c>
      <c r="I21" s="4">
        <v>0</v>
      </c>
      <c r="J21" s="4">
        <v>5244698.4800000004</v>
      </c>
      <c r="K21" s="4">
        <v>348691083.61000001</v>
      </c>
      <c r="L21" s="4" t="s">
        <v>161</v>
      </c>
      <c r="M21" s="4" t="s">
        <v>107</v>
      </c>
      <c r="N21" s="4" t="s">
        <v>20</v>
      </c>
      <c r="O21" s="4" t="s">
        <v>21</v>
      </c>
      <c r="P21" s="4" t="s">
        <v>21</v>
      </c>
      <c r="Q21" s="4" t="s">
        <v>28</v>
      </c>
      <c r="R21" s="9">
        <f t="shared" si="0"/>
        <v>5.9246838190235686E-3</v>
      </c>
    </row>
    <row r="22" spans="1:18" hidden="1" x14ac:dyDescent="0.2">
      <c r="A22" s="4">
        <v>739</v>
      </c>
      <c r="B22" s="2">
        <v>293269042</v>
      </c>
      <c r="C22" s="2">
        <v>876212.31</v>
      </c>
      <c r="D22" s="4" t="s">
        <v>91</v>
      </c>
      <c r="E22" s="2">
        <v>292392829.69</v>
      </c>
      <c r="F22" s="2">
        <v>55554637.640000001</v>
      </c>
      <c r="G22" s="2">
        <v>7238722.4699999997</v>
      </c>
      <c r="H22" s="4">
        <v>8329110.4000000004</v>
      </c>
      <c r="I22" s="4">
        <v>0</v>
      </c>
      <c r="J22" s="4">
        <v>15567832.869999999</v>
      </c>
      <c r="K22" s="4">
        <v>332379634.45999998</v>
      </c>
      <c r="L22" s="4" t="s">
        <v>90</v>
      </c>
      <c r="M22" s="4" t="s">
        <v>30</v>
      </c>
      <c r="N22" s="4" t="s">
        <v>92</v>
      </c>
      <c r="O22" s="4" t="s">
        <v>93</v>
      </c>
      <c r="P22" s="4" t="s">
        <v>93</v>
      </c>
      <c r="Q22" s="4" t="s">
        <v>28</v>
      </c>
      <c r="R22" s="9">
        <f t="shared" si="0"/>
        <v>5.8244428335803428E-3</v>
      </c>
    </row>
    <row r="23" spans="1:18" hidden="1" x14ac:dyDescent="0.2">
      <c r="A23" s="4">
        <v>294</v>
      </c>
      <c r="B23" s="2">
        <v>284091105.19999999</v>
      </c>
      <c r="C23" s="2">
        <v>0</v>
      </c>
      <c r="D23" s="4" t="s">
        <v>119</v>
      </c>
      <c r="E23" s="2">
        <v>284091105.19999999</v>
      </c>
      <c r="F23" s="2">
        <v>53977309.990000002</v>
      </c>
      <c r="G23" s="2">
        <v>6240488.9299999997</v>
      </c>
      <c r="H23" s="4">
        <v>7114157.3300000001</v>
      </c>
      <c r="I23" s="4">
        <v>0</v>
      </c>
      <c r="J23" s="4">
        <v>13354646.26</v>
      </c>
      <c r="K23" s="4">
        <v>324713768.93000001</v>
      </c>
      <c r="L23" s="4" t="s">
        <v>118</v>
      </c>
      <c r="M23" s="4" t="s">
        <v>110</v>
      </c>
      <c r="N23" s="4" t="s">
        <v>20</v>
      </c>
      <c r="O23" s="4" t="s">
        <v>21</v>
      </c>
      <c r="P23" s="4" t="s">
        <v>21</v>
      </c>
      <c r="Q23" s="4" t="s">
        <v>22</v>
      </c>
      <c r="R23" s="9">
        <f t="shared" si="0"/>
        <v>5.6590731158502484E-3</v>
      </c>
    </row>
    <row r="24" spans="1:18" hidden="1" x14ac:dyDescent="0.2">
      <c r="A24" s="4">
        <v>1152</v>
      </c>
      <c r="B24" s="2">
        <v>284054271</v>
      </c>
      <c r="C24" s="2">
        <v>1278451.95</v>
      </c>
      <c r="D24" s="4" t="s">
        <v>133</v>
      </c>
      <c r="E24" s="2">
        <v>282775819.05000001</v>
      </c>
      <c r="F24" s="2">
        <v>53727405.630000003</v>
      </c>
      <c r="G24" s="2">
        <v>6772037.4299999997</v>
      </c>
      <c r="H24" s="4">
        <v>0</v>
      </c>
      <c r="I24" s="4">
        <v>0</v>
      </c>
      <c r="J24" s="4">
        <v>6772037.4299999997</v>
      </c>
      <c r="K24" s="4">
        <v>329731187.25</v>
      </c>
      <c r="L24" s="4" t="s">
        <v>131</v>
      </c>
      <c r="M24" s="4" t="s">
        <v>132</v>
      </c>
      <c r="N24" s="4" t="s">
        <v>32</v>
      </c>
      <c r="O24" s="4" t="s">
        <v>33</v>
      </c>
      <c r="P24" s="4" t="s">
        <v>33</v>
      </c>
      <c r="Q24" s="4" t="s">
        <v>28</v>
      </c>
      <c r="R24" s="9">
        <f t="shared" si="0"/>
        <v>5.6328727162077638E-3</v>
      </c>
    </row>
    <row r="25" spans="1:18" x14ac:dyDescent="0.2">
      <c r="A25" s="4">
        <v>817</v>
      </c>
      <c r="B25" s="2">
        <v>280026034</v>
      </c>
      <c r="C25" s="2">
        <v>894266.28</v>
      </c>
      <c r="D25" s="4" t="s">
        <v>82</v>
      </c>
      <c r="E25" s="2">
        <v>279131767.72000003</v>
      </c>
      <c r="F25" s="2">
        <v>53035035.869999997</v>
      </c>
      <c r="G25" s="2">
        <v>6948151.9100000001</v>
      </c>
      <c r="H25" s="4">
        <v>7955255.3799999999</v>
      </c>
      <c r="I25" s="4">
        <v>0</v>
      </c>
      <c r="J25" s="4">
        <v>14903407.289999999</v>
      </c>
      <c r="K25" s="4">
        <v>317263396.30000001</v>
      </c>
      <c r="L25" s="4" t="s">
        <v>80</v>
      </c>
      <c r="M25" s="4" t="s">
        <v>81</v>
      </c>
      <c r="N25" s="4" t="s">
        <v>83</v>
      </c>
      <c r="O25" s="4" t="s">
        <v>84</v>
      </c>
      <c r="P25" s="4" t="s">
        <v>84</v>
      </c>
      <c r="Q25" s="4" t="s">
        <v>28</v>
      </c>
      <c r="R25" s="9">
        <f t="shared" si="0"/>
        <v>5.5602834920577739E-3</v>
      </c>
    </row>
    <row r="26" spans="1:18" hidden="1" x14ac:dyDescent="0.2">
      <c r="A26" s="4">
        <v>992</v>
      </c>
      <c r="B26" s="2">
        <v>253774363</v>
      </c>
      <c r="C26" s="2">
        <v>353996.58</v>
      </c>
      <c r="D26" s="4" t="s">
        <v>96</v>
      </c>
      <c r="E26" s="2">
        <v>253420366.41999999</v>
      </c>
      <c r="F26" s="2">
        <v>48149869.619999997</v>
      </c>
      <c r="G26" s="2">
        <v>5241193.1100000003</v>
      </c>
      <c r="H26" s="4">
        <v>5974960.1399999997</v>
      </c>
      <c r="I26" s="4">
        <v>0</v>
      </c>
      <c r="J26" s="4">
        <v>11216153.25</v>
      </c>
      <c r="K26" s="4">
        <v>290354082.79000002</v>
      </c>
      <c r="L26" s="4" t="s">
        <v>94</v>
      </c>
      <c r="M26" s="4" t="s">
        <v>95</v>
      </c>
      <c r="N26" s="4" t="s">
        <v>66</v>
      </c>
      <c r="O26" s="4" t="s">
        <v>67</v>
      </c>
      <c r="P26" s="4" t="s">
        <v>67</v>
      </c>
      <c r="Q26" s="4" t="s">
        <v>28</v>
      </c>
      <c r="R26" s="9">
        <f t="shared" si="0"/>
        <v>5.048114342075998E-3</v>
      </c>
    </row>
    <row r="27" spans="1:18" hidden="1" x14ac:dyDescent="0.2">
      <c r="A27" s="4">
        <v>433</v>
      </c>
      <c r="B27" s="2">
        <v>251528976.12</v>
      </c>
      <c r="C27" s="2">
        <v>0</v>
      </c>
      <c r="D27" s="4" t="s">
        <v>141</v>
      </c>
      <c r="E27" s="2">
        <v>251528976.12</v>
      </c>
      <c r="F27" s="2">
        <v>47790505.460000001</v>
      </c>
      <c r="G27" s="2">
        <v>8073053.3099999996</v>
      </c>
      <c r="H27" s="4">
        <v>5948038.4000000004</v>
      </c>
      <c r="I27" s="4">
        <v>2228162.67</v>
      </c>
      <c r="J27" s="4">
        <v>16249254.380000001</v>
      </c>
      <c r="K27" s="4">
        <v>283070227.19999999</v>
      </c>
      <c r="L27" s="4" t="s">
        <v>139</v>
      </c>
      <c r="M27" s="4" t="s">
        <v>140</v>
      </c>
      <c r="N27" s="4" t="s">
        <v>142</v>
      </c>
      <c r="O27" s="4" t="s">
        <v>143</v>
      </c>
      <c r="P27" s="4" t="s">
        <v>143</v>
      </c>
      <c r="Q27" s="4" t="s">
        <v>144</v>
      </c>
      <c r="R27" s="9">
        <f t="shared" si="0"/>
        <v>5.0104379917700823E-3</v>
      </c>
    </row>
    <row r="28" spans="1:18" hidden="1" x14ac:dyDescent="0.2">
      <c r="A28" s="4">
        <v>1113</v>
      </c>
      <c r="B28" s="2">
        <v>241703699</v>
      </c>
      <c r="C28" s="2">
        <v>412352.04</v>
      </c>
      <c r="D28" s="4" t="s">
        <v>182</v>
      </c>
      <c r="E28" s="2">
        <v>241291346.96000001</v>
      </c>
      <c r="F28" s="2">
        <v>45845355.920000002</v>
      </c>
      <c r="G28" s="2">
        <v>5416362.8700000001</v>
      </c>
      <c r="H28" s="4">
        <v>0</v>
      </c>
      <c r="I28" s="4">
        <v>0</v>
      </c>
      <c r="J28" s="4">
        <v>5416362.8700000001</v>
      </c>
      <c r="K28" s="4">
        <v>281720340.00999999</v>
      </c>
      <c r="L28" s="4" t="s">
        <v>180</v>
      </c>
      <c r="M28" s="4" t="s">
        <v>181</v>
      </c>
      <c r="N28" s="4" t="s">
        <v>41</v>
      </c>
      <c r="O28" s="4" t="s">
        <v>42</v>
      </c>
      <c r="P28" s="4" t="s">
        <v>42</v>
      </c>
      <c r="Q28" s="4" t="s">
        <v>22</v>
      </c>
      <c r="R28" s="9">
        <f t="shared" si="0"/>
        <v>4.8065052008838139E-3</v>
      </c>
    </row>
    <row r="29" spans="1:18" hidden="1" x14ac:dyDescent="0.2">
      <c r="A29" s="4">
        <v>1827</v>
      </c>
      <c r="B29" s="2">
        <v>241221389</v>
      </c>
      <c r="C29" s="2">
        <v>813824.76</v>
      </c>
      <c r="D29" s="4" t="s">
        <v>227</v>
      </c>
      <c r="E29" s="2">
        <v>240407564.24000001</v>
      </c>
      <c r="F29" s="2">
        <v>0</v>
      </c>
      <c r="G29" s="2">
        <v>5990984.3200000003</v>
      </c>
      <c r="H29" s="4">
        <v>0</v>
      </c>
      <c r="I29" s="4">
        <v>0</v>
      </c>
      <c r="J29" s="4">
        <v>5990984.3200000003</v>
      </c>
      <c r="K29" s="4">
        <v>234416579.91999999</v>
      </c>
      <c r="L29" s="4" t="s">
        <v>225</v>
      </c>
      <c r="M29" s="4" t="s">
        <v>226</v>
      </c>
      <c r="N29" s="4" t="s">
        <v>228</v>
      </c>
      <c r="O29" s="4" t="s">
        <v>229</v>
      </c>
      <c r="P29" s="4" t="s">
        <v>229</v>
      </c>
      <c r="Q29" s="4" t="s">
        <v>100</v>
      </c>
      <c r="R29" s="9">
        <f t="shared" si="0"/>
        <v>4.7889003166073979E-3</v>
      </c>
    </row>
    <row r="30" spans="1:18" hidden="1" x14ac:dyDescent="0.2">
      <c r="A30" s="4">
        <v>1245</v>
      </c>
      <c r="B30" s="2">
        <v>241266871.31999999</v>
      </c>
      <c r="C30" s="2">
        <v>6802369.6200000001</v>
      </c>
      <c r="D30" s="4" t="s">
        <v>164</v>
      </c>
      <c r="E30" s="2">
        <v>234464501.69999999</v>
      </c>
      <c r="F30" s="2">
        <v>44548255.359999999</v>
      </c>
      <c r="G30" s="2">
        <v>5616940.5599999996</v>
      </c>
      <c r="H30" s="4">
        <v>0</v>
      </c>
      <c r="I30" s="4">
        <v>0</v>
      </c>
      <c r="J30" s="4">
        <v>5616940.5599999996</v>
      </c>
      <c r="K30" s="4">
        <v>273395816.5</v>
      </c>
      <c r="L30" s="4" t="s">
        <v>163</v>
      </c>
      <c r="M30" s="4" t="s">
        <v>18</v>
      </c>
      <c r="N30" s="4" t="s">
        <v>20</v>
      </c>
      <c r="O30" s="4" t="s">
        <v>21</v>
      </c>
      <c r="P30" s="4" t="s">
        <v>21</v>
      </c>
      <c r="Q30" s="4" t="s">
        <v>22</v>
      </c>
      <c r="R30" s="9">
        <f t="shared" si="0"/>
        <v>4.6705149647596035E-3</v>
      </c>
    </row>
    <row r="31" spans="1:18" hidden="1" x14ac:dyDescent="0.2">
      <c r="A31" s="4">
        <v>737</v>
      </c>
      <c r="B31" s="2">
        <v>235435009</v>
      </c>
      <c r="C31" s="2">
        <v>1669876.5</v>
      </c>
      <c r="D31" s="4" t="s">
        <v>123</v>
      </c>
      <c r="E31" s="2">
        <v>233765132.5</v>
      </c>
      <c r="F31" s="2">
        <v>44415375.18</v>
      </c>
      <c r="G31" s="2">
        <v>5802803.9699999997</v>
      </c>
      <c r="H31" s="4">
        <v>6664652.4800000004</v>
      </c>
      <c r="I31" s="4">
        <v>0</v>
      </c>
      <c r="J31" s="4">
        <v>12467456.449999999</v>
      </c>
      <c r="K31" s="4">
        <v>265713051.22999999</v>
      </c>
      <c r="L31" s="4" t="s">
        <v>122</v>
      </c>
      <c r="M31" s="4" t="s">
        <v>30</v>
      </c>
      <c r="N31" s="4" t="s">
        <v>124</v>
      </c>
      <c r="O31" s="4" t="s">
        <v>33</v>
      </c>
      <c r="P31" s="4" t="s">
        <v>33</v>
      </c>
      <c r="Q31" s="4" t="s">
        <v>28</v>
      </c>
      <c r="R31" s="9">
        <f t="shared" si="0"/>
        <v>4.6565835837155288E-3</v>
      </c>
    </row>
    <row r="32" spans="1:18" hidden="1" x14ac:dyDescent="0.2">
      <c r="A32" s="4">
        <v>1968</v>
      </c>
      <c r="B32" s="2">
        <v>233592035</v>
      </c>
      <c r="C32" s="2">
        <v>1004862.9</v>
      </c>
      <c r="D32" s="4" t="s">
        <v>185</v>
      </c>
      <c r="E32" s="2">
        <v>232587172.09999999</v>
      </c>
      <c r="F32" s="2">
        <v>44191562.689999998</v>
      </c>
      <c r="G32" s="2">
        <v>4895578.46</v>
      </c>
      <c r="H32" s="4">
        <v>0</v>
      </c>
      <c r="I32" s="4">
        <v>0</v>
      </c>
      <c r="J32" s="4">
        <v>4895578.46</v>
      </c>
      <c r="K32" s="4">
        <v>271883156.32999998</v>
      </c>
      <c r="L32" s="4" t="s">
        <v>183</v>
      </c>
      <c r="M32" s="4" t="s">
        <v>184</v>
      </c>
      <c r="N32" s="4" t="s">
        <v>186</v>
      </c>
      <c r="O32" s="4" t="s">
        <v>59</v>
      </c>
      <c r="P32" s="4" t="s">
        <v>59</v>
      </c>
      <c r="Q32" s="4" t="s">
        <v>28</v>
      </c>
      <c r="R32" s="9">
        <f t="shared" si="0"/>
        <v>4.6331187025236897E-3</v>
      </c>
    </row>
    <row r="33" spans="1:18" hidden="1" x14ac:dyDescent="0.2">
      <c r="A33" s="4">
        <v>989</v>
      </c>
      <c r="B33" s="2">
        <v>219881671</v>
      </c>
      <c r="C33" s="2">
        <v>268173.45</v>
      </c>
      <c r="D33" s="4" t="s">
        <v>126</v>
      </c>
      <c r="E33" s="2">
        <v>219613497.55000001</v>
      </c>
      <c r="F33" s="2">
        <v>41726564.530000001</v>
      </c>
      <c r="G33" s="2">
        <v>5074299.49</v>
      </c>
      <c r="H33" s="4">
        <v>5784701.3700000001</v>
      </c>
      <c r="I33" s="4">
        <v>0</v>
      </c>
      <c r="J33" s="4">
        <v>10859000.859999999</v>
      </c>
      <c r="K33" s="4">
        <v>250481061.22</v>
      </c>
      <c r="L33" s="4" t="s">
        <v>125</v>
      </c>
      <c r="M33" s="4" t="s">
        <v>95</v>
      </c>
      <c r="N33" s="4" t="s">
        <v>127</v>
      </c>
      <c r="O33" s="4" t="s">
        <v>67</v>
      </c>
      <c r="P33" s="4" t="s">
        <v>67</v>
      </c>
      <c r="Q33" s="4" t="s">
        <v>28</v>
      </c>
      <c r="R33" s="9">
        <f t="shared" si="0"/>
        <v>4.374684096456004E-3</v>
      </c>
    </row>
    <row r="34" spans="1:18" hidden="1" x14ac:dyDescent="0.2">
      <c r="A34" s="4">
        <v>36</v>
      </c>
      <c r="B34" s="2">
        <v>218069840</v>
      </c>
      <c r="C34" s="2">
        <v>0</v>
      </c>
      <c r="D34" s="4" t="s">
        <v>147</v>
      </c>
      <c r="E34" s="2">
        <v>218069840</v>
      </c>
      <c r="F34" s="2">
        <v>41433269.600000001</v>
      </c>
      <c r="G34" s="2">
        <v>4907723.71</v>
      </c>
      <c r="H34" s="4">
        <v>5594805.0199999996</v>
      </c>
      <c r="I34" s="4">
        <v>0</v>
      </c>
      <c r="J34" s="4">
        <v>10502528.73</v>
      </c>
      <c r="K34" s="4">
        <v>249000580.87</v>
      </c>
      <c r="L34" s="4" t="s">
        <v>145</v>
      </c>
      <c r="M34" s="4" t="s">
        <v>146</v>
      </c>
      <c r="N34" s="4" t="s">
        <v>104</v>
      </c>
      <c r="O34" s="4" t="s">
        <v>105</v>
      </c>
      <c r="P34" s="4" t="s">
        <v>105</v>
      </c>
      <c r="Q34" s="4" t="s">
        <v>28</v>
      </c>
      <c r="R34" s="9">
        <f t="shared" si="0"/>
        <v>4.3439345559692141E-3</v>
      </c>
    </row>
    <row r="35" spans="1:18" hidden="1" x14ac:dyDescent="0.2">
      <c r="A35" s="4">
        <v>1888</v>
      </c>
      <c r="B35" s="2">
        <v>212380218</v>
      </c>
      <c r="C35" s="2">
        <v>3819261.96</v>
      </c>
      <c r="D35" s="4" t="s">
        <v>199</v>
      </c>
      <c r="E35" s="2">
        <v>208560956.03999999</v>
      </c>
      <c r="F35" s="2">
        <v>39626581.649999999</v>
      </c>
      <c r="G35" s="2">
        <v>5211466.33</v>
      </c>
      <c r="H35" s="4">
        <v>0</v>
      </c>
      <c r="I35" s="4">
        <v>0</v>
      </c>
      <c r="J35" s="4">
        <v>5211466.33</v>
      </c>
      <c r="K35" s="4">
        <v>242976071.36000001</v>
      </c>
      <c r="L35" s="4" t="s">
        <v>197</v>
      </c>
      <c r="M35" s="4" t="s">
        <v>198</v>
      </c>
      <c r="N35" s="4" t="s">
        <v>200</v>
      </c>
      <c r="O35" s="4" t="s">
        <v>201</v>
      </c>
      <c r="P35" s="4" t="s">
        <v>201</v>
      </c>
      <c r="Q35" s="4" t="s">
        <v>28</v>
      </c>
      <c r="R35" s="9">
        <f t="shared" si="0"/>
        <v>4.1545183138031929E-3</v>
      </c>
    </row>
    <row r="36" spans="1:18" hidden="1" x14ac:dyDescent="0.2">
      <c r="A36" s="4">
        <v>356</v>
      </c>
      <c r="B36" s="2">
        <v>208205754</v>
      </c>
      <c r="C36" s="2">
        <v>166772.6</v>
      </c>
      <c r="D36" s="4" t="s">
        <v>108</v>
      </c>
      <c r="E36" s="2">
        <v>208038981.40000001</v>
      </c>
      <c r="F36" s="2">
        <v>39527406.450000003</v>
      </c>
      <c r="G36" s="2">
        <v>909139.23</v>
      </c>
      <c r="H36" s="4">
        <v>0</v>
      </c>
      <c r="I36" s="4">
        <v>0</v>
      </c>
      <c r="J36" s="4">
        <v>909139.23</v>
      </c>
      <c r="K36" s="4">
        <v>246657248.62</v>
      </c>
      <c r="L36" s="4" t="s">
        <v>106</v>
      </c>
      <c r="M36" s="4" t="s">
        <v>107</v>
      </c>
      <c r="N36" s="4" t="s">
        <v>20</v>
      </c>
      <c r="O36" s="4" t="s">
        <v>21</v>
      </c>
      <c r="P36" s="4" t="s">
        <v>21</v>
      </c>
      <c r="Q36" s="4" t="s">
        <v>22</v>
      </c>
      <c r="R36" s="9">
        <f t="shared" si="0"/>
        <v>4.1441206188443875E-3</v>
      </c>
    </row>
    <row r="37" spans="1:18" hidden="1" x14ac:dyDescent="0.2">
      <c r="A37" s="4">
        <v>45</v>
      </c>
      <c r="B37" s="2">
        <v>208346539</v>
      </c>
      <c r="C37" s="2">
        <v>732887.67</v>
      </c>
      <c r="D37" s="4" t="s">
        <v>268</v>
      </c>
      <c r="E37" s="2">
        <v>207613651.33000001</v>
      </c>
      <c r="F37" s="2">
        <v>39446593.75</v>
      </c>
      <c r="G37" s="2">
        <v>4607453.8899999997</v>
      </c>
      <c r="H37" s="4">
        <v>4574076.1399999997</v>
      </c>
      <c r="I37" s="4">
        <v>0</v>
      </c>
      <c r="J37" s="4">
        <v>9181530.0299999993</v>
      </c>
      <c r="K37" s="4">
        <v>237878715.05000001</v>
      </c>
      <c r="L37" s="4" t="s">
        <v>267</v>
      </c>
      <c r="M37" s="4" t="s">
        <v>146</v>
      </c>
      <c r="N37" s="4" t="s">
        <v>63</v>
      </c>
      <c r="O37" s="4" t="s">
        <v>33</v>
      </c>
      <c r="P37" s="4" t="s">
        <v>33</v>
      </c>
      <c r="Q37" s="4" t="s">
        <v>28</v>
      </c>
      <c r="R37" s="9">
        <f t="shared" si="0"/>
        <v>4.1356480763379789E-3</v>
      </c>
    </row>
    <row r="38" spans="1:18" hidden="1" x14ac:dyDescent="0.2">
      <c r="A38" s="4">
        <v>300</v>
      </c>
      <c r="B38" s="2">
        <v>196606603.5</v>
      </c>
      <c r="C38" s="2">
        <v>0</v>
      </c>
      <c r="D38" s="4" t="s">
        <v>331</v>
      </c>
      <c r="E38" s="2">
        <v>196606603.5</v>
      </c>
      <c r="F38" s="2">
        <v>37355254.670000002</v>
      </c>
      <c r="G38" s="2">
        <v>4673224.6399999997</v>
      </c>
      <c r="H38" s="4">
        <v>5327476.03</v>
      </c>
      <c r="I38" s="4">
        <v>0</v>
      </c>
      <c r="J38" s="4">
        <v>10000700.67</v>
      </c>
      <c r="K38" s="4">
        <v>223961157.5</v>
      </c>
      <c r="L38" s="4" t="s">
        <v>330</v>
      </c>
      <c r="M38" s="4" t="s">
        <v>110</v>
      </c>
      <c r="N38" s="4" t="s">
        <v>332</v>
      </c>
      <c r="O38" s="4" t="s">
        <v>21</v>
      </c>
      <c r="P38" s="4" t="s">
        <v>21</v>
      </c>
      <c r="Q38" s="4" t="s">
        <v>22</v>
      </c>
      <c r="R38" s="9">
        <f t="shared" si="0"/>
        <v>3.9163885243158232E-3</v>
      </c>
    </row>
    <row r="39" spans="1:18" hidden="1" x14ac:dyDescent="0.2">
      <c r="A39" s="4">
        <v>510</v>
      </c>
      <c r="B39" s="2">
        <v>194069828</v>
      </c>
      <c r="C39" s="2">
        <v>1372852.65</v>
      </c>
      <c r="D39" s="4" t="s">
        <v>130</v>
      </c>
      <c r="E39" s="2">
        <v>192696975.34999999</v>
      </c>
      <c r="F39" s="2">
        <v>36612425.310000002</v>
      </c>
      <c r="G39" s="2">
        <v>3877702.18</v>
      </c>
      <c r="H39" s="4">
        <v>0</v>
      </c>
      <c r="I39" s="4">
        <v>0</v>
      </c>
      <c r="J39" s="4">
        <v>3877702.18</v>
      </c>
      <c r="K39" s="4">
        <v>225431698.47999999</v>
      </c>
      <c r="L39" s="4" t="s">
        <v>128</v>
      </c>
      <c r="M39" s="4" t="s">
        <v>129</v>
      </c>
      <c r="N39" s="4" t="s">
        <v>104</v>
      </c>
      <c r="O39" s="4" t="s">
        <v>105</v>
      </c>
      <c r="P39" s="4" t="s">
        <v>105</v>
      </c>
      <c r="Q39" s="4" t="s">
        <v>28</v>
      </c>
      <c r="R39" s="9">
        <f t="shared" si="0"/>
        <v>3.8385090301969898E-3</v>
      </c>
    </row>
    <row r="40" spans="1:18" hidden="1" x14ac:dyDescent="0.2">
      <c r="A40" s="4">
        <v>1006</v>
      </c>
      <c r="B40" s="2">
        <v>192554819</v>
      </c>
      <c r="C40" s="2">
        <v>430399.05</v>
      </c>
      <c r="D40" s="4" t="s">
        <v>176</v>
      </c>
      <c r="E40" s="2">
        <v>192124419.94999999</v>
      </c>
      <c r="F40" s="2">
        <v>36503639.789999999</v>
      </c>
      <c r="G40" s="2">
        <v>4377740.78</v>
      </c>
      <c r="H40" s="4">
        <v>4990624.4800000004</v>
      </c>
      <c r="I40" s="4">
        <v>0</v>
      </c>
      <c r="J40" s="4">
        <v>9368365.2599999998</v>
      </c>
      <c r="K40" s="4">
        <v>219259694.47999999</v>
      </c>
      <c r="L40" s="4" t="s">
        <v>174</v>
      </c>
      <c r="M40" s="4" t="s">
        <v>175</v>
      </c>
      <c r="N40" s="4" t="s">
        <v>32</v>
      </c>
      <c r="O40" s="4" t="s">
        <v>33</v>
      </c>
      <c r="P40" s="4" t="s">
        <v>33</v>
      </c>
      <c r="Q40" s="4" t="s">
        <v>28</v>
      </c>
      <c r="R40" s="9">
        <f t="shared" si="0"/>
        <v>3.8271037703624944E-3</v>
      </c>
    </row>
    <row r="41" spans="1:18" hidden="1" x14ac:dyDescent="0.2">
      <c r="A41" s="4">
        <v>428</v>
      </c>
      <c r="B41" s="2">
        <v>190567797</v>
      </c>
      <c r="C41" s="2">
        <v>0</v>
      </c>
      <c r="D41" s="4" t="s">
        <v>138</v>
      </c>
      <c r="E41" s="2">
        <v>190567797</v>
      </c>
      <c r="F41" s="2">
        <v>36207881.43</v>
      </c>
      <c r="G41" s="2">
        <v>3874172.48</v>
      </c>
      <c r="H41" s="4">
        <v>4457266.9400000004</v>
      </c>
      <c r="I41" s="4">
        <v>0</v>
      </c>
      <c r="J41" s="4">
        <v>8331439.4199999999</v>
      </c>
      <c r="K41" s="4">
        <v>218444239.00999999</v>
      </c>
      <c r="L41" s="4" t="s">
        <v>136</v>
      </c>
      <c r="M41" s="4" t="s">
        <v>137</v>
      </c>
      <c r="N41" s="4" t="s">
        <v>32</v>
      </c>
      <c r="O41" s="4" t="s">
        <v>33</v>
      </c>
      <c r="P41" s="4" t="s">
        <v>33</v>
      </c>
      <c r="Q41" s="4" t="s">
        <v>22</v>
      </c>
      <c r="R41" s="9">
        <f t="shared" si="0"/>
        <v>3.7960959600980412E-3</v>
      </c>
    </row>
    <row r="42" spans="1:18" hidden="1" x14ac:dyDescent="0.2">
      <c r="A42" s="4">
        <v>298</v>
      </c>
      <c r="B42" s="2">
        <v>190021551</v>
      </c>
      <c r="C42" s="2">
        <v>0</v>
      </c>
      <c r="D42" s="4" t="s">
        <v>152</v>
      </c>
      <c r="E42" s="2">
        <v>190021551</v>
      </c>
      <c r="F42" s="2">
        <v>36104094.689999998</v>
      </c>
      <c r="G42" s="2">
        <v>4593852.25</v>
      </c>
      <c r="H42" s="4">
        <v>5236991.47</v>
      </c>
      <c r="I42" s="4">
        <v>0</v>
      </c>
      <c r="J42" s="4">
        <v>9830843.7200000007</v>
      </c>
      <c r="K42" s="4">
        <v>216294801.97</v>
      </c>
      <c r="L42" s="4" t="s">
        <v>151</v>
      </c>
      <c r="M42" s="4" t="s">
        <v>110</v>
      </c>
      <c r="N42" s="4" t="s">
        <v>20</v>
      </c>
      <c r="O42" s="4" t="s">
        <v>21</v>
      </c>
      <c r="P42" s="4" t="s">
        <v>21</v>
      </c>
      <c r="Q42" s="4" t="s">
        <v>22</v>
      </c>
      <c r="R42" s="9">
        <f t="shared" si="0"/>
        <v>3.785214781501955E-3</v>
      </c>
    </row>
    <row r="43" spans="1:18" hidden="1" x14ac:dyDescent="0.2">
      <c r="A43" s="4">
        <v>654</v>
      </c>
      <c r="B43" s="2">
        <v>187164439</v>
      </c>
      <c r="C43" s="2">
        <v>766433.38</v>
      </c>
      <c r="D43" s="4" t="s">
        <v>150</v>
      </c>
      <c r="E43" s="2">
        <v>186398005.62</v>
      </c>
      <c r="F43" s="2">
        <v>35415621.07</v>
      </c>
      <c r="G43" s="2">
        <v>3995146.85</v>
      </c>
      <c r="H43" s="4">
        <v>0</v>
      </c>
      <c r="I43" s="4">
        <v>0</v>
      </c>
      <c r="J43" s="4">
        <v>3995146.85</v>
      </c>
      <c r="K43" s="4">
        <v>217818479.84</v>
      </c>
      <c r="L43" s="4" t="s">
        <v>148</v>
      </c>
      <c r="M43" s="4" t="s">
        <v>149</v>
      </c>
      <c r="N43" s="4" t="s">
        <v>58</v>
      </c>
      <c r="O43" s="4" t="s">
        <v>59</v>
      </c>
      <c r="P43" s="4" t="s">
        <v>59</v>
      </c>
      <c r="Q43" s="4" t="s">
        <v>100</v>
      </c>
      <c r="R43" s="9">
        <f t="shared" si="0"/>
        <v>3.7130340343096585E-3</v>
      </c>
    </row>
    <row r="44" spans="1:18" hidden="1" x14ac:dyDescent="0.2">
      <c r="A44" s="4">
        <v>991</v>
      </c>
      <c r="B44" s="2">
        <v>185014288</v>
      </c>
      <c r="C44" s="2">
        <v>694335.69</v>
      </c>
      <c r="D44" s="4" t="s">
        <v>211</v>
      </c>
      <c r="E44" s="2">
        <v>184319952.31</v>
      </c>
      <c r="F44" s="2">
        <v>35020790.939999998</v>
      </c>
      <c r="G44" s="2">
        <v>4380534.5199999996</v>
      </c>
      <c r="H44" s="4">
        <v>4993809.32</v>
      </c>
      <c r="I44" s="4">
        <v>0</v>
      </c>
      <c r="J44" s="4">
        <v>9374343.8399999999</v>
      </c>
      <c r="K44" s="4">
        <v>209966399.41</v>
      </c>
      <c r="L44" s="4" t="s">
        <v>210</v>
      </c>
      <c r="M44" s="4" t="s">
        <v>95</v>
      </c>
      <c r="N44" s="4" t="s">
        <v>212</v>
      </c>
      <c r="O44" s="4" t="s">
        <v>33</v>
      </c>
      <c r="P44" s="4" t="s">
        <v>33</v>
      </c>
      <c r="Q44" s="4" t="s">
        <v>28</v>
      </c>
      <c r="R44" s="9">
        <f t="shared" si="0"/>
        <v>3.6716393711024252E-3</v>
      </c>
    </row>
    <row r="45" spans="1:18" hidden="1" x14ac:dyDescent="0.2">
      <c r="A45" s="4">
        <v>393</v>
      </c>
      <c r="B45" s="2">
        <v>183913511</v>
      </c>
      <c r="C45" s="2">
        <v>0</v>
      </c>
      <c r="D45" s="4" t="s">
        <v>866</v>
      </c>
      <c r="E45" s="2">
        <v>183913511</v>
      </c>
      <c r="F45" s="2">
        <v>34943567.090000004</v>
      </c>
      <c r="G45" s="2">
        <v>4046874.27</v>
      </c>
      <c r="H45" s="4">
        <v>4733723.7699999996</v>
      </c>
      <c r="I45" s="4">
        <v>0</v>
      </c>
      <c r="J45" s="4">
        <v>8780598.0399999991</v>
      </c>
      <c r="K45" s="4">
        <v>210076480.05000001</v>
      </c>
      <c r="L45" s="4" t="s">
        <v>864</v>
      </c>
      <c r="M45" s="4" t="s">
        <v>865</v>
      </c>
      <c r="N45" s="4" t="s">
        <v>867</v>
      </c>
      <c r="O45" s="4" t="s">
        <v>21</v>
      </c>
      <c r="P45" s="4" t="s">
        <v>21</v>
      </c>
      <c r="Q45" s="4" t="s">
        <v>28</v>
      </c>
      <c r="R45" s="9">
        <f t="shared" si="0"/>
        <v>3.6635430912524357E-3</v>
      </c>
    </row>
    <row r="46" spans="1:18" hidden="1" x14ac:dyDescent="0.2">
      <c r="A46" s="4">
        <v>1100</v>
      </c>
      <c r="B46" s="2">
        <v>181513412</v>
      </c>
      <c r="C46" s="2">
        <v>0</v>
      </c>
      <c r="D46" s="4" t="s">
        <v>217</v>
      </c>
      <c r="E46" s="2">
        <v>181513412</v>
      </c>
      <c r="F46" s="2">
        <v>34487548.280000001</v>
      </c>
      <c r="G46" s="2">
        <v>4394088.78</v>
      </c>
      <c r="H46" s="4">
        <v>0</v>
      </c>
      <c r="I46" s="4">
        <v>0</v>
      </c>
      <c r="J46" s="4">
        <v>4394088.78</v>
      </c>
      <c r="K46" s="4">
        <v>211606871.5</v>
      </c>
      <c r="L46" s="4" t="s">
        <v>215</v>
      </c>
      <c r="M46" s="4" t="s">
        <v>216</v>
      </c>
      <c r="N46" s="4" t="s">
        <v>218</v>
      </c>
      <c r="O46" s="4" t="s">
        <v>196</v>
      </c>
      <c r="P46" s="4" t="s">
        <v>196</v>
      </c>
      <c r="Q46" s="4" t="s">
        <v>22</v>
      </c>
      <c r="R46" s="9">
        <f t="shared" si="0"/>
        <v>3.6157333024992222E-3</v>
      </c>
    </row>
    <row r="47" spans="1:18" hidden="1" x14ac:dyDescent="0.2">
      <c r="A47" s="4">
        <v>1898</v>
      </c>
      <c r="B47" s="2">
        <v>174102017</v>
      </c>
      <c r="C47" s="2">
        <v>209653.08</v>
      </c>
      <c r="D47" s="4" t="s">
        <v>309</v>
      </c>
      <c r="E47" s="2">
        <v>173892363.91999999</v>
      </c>
      <c r="F47" s="2">
        <v>33039549.149999999</v>
      </c>
      <c r="G47" s="2">
        <v>0</v>
      </c>
      <c r="H47" s="4">
        <v>0</v>
      </c>
      <c r="I47" s="4">
        <v>0</v>
      </c>
      <c r="J47" s="4">
        <v>0</v>
      </c>
      <c r="K47" s="4">
        <v>206931913.06999999</v>
      </c>
      <c r="L47" s="4" t="s">
        <v>307</v>
      </c>
      <c r="M47" s="4" t="s">
        <v>308</v>
      </c>
      <c r="N47" s="4" t="s">
        <v>112</v>
      </c>
      <c r="O47" s="4" t="s">
        <v>113</v>
      </c>
      <c r="P47" s="4" t="s">
        <v>113</v>
      </c>
      <c r="Q47" s="4" t="s">
        <v>28</v>
      </c>
      <c r="R47" s="9">
        <f t="shared" si="0"/>
        <v>3.4639226068642142E-3</v>
      </c>
    </row>
    <row r="48" spans="1:18" hidden="1" x14ac:dyDescent="0.2">
      <c r="A48" s="4">
        <v>290</v>
      </c>
      <c r="B48" s="2">
        <v>171114301.69999999</v>
      </c>
      <c r="C48" s="2">
        <v>0</v>
      </c>
      <c r="D48" s="4" t="s">
        <v>253</v>
      </c>
      <c r="E48" s="2">
        <v>171114301.69999999</v>
      </c>
      <c r="F48" s="2">
        <v>32511717.32</v>
      </c>
      <c r="G48" s="2">
        <v>4130282.39</v>
      </c>
      <c r="H48" s="4">
        <v>4708521.8600000003</v>
      </c>
      <c r="I48" s="4">
        <v>0</v>
      </c>
      <c r="J48" s="4">
        <v>8838804.25</v>
      </c>
      <c r="K48" s="4">
        <v>194787214.77000001</v>
      </c>
      <c r="L48" s="4" t="s">
        <v>252</v>
      </c>
      <c r="M48" s="4" t="s">
        <v>110</v>
      </c>
      <c r="N48" s="4" t="s">
        <v>20</v>
      </c>
      <c r="O48" s="4" t="s">
        <v>21</v>
      </c>
      <c r="P48" s="4" t="s">
        <v>21</v>
      </c>
      <c r="Q48" s="4" t="s">
        <v>22</v>
      </c>
      <c r="R48" s="9">
        <f t="shared" si="0"/>
        <v>3.4085838196385686E-3</v>
      </c>
    </row>
    <row r="49" spans="1:18" hidden="1" x14ac:dyDescent="0.2">
      <c r="A49" s="4">
        <v>8</v>
      </c>
      <c r="B49" s="2">
        <v>171009892</v>
      </c>
      <c r="C49" s="2">
        <v>0</v>
      </c>
      <c r="D49" s="4" t="s">
        <v>204</v>
      </c>
      <c r="E49" s="2">
        <v>171009892</v>
      </c>
      <c r="F49" s="2">
        <v>0</v>
      </c>
      <c r="G49" s="2">
        <v>4146382.86</v>
      </c>
      <c r="H49" s="4">
        <v>0</v>
      </c>
      <c r="I49" s="4">
        <v>0</v>
      </c>
      <c r="J49" s="4">
        <v>4146382.86</v>
      </c>
      <c r="K49" s="4">
        <v>166863509.13999999</v>
      </c>
      <c r="L49" s="4" t="s">
        <v>202</v>
      </c>
      <c r="M49" s="4" t="s">
        <v>203</v>
      </c>
      <c r="N49" s="4" t="s">
        <v>205</v>
      </c>
      <c r="O49" s="4" t="s">
        <v>206</v>
      </c>
      <c r="P49" s="4" t="s">
        <v>206</v>
      </c>
      <c r="Q49" s="4" t="s">
        <v>28</v>
      </c>
      <c r="R49" s="9">
        <f t="shared" si="0"/>
        <v>3.406503986389696E-3</v>
      </c>
    </row>
    <row r="50" spans="1:18" hidden="1" x14ac:dyDescent="0.2">
      <c r="A50" s="4">
        <v>699</v>
      </c>
      <c r="B50" s="2">
        <v>165981006</v>
      </c>
      <c r="C50" s="2">
        <v>202416.21</v>
      </c>
      <c r="D50" s="4" t="s">
        <v>305</v>
      </c>
      <c r="E50" s="2">
        <v>165778589.78999999</v>
      </c>
      <c r="F50" s="2">
        <v>31497932.059999999</v>
      </c>
      <c r="G50" s="2">
        <v>3875735.99</v>
      </c>
      <c r="H50" s="4">
        <v>0</v>
      </c>
      <c r="I50" s="4">
        <v>0</v>
      </c>
      <c r="J50" s="4">
        <v>3875735.99</v>
      </c>
      <c r="K50" s="4">
        <v>193400785.86000001</v>
      </c>
      <c r="L50" s="4" t="s">
        <v>303</v>
      </c>
      <c r="M50" s="4" t="s">
        <v>304</v>
      </c>
      <c r="N50" s="4" t="s">
        <v>306</v>
      </c>
      <c r="O50" s="4" t="s">
        <v>42</v>
      </c>
      <c r="P50" s="4" t="s">
        <v>42</v>
      </c>
      <c r="Q50" s="4" t="s">
        <v>28</v>
      </c>
      <c r="R50" s="9">
        <f t="shared" si="0"/>
        <v>3.3022968459491052E-3</v>
      </c>
    </row>
    <row r="51" spans="1:18" hidden="1" x14ac:dyDescent="0.2">
      <c r="A51" s="4">
        <v>995</v>
      </c>
      <c r="B51" s="2">
        <v>162154991</v>
      </c>
      <c r="C51" s="2">
        <v>125560.98</v>
      </c>
      <c r="D51" s="4" t="s">
        <v>191</v>
      </c>
      <c r="E51" s="2">
        <v>162029430.02000001</v>
      </c>
      <c r="F51" s="2">
        <v>30785591.699999999</v>
      </c>
      <c r="G51" s="2">
        <v>3639910.94</v>
      </c>
      <c r="H51" s="4">
        <v>4149498.42</v>
      </c>
      <c r="I51" s="4">
        <v>0</v>
      </c>
      <c r="J51" s="4">
        <v>7789409.3600000003</v>
      </c>
      <c r="K51" s="4">
        <v>185025612.36000001</v>
      </c>
      <c r="L51" s="4" t="s">
        <v>190</v>
      </c>
      <c r="M51" s="4" t="s">
        <v>95</v>
      </c>
      <c r="N51" s="4" t="s">
        <v>104</v>
      </c>
      <c r="O51" s="4" t="s">
        <v>105</v>
      </c>
      <c r="P51" s="4" t="s">
        <v>105</v>
      </c>
      <c r="Q51" s="4" t="s">
        <v>28</v>
      </c>
      <c r="R51" s="9">
        <f t="shared" si="0"/>
        <v>3.2276138697028139E-3</v>
      </c>
    </row>
    <row r="52" spans="1:18" hidden="1" x14ac:dyDescent="0.2">
      <c r="A52" s="4">
        <v>1752</v>
      </c>
      <c r="B52" s="2">
        <v>161504129</v>
      </c>
      <c r="C52" s="2">
        <v>-3009.12</v>
      </c>
      <c r="D52" s="4" t="s">
        <v>3118</v>
      </c>
      <c r="E52" s="2">
        <v>161507138.12</v>
      </c>
      <c r="F52" s="2">
        <v>0</v>
      </c>
      <c r="G52" s="2">
        <v>0</v>
      </c>
      <c r="H52" s="4">
        <v>0</v>
      </c>
      <c r="I52" s="4">
        <v>0</v>
      </c>
      <c r="J52" s="4">
        <v>0</v>
      </c>
      <c r="K52" s="4">
        <v>161507138.12</v>
      </c>
      <c r="L52" s="4" t="s">
        <v>3116</v>
      </c>
      <c r="M52" s="4" t="s">
        <v>3117</v>
      </c>
      <c r="N52" s="4" t="s">
        <v>544</v>
      </c>
      <c r="O52" s="4" t="s">
        <v>76</v>
      </c>
      <c r="P52" s="4" t="s">
        <v>76</v>
      </c>
      <c r="Q52" s="4" t="s">
        <v>100</v>
      </c>
      <c r="R52" s="9">
        <f t="shared" si="0"/>
        <v>3.2172098549490416E-3</v>
      </c>
    </row>
    <row r="53" spans="1:18" hidden="1" x14ac:dyDescent="0.2">
      <c r="A53" s="4">
        <v>994</v>
      </c>
      <c r="B53" s="2">
        <v>160763319</v>
      </c>
      <c r="C53" s="2">
        <v>0</v>
      </c>
      <c r="D53" s="4" t="s">
        <v>166</v>
      </c>
      <c r="E53" s="2">
        <v>160763319</v>
      </c>
      <c r="F53" s="2">
        <v>30545030.609999999</v>
      </c>
      <c r="G53" s="2">
        <v>3690534.26</v>
      </c>
      <c r="H53" s="4">
        <v>4207209.0199999996</v>
      </c>
      <c r="I53" s="4">
        <v>0</v>
      </c>
      <c r="J53" s="4">
        <v>7897743.2800000003</v>
      </c>
      <c r="K53" s="4">
        <v>183410606.33000001</v>
      </c>
      <c r="L53" s="4" t="s">
        <v>165</v>
      </c>
      <c r="M53" s="4" t="s">
        <v>95</v>
      </c>
      <c r="N53" s="4" t="s">
        <v>104</v>
      </c>
      <c r="O53" s="4" t="s">
        <v>105</v>
      </c>
      <c r="P53" s="4" t="s">
        <v>105</v>
      </c>
      <c r="Q53" s="4" t="s">
        <v>28</v>
      </c>
      <c r="R53" s="9">
        <f t="shared" si="0"/>
        <v>3.2023930348937849E-3</v>
      </c>
    </row>
    <row r="54" spans="1:18" hidden="1" x14ac:dyDescent="0.2">
      <c r="A54" s="4">
        <v>505</v>
      </c>
      <c r="B54" s="2">
        <v>160340851</v>
      </c>
      <c r="C54" s="2">
        <v>932157.45</v>
      </c>
      <c r="D54" s="4" t="s">
        <v>281</v>
      </c>
      <c r="E54" s="2">
        <v>159408693.55000001</v>
      </c>
      <c r="F54" s="2">
        <v>30287651.77</v>
      </c>
      <c r="G54" s="2">
        <v>3977893.14</v>
      </c>
      <c r="H54" s="4">
        <v>0</v>
      </c>
      <c r="I54" s="4">
        <v>0</v>
      </c>
      <c r="J54" s="4">
        <v>3977893.14</v>
      </c>
      <c r="K54" s="4">
        <v>185718452.18000001</v>
      </c>
      <c r="L54" s="4" t="s">
        <v>279</v>
      </c>
      <c r="M54" s="4" t="s">
        <v>280</v>
      </c>
      <c r="N54" s="4" t="s">
        <v>200</v>
      </c>
      <c r="O54" s="4" t="s">
        <v>201</v>
      </c>
      <c r="P54" s="4" t="s">
        <v>201</v>
      </c>
      <c r="Q54" s="4" t="s">
        <v>28</v>
      </c>
      <c r="R54" s="9">
        <f t="shared" si="0"/>
        <v>3.1754089994001544E-3</v>
      </c>
    </row>
    <row r="55" spans="1:18" hidden="1" x14ac:dyDescent="0.2">
      <c r="A55" s="4">
        <v>1952</v>
      </c>
      <c r="B55" s="2">
        <v>159303687</v>
      </c>
      <c r="C55" s="2">
        <v>134831.76</v>
      </c>
      <c r="D55" s="4" t="s">
        <v>155</v>
      </c>
      <c r="E55" s="2">
        <v>159168855.24000001</v>
      </c>
      <c r="F55" s="2">
        <v>30242082.5</v>
      </c>
      <c r="G55" s="2">
        <v>3441996.97</v>
      </c>
      <c r="H55" s="4">
        <v>0</v>
      </c>
      <c r="I55" s="4">
        <v>0</v>
      </c>
      <c r="J55" s="4">
        <v>3441996.97</v>
      </c>
      <c r="K55" s="4">
        <v>185968940.77000001</v>
      </c>
      <c r="L55" s="4" t="s">
        <v>153</v>
      </c>
      <c r="M55" s="4" t="s">
        <v>154</v>
      </c>
      <c r="N55" s="4" t="s">
        <v>156</v>
      </c>
      <c r="O55" s="4" t="s">
        <v>67</v>
      </c>
      <c r="P55" s="4" t="s">
        <v>67</v>
      </c>
      <c r="Q55" s="4" t="s">
        <v>28</v>
      </c>
      <c r="R55" s="9">
        <f t="shared" si="0"/>
        <v>3.1706314385845265E-3</v>
      </c>
    </row>
    <row r="56" spans="1:18" hidden="1" x14ac:dyDescent="0.2">
      <c r="A56" s="4">
        <v>566</v>
      </c>
      <c r="B56" s="2">
        <v>160983416</v>
      </c>
      <c r="C56" s="2">
        <v>1990850.19</v>
      </c>
      <c r="D56" s="4" t="s">
        <v>358</v>
      </c>
      <c r="E56" s="2">
        <v>158992565.81</v>
      </c>
      <c r="F56" s="2">
        <v>30208587.510000002</v>
      </c>
      <c r="G56" s="2">
        <v>3104682.08</v>
      </c>
      <c r="H56" s="4">
        <v>0</v>
      </c>
      <c r="I56" s="4">
        <v>0</v>
      </c>
      <c r="J56" s="4">
        <v>3104682.08</v>
      </c>
      <c r="K56" s="4">
        <v>186096471.24000001</v>
      </c>
      <c r="L56" s="4" t="s">
        <v>356</v>
      </c>
      <c r="M56" s="4" t="s">
        <v>357</v>
      </c>
      <c r="N56" s="4" t="s">
        <v>20</v>
      </c>
      <c r="O56" s="4" t="s">
        <v>359</v>
      </c>
      <c r="P56" s="4" t="s">
        <v>359</v>
      </c>
      <c r="Q56" s="4" t="s">
        <v>100</v>
      </c>
      <c r="R56" s="9">
        <f t="shared" si="0"/>
        <v>3.1671197666044435E-3</v>
      </c>
    </row>
    <row r="57" spans="1:18" hidden="1" x14ac:dyDescent="0.2">
      <c r="A57" s="4">
        <v>1585</v>
      </c>
      <c r="B57" s="2">
        <v>158567507</v>
      </c>
      <c r="C57" s="2">
        <v>208074</v>
      </c>
      <c r="D57" s="4" t="s">
        <v>171</v>
      </c>
      <c r="E57" s="2">
        <v>158359433</v>
      </c>
      <c r="F57" s="2">
        <v>30088292.27</v>
      </c>
      <c r="G57" s="2">
        <v>3518740.55</v>
      </c>
      <c r="H57" s="4">
        <v>0</v>
      </c>
      <c r="I57" s="4">
        <v>0</v>
      </c>
      <c r="J57" s="4">
        <v>3518740.55</v>
      </c>
      <c r="K57" s="4">
        <v>184928984.72</v>
      </c>
      <c r="L57" s="4" t="s">
        <v>169</v>
      </c>
      <c r="M57" s="4" t="s">
        <v>170</v>
      </c>
      <c r="N57" s="4" t="s">
        <v>172</v>
      </c>
      <c r="O57" s="4" t="s">
        <v>173</v>
      </c>
      <c r="P57" s="4" t="s">
        <v>173</v>
      </c>
      <c r="Q57" s="4" t="s">
        <v>28</v>
      </c>
      <c r="R57" s="9">
        <f t="shared" si="0"/>
        <v>3.1545078093898333E-3</v>
      </c>
    </row>
    <row r="58" spans="1:18" hidden="1" x14ac:dyDescent="0.2">
      <c r="A58" s="4">
        <v>162</v>
      </c>
      <c r="B58" s="2">
        <v>154353015</v>
      </c>
      <c r="C58" s="2">
        <v>233496.12</v>
      </c>
      <c r="D58" s="4" t="s">
        <v>260</v>
      </c>
      <c r="E58" s="2">
        <v>154119518.88</v>
      </c>
      <c r="F58" s="2">
        <v>29282708.579999998</v>
      </c>
      <c r="G58" s="2">
        <v>2502339.27</v>
      </c>
      <c r="H58" s="4">
        <v>0</v>
      </c>
      <c r="I58" s="4">
        <v>0</v>
      </c>
      <c r="J58" s="4">
        <v>2502339.27</v>
      </c>
      <c r="K58" s="4">
        <v>180899888.19</v>
      </c>
      <c r="L58" s="4" t="s">
        <v>258</v>
      </c>
      <c r="M58" s="4" t="s">
        <v>259</v>
      </c>
      <c r="N58" s="4" t="s">
        <v>20</v>
      </c>
      <c r="O58" s="4" t="s">
        <v>261</v>
      </c>
      <c r="P58" s="4" t="s">
        <v>261</v>
      </c>
      <c r="Q58" s="4" t="s">
        <v>28</v>
      </c>
      <c r="R58" s="9">
        <f t="shared" si="0"/>
        <v>3.0700490439768361E-3</v>
      </c>
    </row>
    <row r="59" spans="1:18" hidden="1" x14ac:dyDescent="0.2">
      <c r="A59" s="4">
        <v>363</v>
      </c>
      <c r="B59" s="2">
        <v>154034860</v>
      </c>
      <c r="C59" s="2">
        <v>0</v>
      </c>
      <c r="D59" s="4" t="s">
        <v>275</v>
      </c>
      <c r="E59" s="2">
        <v>154034860</v>
      </c>
      <c r="F59" s="2">
        <v>29266623.399999999</v>
      </c>
      <c r="G59" s="2">
        <v>3244764.23</v>
      </c>
      <c r="H59" s="4">
        <v>0</v>
      </c>
      <c r="I59" s="4">
        <v>0</v>
      </c>
      <c r="J59" s="4">
        <v>3244764.23</v>
      </c>
      <c r="K59" s="4">
        <v>180056719.16999999</v>
      </c>
      <c r="L59" s="4" t="s">
        <v>273</v>
      </c>
      <c r="M59" s="4" t="s">
        <v>274</v>
      </c>
      <c r="N59" s="4" t="s">
        <v>276</v>
      </c>
      <c r="O59" s="4" t="s">
        <v>105</v>
      </c>
      <c r="P59" s="4" t="s">
        <v>105</v>
      </c>
      <c r="Q59" s="4" t="s">
        <v>28</v>
      </c>
      <c r="R59" s="9">
        <f t="shared" si="0"/>
        <v>3.0683626455537362E-3</v>
      </c>
    </row>
    <row r="60" spans="1:18" hidden="1" x14ac:dyDescent="0.2">
      <c r="A60" s="4">
        <v>1390</v>
      </c>
      <c r="B60" s="2">
        <v>153898129.53</v>
      </c>
      <c r="C60" s="2">
        <v>0</v>
      </c>
      <c r="D60" s="4" t="s">
        <v>209</v>
      </c>
      <c r="E60" s="2">
        <v>153898129.53</v>
      </c>
      <c r="F60" s="2">
        <v>29240644.609999999</v>
      </c>
      <c r="G60" s="2">
        <v>0</v>
      </c>
      <c r="H60" s="4">
        <v>0</v>
      </c>
      <c r="I60" s="4">
        <v>0</v>
      </c>
      <c r="J60" s="4">
        <v>0</v>
      </c>
      <c r="K60" s="4">
        <v>183138774.13999999</v>
      </c>
      <c r="L60" s="4" t="s">
        <v>207</v>
      </c>
      <c r="M60" s="4" t="s">
        <v>208</v>
      </c>
      <c r="N60" s="4" t="s">
        <v>117</v>
      </c>
      <c r="O60" s="4" t="s">
        <v>93</v>
      </c>
      <c r="P60" s="4" t="s">
        <v>93</v>
      </c>
      <c r="Q60" s="4" t="s">
        <v>100</v>
      </c>
      <c r="R60" s="9">
        <f t="shared" si="0"/>
        <v>3.0656389850352212E-3</v>
      </c>
    </row>
    <row r="61" spans="1:18" hidden="1" x14ac:dyDescent="0.2">
      <c r="A61" s="4">
        <v>292</v>
      </c>
      <c r="B61" s="2">
        <v>153612092.09999999</v>
      </c>
      <c r="C61" s="2">
        <v>0</v>
      </c>
      <c r="D61" s="4" t="s">
        <v>121</v>
      </c>
      <c r="E61" s="2">
        <v>153612092.09999999</v>
      </c>
      <c r="F61" s="2">
        <v>29186297.5</v>
      </c>
      <c r="G61" s="2">
        <v>3840302.35</v>
      </c>
      <c r="H61" s="4">
        <v>4377944.63</v>
      </c>
      <c r="I61" s="4">
        <v>0</v>
      </c>
      <c r="J61" s="4">
        <v>8218246.9800000004</v>
      </c>
      <c r="K61" s="4">
        <v>174580142.62</v>
      </c>
      <c r="L61" s="4" t="s">
        <v>120</v>
      </c>
      <c r="M61" s="4" t="s">
        <v>110</v>
      </c>
      <c r="N61" s="4" t="s">
        <v>20</v>
      </c>
      <c r="O61" s="4" t="s">
        <v>21</v>
      </c>
      <c r="P61" s="4" t="s">
        <v>21</v>
      </c>
      <c r="Q61" s="4" t="s">
        <v>22</v>
      </c>
      <c r="R61" s="9">
        <f t="shared" si="0"/>
        <v>3.059941141278021E-3</v>
      </c>
    </row>
    <row r="62" spans="1:18" hidden="1" x14ac:dyDescent="0.2">
      <c r="A62" s="4">
        <v>665</v>
      </c>
      <c r="B62" s="2">
        <v>155127349</v>
      </c>
      <c r="C62" s="2">
        <v>3152472.12</v>
      </c>
      <c r="D62" s="4" t="s">
        <v>301</v>
      </c>
      <c r="E62" s="2">
        <v>151974876.88</v>
      </c>
      <c r="F62" s="2">
        <v>28875226.609999999</v>
      </c>
      <c r="G62" s="2">
        <v>3599741.08</v>
      </c>
      <c r="H62" s="4">
        <v>0</v>
      </c>
      <c r="I62" s="4">
        <v>0</v>
      </c>
      <c r="J62" s="4">
        <v>3599741.08</v>
      </c>
      <c r="K62" s="4">
        <v>177250362.41</v>
      </c>
      <c r="L62" s="4" t="s">
        <v>299</v>
      </c>
      <c r="M62" s="4" t="s">
        <v>300</v>
      </c>
      <c r="N62" s="4" t="s">
        <v>302</v>
      </c>
      <c r="O62" s="4" t="s">
        <v>27</v>
      </c>
      <c r="P62" s="4" t="s">
        <v>27</v>
      </c>
      <c r="Q62" s="4" t="s">
        <v>28</v>
      </c>
      <c r="R62" s="9">
        <f t="shared" si="0"/>
        <v>3.0273279391510475E-3</v>
      </c>
    </row>
    <row r="63" spans="1:18" hidden="1" x14ac:dyDescent="0.2">
      <c r="A63" s="4">
        <v>295</v>
      </c>
      <c r="B63" s="2">
        <v>150576768.80000001</v>
      </c>
      <c r="C63" s="2">
        <v>0</v>
      </c>
      <c r="D63" s="4" t="s">
        <v>239</v>
      </c>
      <c r="E63" s="2">
        <v>150576768.80000001</v>
      </c>
      <c r="F63" s="2">
        <v>28609586.07</v>
      </c>
      <c r="G63" s="2">
        <v>3624927.53</v>
      </c>
      <c r="H63" s="4">
        <v>4132417.32</v>
      </c>
      <c r="I63" s="4">
        <v>0</v>
      </c>
      <c r="J63" s="4">
        <v>7757344.8499999996</v>
      </c>
      <c r="K63" s="4">
        <v>171429010.02000001</v>
      </c>
      <c r="L63" s="4" t="s">
        <v>238</v>
      </c>
      <c r="M63" s="4" t="s">
        <v>110</v>
      </c>
      <c r="N63" s="4" t="s">
        <v>20</v>
      </c>
      <c r="O63" s="4" t="s">
        <v>21</v>
      </c>
      <c r="P63" s="4" t="s">
        <v>21</v>
      </c>
      <c r="Q63" s="4" t="s">
        <v>22</v>
      </c>
      <c r="R63" s="9">
        <f t="shared" si="0"/>
        <v>2.9994777329891515E-3</v>
      </c>
    </row>
    <row r="64" spans="1:18" hidden="1" x14ac:dyDescent="0.2">
      <c r="A64" s="4">
        <v>287</v>
      </c>
      <c r="B64" s="2">
        <v>145803919.19999999</v>
      </c>
      <c r="C64" s="2">
        <v>0</v>
      </c>
      <c r="D64" s="4" t="s">
        <v>295</v>
      </c>
      <c r="E64" s="2">
        <v>145803919.19999999</v>
      </c>
      <c r="F64" s="2">
        <v>27702744.649999999</v>
      </c>
      <c r="G64" s="2">
        <v>3469275.97</v>
      </c>
      <c r="H64" s="4">
        <v>3954974.59</v>
      </c>
      <c r="I64" s="4">
        <v>0</v>
      </c>
      <c r="J64" s="4">
        <v>7424250.5599999996</v>
      </c>
      <c r="K64" s="4">
        <v>166082413.28999999</v>
      </c>
      <c r="L64" s="4" t="s">
        <v>294</v>
      </c>
      <c r="M64" s="4" t="s">
        <v>110</v>
      </c>
      <c r="N64" s="4" t="s">
        <v>20</v>
      </c>
      <c r="O64" s="4" t="s">
        <v>21</v>
      </c>
      <c r="P64" s="4" t="s">
        <v>21</v>
      </c>
      <c r="Q64" s="4" t="s">
        <v>22</v>
      </c>
      <c r="R64" s="9">
        <f t="shared" si="0"/>
        <v>2.9044029335217702E-3</v>
      </c>
    </row>
    <row r="65" spans="1:18" hidden="1" x14ac:dyDescent="0.2">
      <c r="A65" s="4">
        <v>1875</v>
      </c>
      <c r="B65" s="2">
        <v>147688304</v>
      </c>
      <c r="C65" s="2">
        <v>2258156.6</v>
      </c>
      <c r="D65" s="4" t="s">
        <v>315</v>
      </c>
      <c r="E65" s="2">
        <v>145430147.40000001</v>
      </c>
      <c r="F65" s="2">
        <v>27631728.02</v>
      </c>
      <c r="G65" s="2">
        <v>3172587.25</v>
      </c>
      <c r="H65" s="4">
        <v>0</v>
      </c>
      <c r="I65" s="4">
        <v>0</v>
      </c>
      <c r="J65" s="4">
        <v>3172587.25</v>
      </c>
      <c r="K65" s="4">
        <v>169889288.16999999</v>
      </c>
      <c r="L65" s="4" t="s">
        <v>313</v>
      </c>
      <c r="M65" s="4" t="s">
        <v>314</v>
      </c>
      <c r="N65" s="4" t="s">
        <v>20</v>
      </c>
      <c r="O65" s="4" t="s">
        <v>316</v>
      </c>
      <c r="P65" s="4" t="s">
        <v>316</v>
      </c>
      <c r="Q65" s="4" t="s">
        <v>28</v>
      </c>
      <c r="R65" s="9">
        <f t="shared" si="0"/>
        <v>2.8969574278155858E-3</v>
      </c>
    </row>
    <row r="66" spans="1:18" hidden="1" x14ac:dyDescent="0.2">
      <c r="A66" s="4">
        <v>1018</v>
      </c>
      <c r="B66" s="2">
        <v>145617940</v>
      </c>
      <c r="C66" s="2">
        <v>377501.85</v>
      </c>
      <c r="D66" s="4" t="s">
        <v>189</v>
      </c>
      <c r="E66" s="2">
        <v>145240438.15000001</v>
      </c>
      <c r="F66" s="2">
        <v>27595683.25</v>
      </c>
      <c r="G66" s="2">
        <v>3487035.9</v>
      </c>
      <c r="H66" s="4">
        <v>0</v>
      </c>
      <c r="I66" s="4">
        <v>0</v>
      </c>
      <c r="J66" s="4">
        <v>3487035.9</v>
      </c>
      <c r="K66" s="4">
        <v>169349085.5</v>
      </c>
      <c r="L66" s="4" t="s">
        <v>187</v>
      </c>
      <c r="M66" s="4" t="s">
        <v>188</v>
      </c>
      <c r="N66" s="4" t="s">
        <v>156</v>
      </c>
      <c r="O66" s="4" t="s">
        <v>67</v>
      </c>
      <c r="P66" s="4" t="s">
        <v>67</v>
      </c>
      <c r="Q66" s="4" t="s">
        <v>28</v>
      </c>
      <c r="R66" s="9">
        <f t="shared" si="0"/>
        <v>2.8931784340461494E-3</v>
      </c>
    </row>
    <row r="67" spans="1:18" hidden="1" x14ac:dyDescent="0.2">
      <c r="A67" s="4">
        <v>1172</v>
      </c>
      <c r="B67" s="2">
        <v>145667520</v>
      </c>
      <c r="C67" s="2">
        <v>626550</v>
      </c>
      <c r="D67" s="4" t="s">
        <v>179</v>
      </c>
      <c r="E67" s="2">
        <v>145040970</v>
      </c>
      <c r="F67" s="2">
        <v>27557784.300000001</v>
      </c>
      <c r="G67" s="2">
        <v>3634256.47</v>
      </c>
      <c r="H67" s="4">
        <v>4133667.65</v>
      </c>
      <c r="I67" s="4">
        <v>872221.55</v>
      </c>
      <c r="J67" s="4">
        <v>8640145.6699999999</v>
      </c>
      <c r="K67" s="4">
        <v>163958608.63</v>
      </c>
      <c r="L67" s="4" t="s">
        <v>177</v>
      </c>
      <c r="M67" s="4" t="s">
        <v>178</v>
      </c>
      <c r="N67" s="4" t="s">
        <v>58</v>
      </c>
      <c r="O67" s="4" t="s">
        <v>59</v>
      </c>
      <c r="P67" s="4" t="s">
        <v>59</v>
      </c>
      <c r="Q67" s="4" t="s">
        <v>28</v>
      </c>
      <c r="R67" s="9">
        <f t="shared" ref="R67:R130" si="1">E67/$E$2034</f>
        <v>2.8892050437341267E-3</v>
      </c>
    </row>
    <row r="68" spans="1:18" hidden="1" x14ac:dyDescent="0.2">
      <c r="A68" s="4">
        <v>1019</v>
      </c>
      <c r="B68" s="2">
        <v>145033939</v>
      </c>
      <c r="C68" s="2">
        <v>8515.3799999999992</v>
      </c>
      <c r="D68" s="4" t="s">
        <v>426</v>
      </c>
      <c r="E68" s="2">
        <v>145025423.62</v>
      </c>
      <c r="F68" s="2">
        <v>27554830.489999998</v>
      </c>
      <c r="G68" s="2">
        <v>0</v>
      </c>
      <c r="H68" s="4">
        <v>0</v>
      </c>
      <c r="I68" s="4">
        <v>0</v>
      </c>
      <c r="J68" s="4">
        <v>0</v>
      </c>
      <c r="K68" s="4">
        <v>172580254.11000001</v>
      </c>
      <c r="L68" s="4" t="s">
        <v>424</v>
      </c>
      <c r="M68" s="4" t="s">
        <v>425</v>
      </c>
      <c r="N68" s="4" t="s">
        <v>427</v>
      </c>
      <c r="O68" s="4" t="s">
        <v>89</v>
      </c>
      <c r="P68" s="4" t="s">
        <v>89</v>
      </c>
      <c r="Q68" s="4" t="s">
        <v>28</v>
      </c>
      <c r="R68" s="9">
        <f t="shared" si="1"/>
        <v>2.8888953610320062E-3</v>
      </c>
    </row>
    <row r="69" spans="1:18" hidden="1" x14ac:dyDescent="0.2">
      <c r="A69" s="4">
        <v>738</v>
      </c>
      <c r="B69" s="2">
        <v>145226486</v>
      </c>
      <c r="C69" s="2">
        <v>1230987.54</v>
      </c>
      <c r="D69" s="4" t="s">
        <v>135</v>
      </c>
      <c r="E69" s="2">
        <v>143995498.46000001</v>
      </c>
      <c r="F69" s="2">
        <v>27359144.699999999</v>
      </c>
      <c r="G69" s="2">
        <v>3120273.99</v>
      </c>
      <c r="H69" s="4">
        <v>3552790.16</v>
      </c>
      <c r="I69" s="4">
        <v>0</v>
      </c>
      <c r="J69" s="4">
        <v>6673064.1500000004</v>
      </c>
      <c r="K69" s="4">
        <v>164681579.00999999</v>
      </c>
      <c r="L69" s="4" t="s">
        <v>134</v>
      </c>
      <c r="M69" s="4" t="s">
        <v>30</v>
      </c>
      <c r="N69" s="4" t="s">
        <v>83</v>
      </c>
      <c r="O69" s="4" t="s">
        <v>84</v>
      </c>
      <c r="P69" s="4" t="s">
        <v>84</v>
      </c>
      <c r="Q69" s="4" t="s">
        <v>28</v>
      </c>
      <c r="R69" s="9">
        <f t="shared" si="1"/>
        <v>2.8683793305135903E-3</v>
      </c>
    </row>
    <row r="70" spans="1:18" hidden="1" x14ac:dyDescent="0.2">
      <c r="A70" s="4">
        <v>422</v>
      </c>
      <c r="B70" s="2">
        <v>143796472</v>
      </c>
      <c r="C70" s="2">
        <v>0</v>
      </c>
      <c r="D70" s="4" t="s">
        <v>214</v>
      </c>
      <c r="E70" s="2">
        <v>143796472</v>
      </c>
      <c r="F70" s="2">
        <v>27321329.68</v>
      </c>
      <c r="G70" s="2">
        <v>3024990.2</v>
      </c>
      <c r="H70" s="4">
        <v>3448488.84</v>
      </c>
      <c r="I70" s="4">
        <v>0</v>
      </c>
      <c r="J70" s="4">
        <v>6473479.04</v>
      </c>
      <c r="K70" s="4">
        <v>164644322.63999999</v>
      </c>
      <c r="L70" s="4" t="s">
        <v>213</v>
      </c>
      <c r="M70" s="4" t="s">
        <v>137</v>
      </c>
      <c r="N70" s="4" t="s">
        <v>104</v>
      </c>
      <c r="O70" s="4" t="s">
        <v>105</v>
      </c>
      <c r="P70" s="4" t="s">
        <v>105</v>
      </c>
      <c r="Q70" s="4" t="s">
        <v>22</v>
      </c>
      <c r="R70" s="9">
        <f t="shared" si="1"/>
        <v>2.8644147386326299E-3</v>
      </c>
    </row>
    <row r="71" spans="1:18" hidden="1" x14ac:dyDescent="0.2">
      <c r="A71" s="4">
        <v>441</v>
      </c>
      <c r="B71" s="2">
        <v>143920548</v>
      </c>
      <c r="C71" s="2">
        <v>350317.41</v>
      </c>
      <c r="D71" s="4" t="s">
        <v>256</v>
      </c>
      <c r="E71" s="2">
        <v>143570230.59</v>
      </c>
      <c r="F71" s="2">
        <v>27278343.82</v>
      </c>
      <c r="G71" s="2">
        <v>2404356.5299999998</v>
      </c>
      <c r="H71" s="4">
        <v>0</v>
      </c>
      <c r="I71" s="4">
        <v>0</v>
      </c>
      <c r="J71" s="4">
        <v>2404356.5299999998</v>
      </c>
      <c r="K71" s="4">
        <v>168444217.88</v>
      </c>
      <c r="L71" s="4" t="s">
        <v>254</v>
      </c>
      <c r="M71" s="4" t="s">
        <v>255</v>
      </c>
      <c r="N71" s="4" t="s">
        <v>20</v>
      </c>
      <c r="O71" s="4" t="s">
        <v>257</v>
      </c>
      <c r="P71" s="4" t="s">
        <v>257</v>
      </c>
      <c r="Q71" s="4" t="s">
        <v>28</v>
      </c>
      <c r="R71" s="9">
        <f t="shared" si="1"/>
        <v>2.8599080270264301E-3</v>
      </c>
    </row>
    <row r="72" spans="1:18" hidden="1" x14ac:dyDescent="0.2">
      <c r="A72" s="4">
        <v>682</v>
      </c>
      <c r="B72" s="2">
        <v>141706857</v>
      </c>
      <c r="C72" s="2">
        <v>0</v>
      </c>
      <c r="D72" s="4" t="s">
        <v>194</v>
      </c>
      <c r="E72" s="2">
        <v>141706857</v>
      </c>
      <c r="F72" s="2">
        <v>26924302.829999998</v>
      </c>
      <c r="G72" s="2">
        <v>3449645.38</v>
      </c>
      <c r="H72" s="4">
        <v>0</v>
      </c>
      <c r="I72" s="4">
        <v>0</v>
      </c>
      <c r="J72" s="4">
        <v>3449645.38</v>
      </c>
      <c r="K72" s="4">
        <v>165181514.44999999</v>
      </c>
      <c r="L72" s="4" t="s">
        <v>192</v>
      </c>
      <c r="M72" s="4" t="s">
        <v>193</v>
      </c>
      <c r="N72" s="4" t="s">
        <v>195</v>
      </c>
      <c r="O72" s="4" t="s">
        <v>196</v>
      </c>
      <c r="P72" s="4" t="s">
        <v>196</v>
      </c>
      <c r="Q72" s="4" t="s">
        <v>22</v>
      </c>
      <c r="R72" s="9">
        <f t="shared" si="1"/>
        <v>2.8227897674437136E-3</v>
      </c>
    </row>
    <row r="73" spans="1:18" hidden="1" x14ac:dyDescent="0.2">
      <c r="A73" s="4">
        <v>1951</v>
      </c>
      <c r="B73" s="2">
        <v>140845859</v>
      </c>
      <c r="C73" s="2">
        <v>172954.14</v>
      </c>
      <c r="D73" s="4" t="s">
        <v>168</v>
      </c>
      <c r="E73" s="2">
        <v>140672904.86000001</v>
      </c>
      <c r="F73" s="2">
        <v>26727851.920000002</v>
      </c>
      <c r="G73" s="2">
        <v>3127180.16</v>
      </c>
      <c r="H73" s="4">
        <v>0</v>
      </c>
      <c r="I73" s="4">
        <v>0</v>
      </c>
      <c r="J73" s="4">
        <v>3127180.16</v>
      </c>
      <c r="K73" s="4">
        <v>164273576.62</v>
      </c>
      <c r="L73" s="4" t="s">
        <v>167</v>
      </c>
      <c r="M73" s="4" t="s">
        <v>154</v>
      </c>
      <c r="N73" s="4" t="s">
        <v>66</v>
      </c>
      <c r="O73" s="4" t="s">
        <v>67</v>
      </c>
      <c r="P73" s="4" t="s">
        <v>67</v>
      </c>
      <c r="Q73" s="4" t="s">
        <v>28</v>
      </c>
      <c r="R73" s="9">
        <f t="shared" si="1"/>
        <v>2.8021935197912909E-3</v>
      </c>
    </row>
    <row r="74" spans="1:18" hidden="1" x14ac:dyDescent="0.2">
      <c r="A74" s="4">
        <v>425</v>
      </c>
      <c r="B74" s="2">
        <v>136855320</v>
      </c>
      <c r="C74" s="2">
        <v>0</v>
      </c>
      <c r="D74" s="4" t="s">
        <v>423</v>
      </c>
      <c r="E74" s="2">
        <v>136855320</v>
      </c>
      <c r="F74" s="2">
        <v>26002510.800000001</v>
      </c>
      <c r="G74" s="2">
        <v>2663984.25</v>
      </c>
      <c r="H74" s="4">
        <v>3036942.04</v>
      </c>
      <c r="I74" s="4">
        <v>0</v>
      </c>
      <c r="J74" s="4">
        <v>5700926.29</v>
      </c>
      <c r="K74" s="4">
        <v>157156904.50999999</v>
      </c>
      <c r="L74" s="4" t="s">
        <v>422</v>
      </c>
      <c r="M74" s="4" t="s">
        <v>137</v>
      </c>
      <c r="N74" s="4" t="s">
        <v>92</v>
      </c>
      <c r="O74" s="4" t="s">
        <v>93</v>
      </c>
      <c r="P74" s="4" t="s">
        <v>93</v>
      </c>
      <c r="Q74" s="4" t="s">
        <v>22</v>
      </c>
      <c r="R74" s="9">
        <f t="shared" si="1"/>
        <v>2.7261475209787132E-3</v>
      </c>
    </row>
    <row r="75" spans="1:18" hidden="1" x14ac:dyDescent="0.2">
      <c r="A75" s="4">
        <v>1956</v>
      </c>
      <c r="B75" s="2">
        <v>134807614</v>
      </c>
      <c r="C75" s="2">
        <v>217851</v>
      </c>
      <c r="D75" s="4" t="s">
        <v>232</v>
      </c>
      <c r="E75" s="2">
        <v>134589763</v>
      </c>
      <c r="F75" s="2">
        <v>25572054.969999999</v>
      </c>
      <c r="G75" s="2">
        <v>3239292.8</v>
      </c>
      <c r="H75" s="4">
        <v>0</v>
      </c>
      <c r="I75" s="4">
        <v>0</v>
      </c>
      <c r="J75" s="4">
        <v>3239292.8</v>
      </c>
      <c r="K75" s="4">
        <v>156922525.16999999</v>
      </c>
      <c r="L75" s="4" t="s">
        <v>230</v>
      </c>
      <c r="M75" s="4" t="s">
        <v>231</v>
      </c>
      <c r="N75" s="4" t="s">
        <v>233</v>
      </c>
      <c r="O75" s="4" t="s">
        <v>229</v>
      </c>
      <c r="P75" s="4" t="s">
        <v>229</v>
      </c>
      <c r="Q75" s="4" t="s">
        <v>28</v>
      </c>
      <c r="R75" s="9">
        <f t="shared" si="1"/>
        <v>2.6810177985887767E-3</v>
      </c>
    </row>
    <row r="76" spans="1:18" hidden="1" x14ac:dyDescent="0.2">
      <c r="A76" s="4">
        <v>296</v>
      </c>
      <c r="B76" s="2">
        <v>132110776.7</v>
      </c>
      <c r="C76" s="2">
        <v>0</v>
      </c>
      <c r="D76" s="4" t="s">
        <v>484</v>
      </c>
      <c r="E76" s="2">
        <v>132110776.7</v>
      </c>
      <c r="F76" s="2">
        <v>25101047.57</v>
      </c>
      <c r="G76" s="2">
        <v>3102891.98</v>
      </c>
      <c r="H76" s="4">
        <v>3537296.8</v>
      </c>
      <c r="I76" s="4">
        <v>0</v>
      </c>
      <c r="J76" s="4">
        <v>6640188.7800000003</v>
      </c>
      <c r="K76" s="4">
        <v>150571635.49000001</v>
      </c>
      <c r="L76" s="4" t="s">
        <v>483</v>
      </c>
      <c r="M76" s="4" t="s">
        <v>110</v>
      </c>
      <c r="N76" s="4" t="s">
        <v>20</v>
      </c>
      <c r="O76" s="4" t="s">
        <v>21</v>
      </c>
      <c r="P76" s="4" t="s">
        <v>21</v>
      </c>
      <c r="Q76" s="4" t="s">
        <v>22</v>
      </c>
      <c r="R76" s="9">
        <f t="shared" si="1"/>
        <v>2.6316365808452119E-3</v>
      </c>
    </row>
    <row r="77" spans="1:18" hidden="1" x14ac:dyDescent="0.2">
      <c r="A77" s="4">
        <v>1503</v>
      </c>
      <c r="B77" s="2">
        <v>132193155</v>
      </c>
      <c r="C77" s="2">
        <v>387896.76</v>
      </c>
      <c r="D77" s="4" t="s">
        <v>284</v>
      </c>
      <c r="E77" s="2">
        <v>131805258.23999999</v>
      </c>
      <c r="F77" s="2">
        <v>25042999.059999999</v>
      </c>
      <c r="G77" s="2">
        <v>3092335.83</v>
      </c>
      <c r="H77" s="4">
        <v>0</v>
      </c>
      <c r="I77" s="4">
        <v>0</v>
      </c>
      <c r="J77" s="4">
        <v>3092335.83</v>
      </c>
      <c r="K77" s="4">
        <v>153755921.47</v>
      </c>
      <c r="L77" s="4" t="s">
        <v>282</v>
      </c>
      <c r="M77" s="4" t="s">
        <v>283</v>
      </c>
      <c r="N77" s="4" t="s">
        <v>186</v>
      </c>
      <c r="O77" s="4" t="s">
        <v>59</v>
      </c>
      <c r="P77" s="4" t="s">
        <v>59</v>
      </c>
      <c r="Q77" s="4" t="s">
        <v>100</v>
      </c>
      <c r="R77" s="9">
        <f t="shared" si="1"/>
        <v>2.6255506764584313E-3</v>
      </c>
    </row>
    <row r="78" spans="1:18" hidden="1" x14ac:dyDescent="0.2">
      <c r="A78" s="4">
        <v>31</v>
      </c>
      <c r="B78" s="2">
        <v>129738818</v>
      </c>
      <c r="C78" s="2">
        <v>0</v>
      </c>
      <c r="D78" s="4" t="s">
        <v>278</v>
      </c>
      <c r="E78" s="2">
        <v>129738818</v>
      </c>
      <c r="F78" s="2">
        <v>24650375.420000002</v>
      </c>
      <c r="G78" s="2">
        <v>2838914.97</v>
      </c>
      <c r="H78" s="4">
        <v>3236363.08</v>
      </c>
      <c r="I78" s="4">
        <v>0</v>
      </c>
      <c r="J78" s="4">
        <v>6075278.0499999998</v>
      </c>
      <c r="K78" s="4">
        <v>148313915.37</v>
      </c>
      <c r="L78" s="4" t="s">
        <v>277</v>
      </c>
      <c r="M78" s="4" t="s">
        <v>146</v>
      </c>
      <c r="N78" s="4" t="s">
        <v>37</v>
      </c>
      <c r="O78" s="4" t="s">
        <v>33</v>
      </c>
      <c r="P78" s="4" t="s">
        <v>33</v>
      </c>
      <c r="Q78" s="4" t="s">
        <v>28</v>
      </c>
      <c r="R78" s="9">
        <f t="shared" si="1"/>
        <v>2.5843873447185571E-3</v>
      </c>
    </row>
    <row r="79" spans="1:18" hidden="1" x14ac:dyDescent="0.2">
      <c r="A79" s="4">
        <v>1528</v>
      </c>
      <c r="B79" s="2">
        <v>129986159</v>
      </c>
      <c r="C79" s="2">
        <v>285493.68</v>
      </c>
      <c r="D79" s="4" t="s">
        <v>250</v>
      </c>
      <c r="E79" s="2">
        <v>129700665.31999999</v>
      </c>
      <c r="F79" s="2">
        <v>24643126.41</v>
      </c>
      <c r="G79" s="2">
        <v>2601869.75</v>
      </c>
      <c r="H79" s="4">
        <v>0</v>
      </c>
      <c r="I79" s="4">
        <v>0</v>
      </c>
      <c r="J79" s="4">
        <v>2601869.75</v>
      </c>
      <c r="K79" s="4">
        <v>151741921.97999999</v>
      </c>
      <c r="L79" s="4" t="s">
        <v>249</v>
      </c>
      <c r="M79" s="4" t="s">
        <v>249</v>
      </c>
      <c r="N79" s="4" t="s">
        <v>251</v>
      </c>
      <c r="O79" s="4" t="s">
        <v>59</v>
      </c>
      <c r="P79" s="4" t="s">
        <v>59</v>
      </c>
      <c r="Q79" s="4" t="s">
        <v>100</v>
      </c>
      <c r="R79" s="9">
        <f t="shared" si="1"/>
        <v>2.5836273462471735E-3</v>
      </c>
    </row>
    <row r="80" spans="1:18" hidden="1" x14ac:dyDescent="0.2">
      <c r="A80" s="4">
        <v>1834</v>
      </c>
      <c r="B80" s="2">
        <v>129431698</v>
      </c>
      <c r="C80" s="2">
        <v>327646.28999999998</v>
      </c>
      <c r="D80" s="4" t="s">
        <v>271</v>
      </c>
      <c r="E80" s="2">
        <v>129104051.70999999</v>
      </c>
      <c r="F80" s="2">
        <v>24529769.82</v>
      </c>
      <c r="G80" s="2">
        <v>3200310.54</v>
      </c>
      <c r="H80" s="4">
        <v>0</v>
      </c>
      <c r="I80" s="4">
        <v>0</v>
      </c>
      <c r="J80" s="4">
        <v>3200310.54</v>
      </c>
      <c r="K80" s="4">
        <v>150433510.99000001</v>
      </c>
      <c r="L80" s="4" t="s">
        <v>269</v>
      </c>
      <c r="M80" s="4" t="s">
        <v>270</v>
      </c>
      <c r="N80" s="4" t="s">
        <v>272</v>
      </c>
      <c r="O80" s="4" t="s">
        <v>89</v>
      </c>
      <c r="P80" s="4" t="s">
        <v>89</v>
      </c>
      <c r="Q80" s="4" t="s">
        <v>28</v>
      </c>
      <c r="R80" s="9">
        <f t="shared" si="1"/>
        <v>2.5717428487071169E-3</v>
      </c>
    </row>
    <row r="81" spans="1:18" hidden="1" x14ac:dyDescent="0.2">
      <c r="A81" s="4">
        <v>289</v>
      </c>
      <c r="B81" s="2">
        <v>127396807.7</v>
      </c>
      <c r="C81" s="2">
        <v>0</v>
      </c>
      <c r="D81" s="4" t="s">
        <v>342</v>
      </c>
      <c r="E81" s="2">
        <v>127396807.7</v>
      </c>
      <c r="F81" s="2">
        <v>24205393.460000001</v>
      </c>
      <c r="G81" s="2">
        <v>2992705.33</v>
      </c>
      <c r="H81" s="4">
        <v>3411684.02</v>
      </c>
      <c r="I81" s="4">
        <v>0</v>
      </c>
      <c r="J81" s="4">
        <v>6404389.3499999996</v>
      </c>
      <c r="K81" s="4">
        <v>145197811.81</v>
      </c>
      <c r="L81" s="4" t="s">
        <v>341</v>
      </c>
      <c r="M81" s="4" t="s">
        <v>110</v>
      </c>
      <c r="N81" s="4" t="s">
        <v>20</v>
      </c>
      <c r="O81" s="4" t="s">
        <v>21</v>
      </c>
      <c r="P81" s="4" t="s">
        <v>21</v>
      </c>
      <c r="Q81" s="4" t="s">
        <v>22</v>
      </c>
      <c r="R81" s="9">
        <f t="shared" si="1"/>
        <v>2.5377346784323535E-3</v>
      </c>
    </row>
    <row r="82" spans="1:18" hidden="1" x14ac:dyDescent="0.2">
      <c r="A82" s="4">
        <v>1945</v>
      </c>
      <c r="B82" s="2">
        <v>125797112</v>
      </c>
      <c r="C82" s="2">
        <v>168496.44</v>
      </c>
      <c r="D82" s="4" t="s">
        <v>335</v>
      </c>
      <c r="E82" s="2">
        <v>125628615.56</v>
      </c>
      <c r="F82" s="2">
        <v>0</v>
      </c>
      <c r="G82" s="2">
        <v>0</v>
      </c>
      <c r="H82" s="4">
        <v>0</v>
      </c>
      <c r="I82" s="4">
        <v>0</v>
      </c>
      <c r="J82" s="4">
        <v>0</v>
      </c>
      <c r="K82" s="4">
        <v>125628615.56</v>
      </c>
      <c r="L82" s="4" t="s">
        <v>333</v>
      </c>
      <c r="M82" s="4" t="s">
        <v>334</v>
      </c>
      <c r="N82" s="4" t="s">
        <v>336</v>
      </c>
      <c r="O82" s="4" t="s">
        <v>76</v>
      </c>
      <c r="P82" s="4" t="s">
        <v>76</v>
      </c>
      <c r="Q82" s="4" t="s">
        <v>28</v>
      </c>
      <c r="R82" s="9">
        <f t="shared" si="1"/>
        <v>2.5025124260633917E-3</v>
      </c>
    </row>
    <row r="83" spans="1:18" hidden="1" x14ac:dyDescent="0.2">
      <c r="A83" s="4">
        <v>9</v>
      </c>
      <c r="B83" s="2">
        <v>125309494</v>
      </c>
      <c r="C83" s="2">
        <v>901462.72</v>
      </c>
      <c r="D83" s="4" t="s">
        <v>248</v>
      </c>
      <c r="E83" s="2">
        <v>124408031.28</v>
      </c>
      <c r="F83" s="2">
        <v>23637525.940000001</v>
      </c>
      <c r="G83" s="2">
        <v>2749860.02</v>
      </c>
      <c r="H83" s="4">
        <v>0</v>
      </c>
      <c r="I83" s="4">
        <v>0</v>
      </c>
      <c r="J83" s="4">
        <v>2749860.02</v>
      </c>
      <c r="K83" s="4">
        <v>145295697.19999999</v>
      </c>
      <c r="L83" s="4" t="s">
        <v>246</v>
      </c>
      <c r="M83" s="4" t="s">
        <v>247</v>
      </c>
      <c r="N83" s="4" t="s">
        <v>200</v>
      </c>
      <c r="O83" s="4" t="s">
        <v>201</v>
      </c>
      <c r="P83" s="4" t="s">
        <v>201</v>
      </c>
      <c r="Q83" s="4" t="s">
        <v>28</v>
      </c>
      <c r="R83" s="9">
        <f t="shared" si="1"/>
        <v>2.4781984804376931E-3</v>
      </c>
    </row>
    <row r="84" spans="1:18" hidden="1" x14ac:dyDescent="0.2">
      <c r="A84" s="4">
        <v>1310</v>
      </c>
      <c r="B84" s="2">
        <v>121710800</v>
      </c>
      <c r="C84" s="2">
        <v>0</v>
      </c>
      <c r="D84" s="4" t="s">
        <v>549</v>
      </c>
      <c r="E84" s="2">
        <v>121710800</v>
      </c>
      <c r="F84" s="2">
        <v>23125052</v>
      </c>
      <c r="G84" s="2">
        <v>2880833.86</v>
      </c>
      <c r="H84" s="4">
        <v>0</v>
      </c>
      <c r="I84" s="4">
        <v>675423.08</v>
      </c>
      <c r="J84" s="4">
        <v>3556256.94</v>
      </c>
      <c r="K84" s="4">
        <v>141279595.06</v>
      </c>
      <c r="L84" s="4" t="s">
        <v>547</v>
      </c>
      <c r="M84" s="4" t="s">
        <v>548</v>
      </c>
      <c r="N84" s="4" t="s">
        <v>368</v>
      </c>
      <c r="O84" s="4" t="s">
        <v>89</v>
      </c>
      <c r="P84" s="4" t="s">
        <v>89</v>
      </c>
      <c r="Q84" s="4" t="s">
        <v>28</v>
      </c>
      <c r="R84" s="9">
        <f t="shared" si="1"/>
        <v>2.4244698393627371E-3</v>
      </c>
    </row>
    <row r="85" spans="1:18" hidden="1" x14ac:dyDescent="0.2">
      <c r="A85" s="4">
        <v>34</v>
      </c>
      <c r="B85" s="2">
        <v>121853243</v>
      </c>
      <c r="C85" s="2">
        <v>342138.72</v>
      </c>
      <c r="D85" s="4" t="s">
        <v>235</v>
      </c>
      <c r="E85" s="2">
        <v>121511104.28</v>
      </c>
      <c r="F85" s="2">
        <v>23087109.809999999</v>
      </c>
      <c r="G85" s="2">
        <v>2387406.64</v>
      </c>
      <c r="H85" s="4">
        <v>2721643.57</v>
      </c>
      <c r="I85" s="4">
        <v>0</v>
      </c>
      <c r="J85" s="4">
        <v>5109050.21</v>
      </c>
      <c r="K85" s="4">
        <v>139489163.88</v>
      </c>
      <c r="L85" s="4" t="s">
        <v>234</v>
      </c>
      <c r="M85" s="4" t="s">
        <v>146</v>
      </c>
      <c r="N85" s="4" t="s">
        <v>236</v>
      </c>
      <c r="O85" s="4" t="s">
        <v>237</v>
      </c>
      <c r="P85" s="4" t="s">
        <v>237</v>
      </c>
      <c r="Q85" s="4" t="s">
        <v>28</v>
      </c>
      <c r="R85" s="9">
        <f t="shared" si="1"/>
        <v>2.4204919158736971E-3</v>
      </c>
    </row>
    <row r="86" spans="1:18" hidden="1" x14ac:dyDescent="0.2">
      <c r="A86" s="4">
        <v>1174</v>
      </c>
      <c r="B86" s="2">
        <v>121034546</v>
      </c>
      <c r="C86" s="2">
        <v>529524.51</v>
      </c>
      <c r="D86" s="4" t="s">
        <v>362</v>
      </c>
      <c r="E86" s="2">
        <v>120505021.48999999</v>
      </c>
      <c r="F86" s="2">
        <v>22895954.07</v>
      </c>
      <c r="G86" s="2">
        <v>2814305.12</v>
      </c>
      <c r="H86" s="4">
        <v>0</v>
      </c>
      <c r="I86" s="4">
        <v>0</v>
      </c>
      <c r="J86" s="4">
        <v>2814305.12</v>
      </c>
      <c r="K86" s="4">
        <v>140586670.44</v>
      </c>
      <c r="L86" s="4" t="s">
        <v>360</v>
      </c>
      <c r="M86" s="4" t="s">
        <v>361</v>
      </c>
      <c r="N86" s="4" t="s">
        <v>20</v>
      </c>
      <c r="O86" s="4" t="s">
        <v>71</v>
      </c>
      <c r="P86" s="4" t="s">
        <v>71</v>
      </c>
      <c r="Q86" s="4" t="s">
        <v>28</v>
      </c>
      <c r="R86" s="9">
        <f t="shared" si="1"/>
        <v>2.4004508235445292E-3</v>
      </c>
    </row>
    <row r="87" spans="1:18" hidden="1" x14ac:dyDescent="0.2">
      <c r="A87" s="4">
        <v>299</v>
      </c>
      <c r="B87" s="2">
        <v>119759966</v>
      </c>
      <c r="C87" s="2">
        <v>0</v>
      </c>
      <c r="D87" s="4" t="s">
        <v>670</v>
      </c>
      <c r="E87" s="2">
        <v>119759966</v>
      </c>
      <c r="F87" s="2">
        <v>22754393.539999999</v>
      </c>
      <c r="G87" s="2">
        <v>2949923.28</v>
      </c>
      <c r="H87" s="4">
        <v>3362912.46</v>
      </c>
      <c r="I87" s="4">
        <v>0</v>
      </c>
      <c r="J87" s="4">
        <v>6312835.7400000002</v>
      </c>
      <c r="K87" s="4">
        <v>136201523.80000001</v>
      </c>
      <c r="L87" s="4" t="s">
        <v>669</v>
      </c>
      <c r="M87" s="4" t="s">
        <v>110</v>
      </c>
      <c r="N87" s="4" t="s">
        <v>41</v>
      </c>
      <c r="O87" s="4" t="s">
        <v>42</v>
      </c>
      <c r="P87" s="4" t="s">
        <v>42</v>
      </c>
      <c r="Q87" s="4" t="s">
        <v>22</v>
      </c>
      <c r="R87" s="9">
        <f t="shared" si="1"/>
        <v>2.3856093750933101E-3</v>
      </c>
    </row>
    <row r="88" spans="1:18" hidden="1" x14ac:dyDescent="0.2">
      <c r="A88" s="4">
        <v>1842</v>
      </c>
      <c r="B88" s="2">
        <v>118589601</v>
      </c>
      <c r="C88" s="2">
        <v>125898.81</v>
      </c>
      <c r="D88" s="4" t="s">
        <v>930</v>
      </c>
      <c r="E88" s="2">
        <v>118463702.19</v>
      </c>
      <c r="F88" s="2">
        <v>22508103.420000002</v>
      </c>
      <c r="G88" s="2">
        <v>2648279.9300000002</v>
      </c>
      <c r="H88" s="4">
        <v>237444.11</v>
      </c>
      <c r="I88" s="4">
        <v>0</v>
      </c>
      <c r="J88" s="4">
        <v>2885724.04</v>
      </c>
      <c r="K88" s="4">
        <v>138086081.56999999</v>
      </c>
      <c r="L88" s="4" t="s">
        <v>929</v>
      </c>
      <c r="M88" s="4" t="s">
        <v>61</v>
      </c>
      <c r="N88" s="4" t="s">
        <v>124</v>
      </c>
      <c r="O88" s="4" t="s">
        <v>33</v>
      </c>
      <c r="P88" s="4" t="s">
        <v>33</v>
      </c>
      <c r="Q88" s="4" t="s">
        <v>28</v>
      </c>
      <c r="R88" s="9">
        <f t="shared" si="1"/>
        <v>2.3597878990106419E-3</v>
      </c>
    </row>
    <row r="89" spans="1:18" hidden="1" x14ac:dyDescent="0.2">
      <c r="A89" s="4">
        <v>427</v>
      </c>
      <c r="B89" s="2">
        <v>117552719</v>
      </c>
      <c r="C89" s="2">
        <v>0</v>
      </c>
      <c r="D89" s="4" t="s">
        <v>286</v>
      </c>
      <c r="E89" s="2">
        <v>117552719</v>
      </c>
      <c r="F89" s="2">
        <v>22335016.609999999</v>
      </c>
      <c r="G89" s="2">
        <v>2562163.48</v>
      </c>
      <c r="H89" s="4">
        <v>2920866.37</v>
      </c>
      <c r="I89" s="4">
        <v>0</v>
      </c>
      <c r="J89" s="4">
        <v>5483029.8499999996</v>
      </c>
      <c r="K89" s="4">
        <v>134404705.75999999</v>
      </c>
      <c r="L89" s="4" t="s">
        <v>285</v>
      </c>
      <c r="M89" s="4" t="s">
        <v>137</v>
      </c>
      <c r="N89" s="4" t="s">
        <v>41</v>
      </c>
      <c r="O89" s="4" t="s">
        <v>42</v>
      </c>
      <c r="P89" s="4" t="s">
        <v>42</v>
      </c>
      <c r="Q89" s="4" t="s">
        <v>22</v>
      </c>
      <c r="R89" s="9">
        <f t="shared" si="1"/>
        <v>2.3416411834494802E-3</v>
      </c>
    </row>
    <row r="90" spans="1:18" hidden="1" x14ac:dyDescent="0.2">
      <c r="A90" s="4">
        <v>464</v>
      </c>
      <c r="B90" s="2">
        <v>118257449</v>
      </c>
      <c r="C90" s="2">
        <v>1035471.42</v>
      </c>
      <c r="D90" s="4" t="s">
        <v>2336</v>
      </c>
      <c r="E90" s="2">
        <v>117221977.58</v>
      </c>
      <c r="F90" s="2">
        <v>22272175.75</v>
      </c>
      <c r="G90" s="2">
        <v>2874960.24</v>
      </c>
      <c r="H90" s="4">
        <v>0</v>
      </c>
      <c r="I90" s="4">
        <v>0</v>
      </c>
      <c r="J90" s="4">
        <v>2874960.24</v>
      </c>
      <c r="K90" s="4">
        <v>136619193.09</v>
      </c>
      <c r="L90" s="4" t="s">
        <v>2334</v>
      </c>
      <c r="M90" s="4" t="s">
        <v>2335</v>
      </c>
      <c r="N90" s="4" t="s">
        <v>20</v>
      </c>
      <c r="O90" s="4" t="s">
        <v>316</v>
      </c>
      <c r="P90" s="4" t="s">
        <v>316</v>
      </c>
      <c r="Q90" s="4" t="s">
        <v>100</v>
      </c>
      <c r="R90" s="9">
        <f t="shared" si="1"/>
        <v>2.335052839626105E-3</v>
      </c>
    </row>
    <row r="91" spans="1:18" hidden="1" x14ac:dyDescent="0.2">
      <c r="A91" s="4">
        <v>285</v>
      </c>
      <c r="B91" s="2">
        <v>115397159.7</v>
      </c>
      <c r="C91" s="2">
        <v>0</v>
      </c>
      <c r="D91" s="4" t="s">
        <v>476</v>
      </c>
      <c r="E91" s="2">
        <v>115397159.7</v>
      </c>
      <c r="F91" s="2">
        <v>21925460.34</v>
      </c>
      <c r="G91" s="2">
        <v>2828591.49</v>
      </c>
      <c r="H91" s="4">
        <v>3224594.24</v>
      </c>
      <c r="I91" s="4">
        <v>0</v>
      </c>
      <c r="J91" s="4">
        <v>6053185.7300000004</v>
      </c>
      <c r="K91" s="4">
        <v>131269434.31</v>
      </c>
      <c r="L91" s="4" t="s">
        <v>475</v>
      </c>
      <c r="M91" s="4" t="s">
        <v>110</v>
      </c>
      <c r="N91" s="4" t="s">
        <v>41</v>
      </c>
      <c r="O91" s="4" t="s">
        <v>42</v>
      </c>
      <c r="P91" s="4" t="s">
        <v>42</v>
      </c>
      <c r="Q91" s="4" t="s">
        <v>22</v>
      </c>
      <c r="R91" s="9">
        <f t="shared" si="1"/>
        <v>2.298702606841588E-3</v>
      </c>
    </row>
    <row r="92" spans="1:18" hidden="1" x14ac:dyDescent="0.2">
      <c r="A92" s="4">
        <v>21</v>
      </c>
      <c r="B92" s="2">
        <v>113860913</v>
      </c>
      <c r="C92" s="2">
        <v>581310.15</v>
      </c>
      <c r="D92" s="4" t="s">
        <v>497</v>
      </c>
      <c r="E92" s="2">
        <v>113279602.84999999</v>
      </c>
      <c r="F92" s="2">
        <v>21523124.539999999</v>
      </c>
      <c r="G92" s="2">
        <v>2549000.84</v>
      </c>
      <c r="H92" s="4">
        <v>2905860.94</v>
      </c>
      <c r="I92" s="4">
        <v>0</v>
      </c>
      <c r="J92" s="4">
        <v>5454861.7800000003</v>
      </c>
      <c r="K92" s="4">
        <v>129347865.61</v>
      </c>
      <c r="L92" s="4" t="s">
        <v>496</v>
      </c>
      <c r="M92" s="4" t="s">
        <v>146</v>
      </c>
      <c r="N92" s="4" t="s">
        <v>20</v>
      </c>
      <c r="O92" s="4" t="s">
        <v>359</v>
      </c>
      <c r="P92" s="4" t="s">
        <v>359</v>
      </c>
      <c r="Q92" s="4" t="s">
        <v>28</v>
      </c>
      <c r="R92" s="9">
        <f t="shared" si="1"/>
        <v>2.256521036134954E-3</v>
      </c>
    </row>
    <row r="93" spans="1:18" hidden="1" x14ac:dyDescent="0.2">
      <c r="A93" s="4">
        <v>1320</v>
      </c>
      <c r="B93" s="2">
        <v>113006960</v>
      </c>
      <c r="C93" s="2">
        <v>0</v>
      </c>
      <c r="D93" s="4" t="s">
        <v>348</v>
      </c>
      <c r="E93" s="2">
        <v>113006960</v>
      </c>
      <c r="F93" s="2">
        <v>21471322.399999999</v>
      </c>
      <c r="G93" s="2">
        <v>2909123.95</v>
      </c>
      <c r="H93" s="4">
        <v>0</v>
      </c>
      <c r="I93" s="4">
        <v>0</v>
      </c>
      <c r="J93" s="4">
        <v>2909123.95</v>
      </c>
      <c r="K93" s="4">
        <v>131569158.45</v>
      </c>
      <c r="L93" s="4" t="s">
        <v>346</v>
      </c>
      <c r="M93" s="4" t="s">
        <v>347</v>
      </c>
      <c r="N93" s="4" t="s">
        <v>349</v>
      </c>
      <c r="O93" s="4" t="s">
        <v>93</v>
      </c>
      <c r="P93" s="4" t="s">
        <v>93</v>
      </c>
      <c r="Q93" s="4" t="s">
        <v>100</v>
      </c>
      <c r="R93" s="9">
        <f t="shared" si="1"/>
        <v>2.2510900113882357E-3</v>
      </c>
    </row>
    <row r="94" spans="1:18" hidden="1" x14ac:dyDescent="0.2">
      <c r="A94" s="4">
        <v>112</v>
      </c>
      <c r="B94" s="2">
        <v>111584195</v>
      </c>
      <c r="C94" s="2">
        <v>857875.62</v>
      </c>
      <c r="D94" s="4" t="s">
        <v>292</v>
      </c>
      <c r="E94" s="2">
        <v>110726319.38</v>
      </c>
      <c r="F94" s="2">
        <v>21038000.690000001</v>
      </c>
      <c r="G94" s="2">
        <v>2674488.8199999998</v>
      </c>
      <c r="H94" s="4">
        <v>0</v>
      </c>
      <c r="I94" s="4">
        <v>0</v>
      </c>
      <c r="J94" s="4">
        <v>2674488.8199999998</v>
      </c>
      <c r="K94" s="4">
        <v>129089831.25</v>
      </c>
      <c r="L94" s="4" t="s">
        <v>290</v>
      </c>
      <c r="M94" s="4" t="s">
        <v>291</v>
      </c>
      <c r="N94" s="4" t="s">
        <v>293</v>
      </c>
      <c r="O94" s="4" t="s">
        <v>229</v>
      </c>
      <c r="P94" s="4" t="s">
        <v>229</v>
      </c>
      <c r="Q94" s="4" t="s">
        <v>28</v>
      </c>
      <c r="R94" s="9">
        <f t="shared" si="1"/>
        <v>2.205659824440031E-3</v>
      </c>
    </row>
    <row r="95" spans="1:18" hidden="1" x14ac:dyDescent="0.2">
      <c r="A95" s="4">
        <v>195</v>
      </c>
      <c r="B95" s="2">
        <v>110492183</v>
      </c>
      <c r="C95" s="2">
        <v>68123.039999999994</v>
      </c>
      <c r="D95" s="4" t="s">
        <v>328</v>
      </c>
      <c r="E95" s="2">
        <v>110424059.95999999</v>
      </c>
      <c r="F95" s="2">
        <v>20980571.399999999</v>
      </c>
      <c r="G95" s="2">
        <v>2106606.7599999998</v>
      </c>
      <c r="H95" s="4">
        <v>0</v>
      </c>
      <c r="I95" s="4">
        <v>0</v>
      </c>
      <c r="J95" s="4">
        <v>2106606.7599999998</v>
      </c>
      <c r="K95" s="4">
        <v>129298024.59999999</v>
      </c>
      <c r="L95" s="4" t="s">
        <v>326</v>
      </c>
      <c r="M95" s="4" t="s">
        <v>327</v>
      </c>
      <c r="N95" s="4" t="s">
        <v>329</v>
      </c>
      <c r="O95" s="4" t="s">
        <v>89</v>
      </c>
      <c r="P95" s="4" t="s">
        <v>89</v>
      </c>
      <c r="Q95" s="4" t="s">
        <v>28</v>
      </c>
      <c r="R95" s="9">
        <f t="shared" si="1"/>
        <v>2.199638839881115E-3</v>
      </c>
    </row>
    <row r="96" spans="1:18" hidden="1" x14ac:dyDescent="0.2">
      <c r="A96" s="4">
        <v>220</v>
      </c>
      <c r="B96" s="2">
        <v>110397128</v>
      </c>
      <c r="C96" s="2">
        <v>0</v>
      </c>
      <c r="D96" s="4" t="s">
        <v>289</v>
      </c>
      <c r="E96" s="2">
        <v>110397128</v>
      </c>
      <c r="F96" s="2">
        <v>20975454.32</v>
      </c>
      <c r="G96" s="2">
        <v>2759928.21</v>
      </c>
      <c r="H96" s="4">
        <v>0</v>
      </c>
      <c r="I96" s="4">
        <v>0</v>
      </c>
      <c r="J96" s="4">
        <v>2759928.21</v>
      </c>
      <c r="K96" s="4">
        <v>128612654.11</v>
      </c>
      <c r="L96" s="4" t="s">
        <v>287</v>
      </c>
      <c r="M96" s="4" t="s">
        <v>288</v>
      </c>
      <c r="N96" s="4" t="s">
        <v>92</v>
      </c>
      <c r="O96" s="4" t="s">
        <v>93</v>
      </c>
      <c r="P96" s="4" t="s">
        <v>93</v>
      </c>
      <c r="Q96" s="4" t="s">
        <v>100</v>
      </c>
      <c r="R96" s="9">
        <f t="shared" si="1"/>
        <v>2.1991023572950595E-3</v>
      </c>
    </row>
    <row r="97" spans="1:18" hidden="1" x14ac:dyDescent="0.2">
      <c r="A97" s="4">
        <v>1540</v>
      </c>
      <c r="B97" s="2">
        <v>107468627</v>
      </c>
      <c r="C97" s="2">
        <v>0</v>
      </c>
      <c r="D97" s="4" t="s">
        <v>444</v>
      </c>
      <c r="E97" s="2">
        <v>107468627</v>
      </c>
      <c r="F97" s="2">
        <v>20419039.129999999</v>
      </c>
      <c r="G97" s="2">
        <v>2588947.5299999998</v>
      </c>
      <c r="H97" s="4">
        <v>0</v>
      </c>
      <c r="I97" s="4">
        <v>0</v>
      </c>
      <c r="J97" s="4">
        <v>2588947.5299999998</v>
      </c>
      <c r="K97" s="4">
        <v>125298718.59999999</v>
      </c>
      <c r="L97" s="4" t="s">
        <v>442</v>
      </c>
      <c r="M97" s="4" t="s">
        <v>443</v>
      </c>
      <c r="N97" s="4" t="s">
        <v>112</v>
      </c>
      <c r="O97" s="4" t="s">
        <v>113</v>
      </c>
      <c r="P97" s="4" t="s">
        <v>113</v>
      </c>
      <c r="Q97" s="4" t="s">
        <v>100</v>
      </c>
      <c r="R97" s="9">
        <f t="shared" si="1"/>
        <v>2.1407668410627807E-3</v>
      </c>
    </row>
    <row r="98" spans="1:18" hidden="1" x14ac:dyDescent="0.2">
      <c r="A98" s="4">
        <v>230</v>
      </c>
      <c r="B98" s="2">
        <v>107751660</v>
      </c>
      <c r="C98" s="2">
        <v>420719.79</v>
      </c>
      <c r="D98" s="4" t="s">
        <v>2184</v>
      </c>
      <c r="E98" s="2">
        <v>107330940.20999999</v>
      </c>
      <c r="F98" s="2">
        <v>0</v>
      </c>
      <c r="G98" s="2">
        <v>0</v>
      </c>
      <c r="H98" s="4">
        <v>0</v>
      </c>
      <c r="I98" s="4">
        <v>0</v>
      </c>
      <c r="J98" s="4">
        <v>0</v>
      </c>
      <c r="K98" s="4">
        <v>107330940.20999999</v>
      </c>
      <c r="L98" s="4" t="s">
        <v>2182</v>
      </c>
      <c r="M98" s="4" t="s">
        <v>2183</v>
      </c>
      <c r="N98" s="4" t="s">
        <v>205</v>
      </c>
      <c r="O98" s="4" t="s">
        <v>206</v>
      </c>
      <c r="P98" s="4" t="s">
        <v>1039</v>
      </c>
      <c r="Q98" s="4" t="s">
        <v>100</v>
      </c>
      <c r="R98" s="9">
        <f t="shared" si="1"/>
        <v>2.1380241307229122E-3</v>
      </c>
    </row>
    <row r="99" spans="1:18" hidden="1" x14ac:dyDescent="0.2">
      <c r="A99" s="4">
        <v>1409</v>
      </c>
      <c r="B99" s="2">
        <v>105910144</v>
      </c>
      <c r="C99" s="2">
        <v>155425.07999999999</v>
      </c>
      <c r="D99" s="4" t="s">
        <v>418</v>
      </c>
      <c r="E99" s="2">
        <v>105754718.92</v>
      </c>
      <c r="F99" s="2">
        <v>20093396.600000001</v>
      </c>
      <c r="G99" s="2">
        <v>1288598.82</v>
      </c>
      <c r="H99" s="4">
        <v>0</v>
      </c>
      <c r="I99" s="4">
        <v>0</v>
      </c>
      <c r="J99" s="4">
        <v>1288598.82</v>
      </c>
      <c r="K99" s="4">
        <v>124559516.7</v>
      </c>
      <c r="L99" s="4" t="s">
        <v>416</v>
      </c>
      <c r="M99" s="4" t="s">
        <v>417</v>
      </c>
      <c r="N99" s="4" t="s">
        <v>20</v>
      </c>
      <c r="O99" s="4" t="s">
        <v>257</v>
      </c>
      <c r="P99" s="4" t="s">
        <v>257</v>
      </c>
      <c r="Q99" s="4" t="s">
        <v>28</v>
      </c>
      <c r="R99" s="9">
        <f t="shared" si="1"/>
        <v>2.1066259230226392E-3</v>
      </c>
    </row>
    <row r="100" spans="1:18" hidden="1" x14ac:dyDescent="0.2">
      <c r="A100" s="4">
        <v>1002</v>
      </c>
      <c r="B100" s="2">
        <v>106066792</v>
      </c>
      <c r="C100" s="2">
        <v>362876.7</v>
      </c>
      <c r="D100" s="4" t="s">
        <v>220</v>
      </c>
      <c r="E100" s="2">
        <v>105703915.3</v>
      </c>
      <c r="F100" s="2">
        <v>20083743.91</v>
      </c>
      <c r="G100" s="2">
        <v>2388612.91</v>
      </c>
      <c r="H100" s="4">
        <v>2723018.67</v>
      </c>
      <c r="I100" s="4">
        <v>0</v>
      </c>
      <c r="J100" s="4">
        <v>5111631.58</v>
      </c>
      <c r="K100" s="4">
        <v>120676027.63</v>
      </c>
      <c r="L100" s="4" t="s">
        <v>219</v>
      </c>
      <c r="M100" s="4" t="s">
        <v>95</v>
      </c>
      <c r="N100" s="4" t="s">
        <v>221</v>
      </c>
      <c r="O100" s="4" t="s">
        <v>33</v>
      </c>
      <c r="P100" s="4" t="s">
        <v>33</v>
      </c>
      <c r="Q100" s="4" t="s">
        <v>28</v>
      </c>
      <c r="R100" s="9">
        <f t="shared" si="1"/>
        <v>2.1056139187927724E-3</v>
      </c>
    </row>
    <row r="101" spans="1:18" hidden="1" x14ac:dyDescent="0.2">
      <c r="A101" s="4">
        <v>1251</v>
      </c>
      <c r="B101" s="2">
        <v>102679565</v>
      </c>
      <c r="C101" s="2">
        <v>345748.44</v>
      </c>
      <c r="D101" s="4" t="s">
        <v>312</v>
      </c>
      <c r="E101" s="2">
        <v>102333816.56</v>
      </c>
      <c r="F101" s="2">
        <v>19443425.149999999</v>
      </c>
      <c r="G101" s="2">
        <v>0</v>
      </c>
      <c r="H101" s="4">
        <v>0</v>
      </c>
      <c r="I101" s="4">
        <v>0</v>
      </c>
      <c r="J101" s="4">
        <v>0</v>
      </c>
      <c r="K101" s="4">
        <v>121777241.70999999</v>
      </c>
      <c r="L101" s="4" t="s">
        <v>310</v>
      </c>
      <c r="M101" s="4" t="s">
        <v>311</v>
      </c>
      <c r="N101" s="4" t="s">
        <v>212</v>
      </c>
      <c r="O101" s="4" t="s">
        <v>33</v>
      </c>
      <c r="P101" s="4" t="s">
        <v>33</v>
      </c>
      <c r="Q101" s="4" t="s">
        <v>28</v>
      </c>
      <c r="R101" s="9">
        <f t="shared" si="1"/>
        <v>2.0384818093102585E-3</v>
      </c>
    </row>
    <row r="102" spans="1:18" hidden="1" x14ac:dyDescent="0.2">
      <c r="A102" s="4">
        <v>1183</v>
      </c>
      <c r="B102" s="2">
        <v>104226599</v>
      </c>
      <c r="C102" s="2">
        <v>2332358.46</v>
      </c>
      <c r="D102" s="4" t="s">
        <v>365</v>
      </c>
      <c r="E102" s="2">
        <v>101894240.54000001</v>
      </c>
      <c r="F102" s="2">
        <v>19359905.710000001</v>
      </c>
      <c r="G102" s="2">
        <v>2159205.89</v>
      </c>
      <c r="H102" s="4">
        <v>0</v>
      </c>
      <c r="I102" s="4">
        <v>0</v>
      </c>
      <c r="J102" s="4">
        <v>2159205.89</v>
      </c>
      <c r="K102" s="4">
        <v>119094940.36</v>
      </c>
      <c r="L102" s="4" t="s">
        <v>363</v>
      </c>
      <c r="M102" s="4" t="s">
        <v>364</v>
      </c>
      <c r="N102" s="4" t="s">
        <v>200</v>
      </c>
      <c r="O102" s="4" t="s">
        <v>201</v>
      </c>
      <c r="P102" s="4" t="s">
        <v>201</v>
      </c>
      <c r="Q102" s="4" t="s">
        <v>28</v>
      </c>
      <c r="R102" s="9">
        <f t="shared" si="1"/>
        <v>2.0297254885679981E-3</v>
      </c>
    </row>
    <row r="103" spans="1:18" hidden="1" x14ac:dyDescent="0.2">
      <c r="A103" s="4">
        <v>293</v>
      </c>
      <c r="B103" s="2">
        <v>101842891.93000001</v>
      </c>
      <c r="C103" s="2">
        <v>0</v>
      </c>
      <c r="D103" s="4" t="s">
        <v>438</v>
      </c>
      <c r="E103" s="2">
        <v>101842891.93000001</v>
      </c>
      <c r="F103" s="2">
        <v>19350149.469999999</v>
      </c>
      <c r="G103" s="2">
        <v>2423586.67</v>
      </c>
      <c r="H103" s="4">
        <v>2762888.82</v>
      </c>
      <c r="I103" s="4">
        <v>0</v>
      </c>
      <c r="J103" s="4">
        <v>5186475.49</v>
      </c>
      <c r="K103" s="4">
        <v>116006565.91</v>
      </c>
      <c r="L103" s="4" t="s">
        <v>437</v>
      </c>
      <c r="M103" s="4" t="s">
        <v>110</v>
      </c>
      <c r="N103" s="4" t="s">
        <v>20</v>
      </c>
      <c r="O103" s="4" t="s">
        <v>21</v>
      </c>
      <c r="P103" s="4" t="s">
        <v>21</v>
      </c>
      <c r="Q103" s="4" t="s">
        <v>22</v>
      </c>
      <c r="R103" s="9">
        <f t="shared" si="1"/>
        <v>2.0287026281789597E-3</v>
      </c>
    </row>
    <row r="104" spans="1:18" hidden="1" x14ac:dyDescent="0.2">
      <c r="A104" s="4">
        <v>783</v>
      </c>
      <c r="B104" s="2">
        <v>101114784.54000001</v>
      </c>
      <c r="C104" s="2">
        <v>0</v>
      </c>
      <c r="D104" s="4" t="s">
        <v>396</v>
      </c>
      <c r="E104" s="2">
        <v>101114784.54000001</v>
      </c>
      <c r="F104" s="2">
        <v>19211809.059999999</v>
      </c>
      <c r="G104" s="2">
        <v>2381862.67</v>
      </c>
      <c r="H104" s="4">
        <v>0</v>
      </c>
      <c r="I104" s="4">
        <v>0</v>
      </c>
      <c r="J104" s="4">
        <v>2381862.67</v>
      </c>
      <c r="K104" s="4">
        <v>117944730.93000001</v>
      </c>
      <c r="L104" s="4" t="s">
        <v>394</v>
      </c>
      <c r="M104" s="4" t="s">
        <v>395</v>
      </c>
      <c r="N104" s="4" t="s">
        <v>397</v>
      </c>
      <c r="O104" s="4" t="s">
        <v>89</v>
      </c>
      <c r="P104" s="4" t="s">
        <v>89</v>
      </c>
      <c r="Q104" s="4" t="s">
        <v>28</v>
      </c>
      <c r="R104" s="9">
        <f t="shared" si="1"/>
        <v>2.0141987845851937E-3</v>
      </c>
    </row>
    <row r="105" spans="1:18" hidden="1" x14ac:dyDescent="0.2">
      <c r="A105" s="4">
        <v>2030</v>
      </c>
      <c r="B105" s="2">
        <v>100645457</v>
      </c>
      <c r="C105" s="2">
        <v>0</v>
      </c>
      <c r="D105" s="4" t="s">
        <v>392</v>
      </c>
      <c r="E105" s="2">
        <v>100645457</v>
      </c>
      <c r="F105" s="2">
        <v>19122636.829999998</v>
      </c>
      <c r="G105" s="2">
        <v>2516136.46</v>
      </c>
      <c r="H105" s="4">
        <v>0</v>
      </c>
      <c r="I105" s="4">
        <v>0</v>
      </c>
      <c r="J105" s="4">
        <v>2516136.46</v>
      </c>
      <c r="K105" s="4">
        <v>117251957.37</v>
      </c>
      <c r="L105" s="4" t="s">
        <v>390</v>
      </c>
      <c r="M105" s="4" t="s">
        <v>391</v>
      </c>
      <c r="N105" s="4" t="s">
        <v>393</v>
      </c>
      <c r="O105" s="4" t="s">
        <v>196</v>
      </c>
      <c r="P105" s="4" t="s">
        <v>196</v>
      </c>
      <c r="Q105" s="4" t="s">
        <v>22</v>
      </c>
      <c r="R105" s="9">
        <f t="shared" si="1"/>
        <v>2.0048498158370437E-3</v>
      </c>
    </row>
    <row r="106" spans="1:18" hidden="1" x14ac:dyDescent="0.2">
      <c r="A106" s="4">
        <v>397</v>
      </c>
      <c r="B106" s="2">
        <v>100374686</v>
      </c>
      <c r="C106" s="2">
        <v>44290.080000000002</v>
      </c>
      <c r="D106" s="4" t="s">
        <v>266</v>
      </c>
      <c r="E106" s="2">
        <v>100330395.92</v>
      </c>
      <c r="F106" s="2">
        <v>19062775.219999999</v>
      </c>
      <c r="G106" s="2">
        <v>2112939.79</v>
      </c>
      <c r="H106" s="4">
        <v>0</v>
      </c>
      <c r="I106" s="4">
        <v>0</v>
      </c>
      <c r="J106" s="4">
        <v>2112939.79</v>
      </c>
      <c r="K106" s="4">
        <v>117280231.34999999</v>
      </c>
      <c r="L106" s="4" t="s">
        <v>264</v>
      </c>
      <c r="M106" s="4" t="s">
        <v>265</v>
      </c>
      <c r="N106" s="4" t="s">
        <v>186</v>
      </c>
      <c r="O106" s="4" t="s">
        <v>59</v>
      </c>
      <c r="P106" s="4" t="s">
        <v>59</v>
      </c>
      <c r="Q106" s="4" t="s">
        <v>100</v>
      </c>
      <c r="R106" s="9">
        <f t="shared" si="1"/>
        <v>1.9985738231887572E-3</v>
      </c>
    </row>
    <row r="107" spans="1:18" hidden="1" x14ac:dyDescent="0.2">
      <c r="A107" s="4">
        <v>30</v>
      </c>
      <c r="B107" s="2">
        <v>97751674</v>
      </c>
      <c r="C107" s="2">
        <v>0</v>
      </c>
      <c r="D107" s="4" t="s">
        <v>893</v>
      </c>
      <c r="E107" s="2">
        <v>97751674</v>
      </c>
      <c r="F107" s="2">
        <v>18572818.059999999</v>
      </c>
      <c r="G107" s="2">
        <v>1810077.88</v>
      </c>
      <c r="H107" s="4">
        <v>2063488.79</v>
      </c>
      <c r="I107" s="4">
        <v>0</v>
      </c>
      <c r="J107" s="4">
        <v>3873566.67</v>
      </c>
      <c r="K107" s="4">
        <v>112450925.39</v>
      </c>
      <c r="L107" s="4" t="s">
        <v>892</v>
      </c>
      <c r="M107" s="4" t="s">
        <v>146</v>
      </c>
      <c r="N107" s="4" t="s">
        <v>46</v>
      </c>
      <c r="O107" s="4" t="s">
        <v>27</v>
      </c>
      <c r="P107" s="4" t="s">
        <v>27</v>
      </c>
      <c r="Q107" s="4" t="s">
        <v>28</v>
      </c>
      <c r="R107" s="9">
        <f t="shared" si="1"/>
        <v>1.9472058795128998E-3</v>
      </c>
    </row>
    <row r="108" spans="1:18" hidden="1" x14ac:dyDescent="0.2">
      <c r="A108" s="4">
        <v>33</v>
      </c>
      <c r="B108" s="2">
        <v>96665406</v>
      </c>
      <c r="C108" s="2">
        <v>0</v>
      </c>
      <c r="D108" s="4" t="s">
        <v>812</v>
      </c>
      <c r="E108" s="2">
        <v>96665406</v>
      </c>
      <c r="F108" s="2">
        <v>18366427.140000001</v>
      </c>
      <c r="G108" s="2">
        <v>2336565.5099999998</v>
      </c>
      <c r="H108" s="4">
        <v>2663684.64</v>
      </c>
      <c r="I108" s="4">
        <v>0</v>
      </c>
      <c r="J108" s="4">
        <v>5000250.1500000004</v>
      </c>
      <c r="K108" s="4">
        <v>110031582.98999999</v>
      </c>
      <c r="L108" s="4" t="s">
        <v>811</v>
      </c>
      <c r="M108" s="4" t="s">
        <v>146</v>
      </c>
      <c r="N108" s="4" t="s">
        <v>32</v>
      </c>
      <c r="O108" s="4" t="s">
        <v>33</v>
      </c>
      <c r="P108" s="4" t="s">
        <v>33</v>
      </c>
      <c r="Q108" s="4" t="s">
        <v>28</v>
      </c>
      <c r="R108" s="9">
        <f t="shared" si="1"/>
        <v>1.9255675039253194E-3</v>
      </c>
    </row>
    <row r="109" spans="1:18" hidden="1" x14ac:dyDescent="0.2">
      <c r="A109" s="4">
        <v>523</v>
      </c>
      <c r="B109" s="2">
        <v>97232287</v>
      </c>
      <c r="C109" s="2">
        <v>1355465.59</v>
      </c>
      <c r="D109" s="4" t="s">
        <v>719</v>
      </c>
      <c r="E109" s="2">
        <v>95876821.409999996</v>
      </c>
      <c r="F109" s="2">
        <v>18216596.059999999</v>
      </c>
      <c r="G109" s="2">
        <v>2207915.34</v>
      </c>
      <c r="H109" s="4">
        <v>0</v>
      </c>
      <c r="I109" s="4">
        <v>0</v>
      </c>
      <c r="J109" s="4">
        <v>2207915.34</v>
      </c>
      <c r="K109" s="4">
        <v>111885502.13</v>
      </c>
      <c r="L109" s="4" t="s">
        <v>717</v>
      </c>
      <c r="M109" s="4" t="s">
        <v>718</v>
      </c>
      <c r="N109" s="4" t="s">
        <v>46</v>
      </c>
      <c r="O109" s="4" t="s">
        <v>27</v>
      </c>
      <c r="P109" s="4" t="s">
        <v>27</v>
      </c>
      <c r="Q109" s="4" t="s">
        <v>28</v>
      </c>
      <c r="R109" s="9">
        <f t="shared" si="1"/>
        <v>1.909858959126984E-3</v>
      </c>
    </row>
    <row r="110" spans="1:18" hidden="1" x14ac:dyDescent="0.2">
      <c r="A110" s="4">
        <v>286</v>
      </c>
      <c r="B110" s="2">
        <v>95549386.959999993</v>
      </c>
      <c r="C110" s="2">
        <v>0</v>
      </c>
      <c r="D110" s="4" t="s">
        <v>244</v>
      </c>
      <c r="E110" s="2">
        <v>95549386.959999993</v>
      </c>
      <c r="F110" s="2">
        <v>18154383.52</v>
      </c>
      <c r="G110" s="2">
        <v>2220732.52</v>
      </c>
      <c r="H110" s="4">
        <v>2531635.09</v>
      </c>
      <c r="I110" s="4">
        <v>0</v>
      </c>
      <c r="J110" s="4">
        <v>4752367.6100000003</v>
      </c>
      <c r="K110" s="4">
        <v>108951402.87</v>
      </c>
      <c r="L110" s="4" t="s">
        <v>243</v>
      </c>
      <c r="M110" s="4" t="s">
        <v>110</v>
      </c>
      <c r="N110" s="4" t="s">
        <v>245</v>
      </c>
      <c r="O110" s="4" t="s">
        <v>237</v>
      </c>
      <c r="P110" s="4" t="s">
        <v>237</v>
      </c>
      <c r="Q110" s="4" t="s">
        <v>22</v>
      </c>
      <c r="R110" s="9">
        <f t="shared" si="1"/>
        <v>1.9033364898934128E-3</v>
      </c>
    </row>
    <row r="111" spans="1:18" hidden="1" x14ac:dyDescent="0.2">
      <c r="A111" s="4">
        <v>430</v>
      </c>
      <c r="B111" s="2">
        <v>94630233</v>
      </c>
      <c r="C111" s="2">
        <v>340379.6</v>
      </c>
      <c r="D111" s="4" t="s">
        <v>1926</v>
      </c>
      <c r="E111" s="2">
        <v>94289853.400000006</v>
      </c>
      <c r="F111" s="2">
        <v>17915072.149999999</v>
      </c>
      <c r="G111" s="2">
        <v>2223004.27</v>
      </c>
      <c r="H111" s="4">
        <v>2534224.85</v>
      </c>
      <c r="I111" s="4">
        <v>0</v>
      </c>
      <c r="J111" s="4">
        <v>4757229.12</v>
      </c>
      <c r="K111" s="4">
        <v>107447696.43000001</v>
      </c>
      <c r="L111" s="4" t="s">
        <v>1925</v>
      </c>
      <c r="M111" s="4" t="s">
        <v>137</v>
      </c>
      <c r="N111" s="4" t="s">
        <v>58</v>
      </c>
      <c r="O111" s="4" t="s">
        <v>59</v>
      </c>
      <c r="P111" s="4" t="s">
        <v>59</v>
      </c>
      <c r="Q111" s="4" t="s">
        <v>22</v>
      </c>
      <c r="R111" s="9">
        <f t="shared" si="1"/>
        <v>1.8782466775851777E-3</v>
      </c>
    </row>
    <row r="112" spans="1:18" hidden="1" x14ac:dyDescent="0.2">
      <c r="A112" s="4">
        <v>314</v>
      </c>
      <c r="B112" s="2">
        <v>92608748</v>
      </c>
      <c r="C112" s="2">
        <v>0</v>
      </c>
      <c r="D112" s="4" t="s">
        <v>298</v>
      </c>
      <c r="E112" s="2">
        <v>92608748</v>
      </c>
      <c r="F112" s="2">
        <v>17595662.120000001</v>
      </c>
      <c r="G112" s="2">
        <v>2315218.71</v>
      </c>
      <c r="H112" s="4">
        <v>2639349.33</v>
      </c>
      <c r="I112" s="4">
        <v>0</v>
      </c>
      <c r="J112" s="4">
        <v>4954568.04</v>
      </c>
      <c r="K112" s="4">
        <v>105249842.08</v>
      </c>
      <c r="L112" s="4" t="s">
        <v>296</v>
      </c>
      <c r="M112" s="4" t="s">
        <v>297</v>
      </c>
      <c r="N112" s="4" t="s">
        <v>63</v>
      </c>
      <c r="O112" s="4" t="s">
        <v>76</v>
      </c>
      <c r="P112" s="4" t="s">
        <v>76</v>
      </c>
      <c r="Q112" s="4" t="s">
        <v>100</v>
      </c>
      <c r="R112" s="9">
        <f t="shared" si="1"/>
        <v>1.8447591864250682E-3</v>
      </c>
    </row>
    <row r="113" spans="1:18" x14ac:dyDescent="0.2">
      <c r="A113" s="4">
        <v>805</v>
      </c>
      <c r="B113" s="2">
        <v>92169545</v>
      </c>
      <c r="C113" s="2">
        <v>257349.33</v>
      </c>
      <c r="D113" s="4" t="s">
        <v>318</v>
      </c>
      <c r="E113" s="2">
        <v>91912195.670000002</v>
      </c>
      <c r="F113" s="2">
        <v>17463317.18</v>
      </c>
      <c r="G113" s="2">
        <v>2232212.65</v>
      </c>
      <c r="H113" s="4">
        <v>2619497.59</v>
      </c>
      <c r="I113" s="4">
        <v>0</v>
      </c>
      <c r="J113" s="4">
        <v>4851710.24</v>
      </c>
      <c r="K113" s="4">
        <v>104523802.61</v>
      </c>
      <c r="L113" s="4" t="s">
        <v>317</v>
      </c>
      <c r="M113" s="4" t="s">
        <v>81</v>
      </c>
      <c r="N113" s="4" t="s">
        <v>26</v>
      </c>
      <c r="O113" s="4" t="s">
        <v>27</v>
      </c>
      <c r="P113" s="4" t="s">
        <v>27</v>
      </c>
      <c r="Q113" s="4" t="s">
        <v>28</v>
      </c>
      <c r="R113" s="9">
        <f t="shared" si="1"/>
        <v>1.8308839172162319E-3</v>
      </c>
    </row>
    <row r="114" spans="1:18" hidden="1" x14ac:dyDescent="0.2">
      <c r="A114" s="4">
        <v>282</v>
      </c>
      <c r="B114" s="2">
        <v>91882430</v>
      </c>
      <c r="C114" s="2">
        <v>170593.68</v>
      </c>
      <c r="D114" s="4" t="s">
        <v>433</v>
      </c>
      <c r="E114" s="2">
        <v>91711836.319999993</v>
      </c>
      <c r="F114" s="2">
        <v>17425248.899999999</v>
      </c>
      <c r="G114" s="2">
        <v>2213794.4500000002</v>
      </c>
      <c r="H114" s="4">
        <v>0</v>
      </c>
      <c r="I114" s="4">
        <v>0</v>
      </c>
      <c r="J114" s="4">
        <v>2213794.4500000002</v>
      </c>
      <c r="K114" s="4">
        <v>106923290.77</v>
      </c>
      <c r="L114" s="4" t="s">
        <v>431</v>
      </c>
      <c r="M114" s="4" t="s">
        <v>432</v>
      </c>
      <c r="N114" s="4" t="s">
        <v>434</v>
      </c>
      <c r="O114" s="4" t="s">
        <v>382</v>
      </c>
      <c r="P114" s="4" t="s">
        <v>382</v>
      </c>
      <c r="Q114" s="4" t="s">
        <v>28</v>
      </c>
      <c r="R114" s="9">
        <f t="shared" si="1"/>
        <v>1.826892774268282E-3</v>
      </c>
    </row>
    <row r="115" spans="1:18" hidden="1" x14ac:dyDescent="0.2">
      <c r="A115" s="4">
        <v>147</v>
      </c>
      <c r="B115" s="2">
        <v>90843508</v>
      </c>
      <c r="C115" s="2">
        <v>0</v>
      </c>
      <c r="D115" s="4" t="s">
        <v>840</v>
      </c>
      <c r="E115" s="2">
        <v>90843508</v>
      </c>
      <c r="F115" s="2">
        <v>17260266.52</v>
      </c>
      <c r="G115" s="2">
        <v>2222623.54</v>
      </c>
      <c r="H115" s="4">
        <v>2533790.7799999998</v>
      </c>
      <c r="I115" s="4">
        <v>0</v>
      </c>
      <c r="J115" s="4">
        <v>4756414.32</v>
      </c>
      <c r="K115" s="4">
        <v>103347360.2</v>
      </c>
      <c r="L115" s="4" t="s">
        <v>838</v>
      </c>
      <c r="M115" s="4" t="s">
        <v>839</v>
      </c>
      <c r="N115" s="4" t="s">
        <v>20</v>
      </c>
      <c r="O115" s="4" t="s">
        <v>76</v>
      </c>
      <c r="P115" s="4" t="s">
        <v>76</v>
      </c>
      <c r="Q115" s="4" t="s">
        <v>100</v>
      </c>
      <c r="R115" s="9">
        <f t="shared" si="1"/>
        <v>1.809595740459413E-3</v>
      </c>
    </row>
    <row r="116" spans="1:18" hidden="1" x14ac:dyDescent="0.2">
      <c r="A116" s="4">
        <v>1863</v>
      </c>
      <c r="B116" s="2">
        <v>90543363.120000005</v>
      </c>
      <c r="C116" s="2">
        <v>0</v>
      </c>
      <c r="D116" s="4" t="s">
        <v>617</v>
      </c>
      <c r="E116" s="2">
        <v>90543363.120000005</v>
      </c>
      <c r="F116" s="2">
        <v>17203238.98</v>
      </c>
      <c r="G116" s="2">
        <v>2050277.32</v>
      </c>
      <c r="H116" s="4">
        <v>2337315.7799999998</v>
      </c>
      <c r="I116" s="4">
        <v>0</v>
      </c>
      <c r="J116" s="4">
        <v>4387593.0999999996</v>
      </c>
      <c r="K116" s="4">
        <v>103359009</v>
      </c>
      <c r="L116" s="4" t="s">
        <v>615</v>
      </c>
      <c r="M116" s="4" t="s">
        <v>616</v>
      </c>
      <c r="N116" s="4" t="s">
        <v>20</v>
      </c>
      <c r="O116" s="4" t="s">
        <v>21</v>
      </c>
      <c r="P116" s="4" t="s">
        <v>21</v>
      </c>
      <c r="Q116" s="4" t="s">
        <v>144</v>
      </c>
      <c r="R116" s="9">
        <f t="shared" si="1"/>
        <v>1.8036168773757826E-3</v>
      </c>
    </row>
    <row r="117" spans="1:18" hidden="1" x14ac:dyDescent="0.2">
      <c r="A117" s="4">
        <v>878</v>
      </c>
      <c r="B117" s="2">
        <v>90535989</v>
      </c>
      <c r="C117" s="2">
        <v>402289.8</v>
      </c>
      <c r="D117" s="4" t="s">
        <v>447</v>
      </c>
      <c r="E117" s="2">
        <v>90133699.200000003</v>
      </c>
      <c r="F117" s="2">
        <v>17125402.850000001</v>
      </c>
      <c r="G117" s="2">
        <v>2084693.09</v>
      </c>
      <c r="H117" s="4">
        <v>0</v>
      </c>
      <c r="I117" s="4">
        <v>0</v>
      </c>
      <c r="J117" s="4">
        <v>2084693.09</v>
      </c>
      <c r="K117" s="4">
        <v>105174408.95999999</v>
      </c>
      <c r="L117" s="4" t="s">
        <v>445</v>
      </c>
      <c r="M117" s="4" t="s">
        <v>446</v>
      </c>
      <c r="N117" s="4" t="s">
        <v>448</v>
      </c>
      <c r="O117" s="4" t="s">
        <v>382</v>
      </c>
      <c r="P117" s="4" t="s">
        <v>382</v>
      </c>
      <c r="Q117" s="4" t="s">
        <v>28</v>
      </c>
      <c r="R117" s="9">
        <f t="shared" si="1"/>
        <v>1.7954564033807457E-3</v>
      </c>
    </row>
    <row r="118" spans="1:18" hidden="1" x14ac:dyDescent="0.2">
      <c r="A118" s="4">
        <v>1954</v>
      </c>
      <c r="B118" s="2">
        <v>89337275</v>
      </c>
      <c r="C118" s="2">
        <v>123884.25</v>
      </c>
      <c r="D118" s="4" t="s">
        <v>352</v>
      </c>
      <c r="E118" s="2">
        <v>89213390.75</v>
      </c>
      <c r="F118" s="2">
        <v>16950544.239999998</v>
      </c>
      <c r="G118" s="2">
        <v>1929338.62</v>
      </c>
      <c r="H118" s="4">
        <v>0</v>
      </c>
      <c r="I118" s="4">
        <v>0</v>
      </c>
      <c r="J118" s="4">
        <v>1929338.62</v>
      </c>
      <c r="K118" s="4">
        <v>104234596.37</v>
      </c>
      <c r="L118" s="4" t="s">
        <v>350</v>
      </c>
      <c r="M118" s="4" t="s">
        <v>351</v>
      </c>
      <c r="N118" s="4" t="s">
        <v>46</v>
      </c>
      <c r="O118" s="4" t="s">
        <v>27</v>
      </c>
      <c r="P118" s="4" t="s">
        <v>27</v>
      </c>
      <c r="Q118" s="4" t="s">
        <v>28</v>
      </c>
      <c r="R118" s="9">
        <f t="shared" si="1"/>
        <v>1.7771239293526754E-3</v>
      </c>
    </row>
    <row r="119" spans="1:18" hidden="1" x14ac:dyDescent="0.2">
      <c r="A119" s="4">
        <v>315</v>
      </c>
      <c r="B119" s="2">
        <v>88772711</v>
      </c>
      <c r="C119" s="2">
        <v>0</v>
      </c>
      <c r="D119" s="4" t="s">
        <v>698</v>
      </c>
      <c r="E119" s="2">
        <v>88772711</v>
      </c>
      <c r="F119" s="2">
        <v>16866815.09</v>
      </c>
      <c r="G119" s="2">
        <v>2132628.04</v>
      </c>
      <c r="H119" s="4">
        <v>2431195.9900000002</v>
      </c>
      <c r="I119" s="4">
        <v>0</v>
      </c>
      <c r="J119" s="4">
        <v>4563824.03</v>
      </c>
      <c r="K119" s="4">
        <v>101075702.06</v>
      </c>
      <c r="L119" s="4" t="s">
        <v>696</v>
      </c>
      <c r="M119" s="4" t="s">
        <v>697</v>
      </c>
      <c r="N119" s="4" t="s">
        <v>306</v>
      </c>
      <c r="O119" s="4" t="s">
        <v>76</v>
      </c>
      <c r="P119" s="4" t="s">
        <v>76</v>
      </c>
      <c r="Q119" s="4" t="s">
        <v>100</v>
      </c>
      <c r="R119" s="9">
        <f t="shared" si="1"/>
        <v>1.7683456223931211E-3</v>
      </c>
    </row>
    <row r="120" spans="1:18" hidden="1" x14ac:dyDescent="0.2">
      <c r="A120" s="4">
        <v>950</v>
      </c>
      <c r="B120" s="2">
        <v>88405636</v>
      </c>
      <c r="C120" s="2">
        <v>0</v>
      </c>
      <c r="D120" s="4" t="s">
        <v>451</v>
      </c>
      <c r="E120" s="2">
        <v>88405636</v>
      </c>
      <c r="F120" s="2">
        <v>16797070.84</v>
      </c>
      <c r="G120" s="2">
        <v>0</v>
      </c>
      <c r="H120" s="4">
        <v>0</v>
      </c>
      <c r="I120" s="4">
        <v>0</v>
      </c>
      <c r="J120" s="4">
        <v>0</v>
      </c>
      <c r="K120" s="4">
        <v>105202706.84</v>
      </c>
      <c r="L120" s="4" t="s">
        <v>449</v>
      </c>
      <c r="M120" s="4" t="s">
        <v>450</v>
      </c>
      <c r="N120" s="4" t="s">
        <v>92</v>
      </c>
      <c r="O120" s="4" t="s">
        <v>93</v>
      </c>
      <c r="P120" s="4" t="s">
        <v>93</v>
      </c>
      <c r="Q120" s="4" t="s">
        <v>100</v>
      </c>
      <c r="R120" s="9">
        <f t="shared" si="1"/>
        <v>1.7610335164314145E-3</v>
      </c>
    </row>
    <row r="121" spans="1:18" hidden="1" x14ac:dyDescent="0.2">
      <c r="A121" s="4">
        <v>679</v>
      </c>
      <c r="B121" s="2">
        <v>85179433</v>
      </c>
      <c r="C121" s="2">
        <v>0</v>
      </c>
      <c r="D121" s="4" t="s">
        <v>647</v>
      </c>
      <c r="E121" s="2">
        <v>85179433</v>
      </c>
      <c r="F121" s="2">
        <v>16184092.27</v>
      </c>
      <c r="G121" s="2">
        <v>1606235.45</v>
      </c>
      <c r="H121" s="4">
        <v>0</v>
      </c>
      <c r="I121" s="4">
        <v>0</v>
      </c>
      <c r="J121" s="4">
        <v>1606235.45</v>
      </c>
      <c r="K121" s="4">
        <v>99757289.819999993</v>
      </c>
      <c r="L121" s="4" t="s">
        <v>645</v>
      </c>
      <c r="M121" s="4" t="s">
        <v>646</v>
      </c>
      <c r="N121" s="4" t="s">
        <v>648</v>
      </c>
      <c r="O121" s="4" t="s">
        <v>340</v>
      </c>
      <c r="P121" s="4" t="s">
        <v>340</v>
      </c>
      <c r="Q121" s="4" t="s">
        <v>100</v>
      </c>
      <c r="R121" s="9">
        <f t="shared" si="1"/>
        <v>1.6967677990985107E-3</v>
      </c>
    </row>
    <row r="122" spans="1:18" hidden="1" x14ac:dyDescent="0.2">
      <c r="A122" s="4">
        <v>431</v>
      </c>
      <c r="B122" s="2">
        <v>84885696</v>
      </c>
      <c r="C122" s="2">
        <v>0</v>
      </c>
      <c r="D122" s="4" t="s">
        <v>644</v>
      </c>
      <c r="E122" s="2">
        <v>84885696</v>
      </c>
      <c r="F122" s="2">
        <v>16128282.24</v>
      </c>
      <c r="G122" s="2">
        <v>1932429.45</v>
      </c>
      <c r="H122" s="4">
        <v>2224992.67</v>
      </c>
      <c r="I122" s="4">
        <v>0</v>
      </c>
      <c r="J122" s="4">
        <v>4157422.12</v>
      </c>
      <c r="K122" s="4">
        <v>96856556.120000005</v>
      </c>
      <c r="L122" s="4" t="s">
        <v>643</v>
      </c>
      <c r="M122" s="4" t="s">
        <v>137</v>
      </c>
      <c r="N122" s="4" t="s">
        <v>83</v>
      </c>
      <c r="O122" s="4" t="s">
        <v>84</v>
      </c>
      <c r="P122" s="4" t="s">
        <v>84</v>
      </c>
      <c r="Q122" s="4" t="s">
        <v>22</v>
      </c>
      <c r="R122" s="9">
        <f t="shared" si="1"/>
        <v>1.690916580495027E-3</v>
      </c>
    </row>
    <row r="123" spans="1:18" hidden="1" x14ac:dyDescent="0.2">
      <c r="A123" s="4">
        <v>324</v>
      </c>
      <c r="B123" s="2">
        <v>84777242</v>
      </c>
      <c r="C123" s="2">
        <v>0</v>
      </c>
      <c r="D123" s="4" t="s">
        <v>411</v>
      </c>
      <c r="E123" s="2">
        <v>84777242</v>
      </c>
      <c r="F123" s="2">
        <v>16107675.98</v>
      </c>
      <c r="G123" s="2">
        <v>2119431.06</v>
      </c>
      <c r="H123" s="4">
        <v>0</v>
      </c>
      <c r="I123" s="4">
        <v>0</v>
      </c>
      <c r="J123" s="4">
        <v>2119431.06</v>
      </c>
      <c r="K123" s="4">
        <v>98765486.920000002</v>
      </c>
      <c r="L123" s="4" t="s">
        <v>409</v>
      </c>
      <c r="M123" s="4" t="s">
        <v>410</v>
      </c>
      <c r="N123" s="4" t="s">
        <v>104</v>
      </c>
      <c r="O123" s="4" t="s">
        <v>105</v>
      </c>
      <c r="P123" s="4" t="s">
        <v>105</v>
      </c>
      <c r="Q123" s="4" t="s">
        <v>100</v>
      </c>
      <c r="R123" s="9">
        <f t="shared" si="1"/>
        <v>1.68875618509907E-3</v>
      </c>
    </row>
    <row r="124" spans="1:18" hidden="1" x14ac:dyDescent="0.2">
      <c r="A124" s="4">
        <v>514</v>
      </c>
      <c r="B124" s="2">
        <v>82771598</v>
      </c>
      <c r="C124" s="2">
        <v>79471.59</v>
      </c>
      <c r="D124" s="4" t="s">
        <v>421</v>
      </c>
      <c r="E124" s="2">
        <v>82692126.409999996</v>
      </c>
      <c r="F124" s="2">
        <v>15711504.02</v>
      </c>
      <c r="G124" s="2">
        <v>1623885.38</v>
      </c>
      <c r="H124" s="4">
        <v>0</v>
      </c>
      <c r="I124" s="4">
        <v>0</v>
      </c>
      <c r="J124" s="4">
        <v>1623885.38</v>
      </c>
      <c r="K124" s="4">
        <v>96779745.049999997</v>
      </c>
      <c r="L124" s="4" t="s">
        <v>419</v>
      </c>
      <c r="M124" s="4" t="s">
        <v>420</v>
      </c>
      <c r="N124" s="4" t="s">
        <v>20</v>
      </c>
      <c r="O124" s="4" t="s">
        <v>71</v>
      </c>
      <c r="P124" s="4" t="s">
        <v>71</v>
      </c>
      <c r="Q124" s="4" t="s">
        <v>100</v>
      </c>
      <c r="R124" s="9">
        <f t="shared" si="1"/>
        <v>1.647220841813675E-3</v>
      </c>
    </row>
    <row r="125" spans="1:18" hidden="1" x14ac:dyDescent="0.2">
      <c r="A125" s="4">
        <v>1629</v>
      </c>
      <c r="B125" s="2">
        <v>82023189</v>
      </c>
      <c r="C125" s="2">
        <v>0</v>
      </c>
      <c r="D125" s="4" t="s">
        <v>457</v>
      </c>
      <c r="E125" s="2">
        <v>82023189</v>
      </c>
      <c r="F125" s="2">
        <v>15584405.91</v>
      </c>
      <c r="G125" s="2">
        <v>1714347.24</v>
      </c>
      <c r="H125" s="4">
        <v>0</v>
      </c>
      <c r="I125" s="4">
        <v>0</v>
      </c>
      <c r="J125" s="4">
        <v>1714347.24</v>
      </c>
      <c r="K125" s="4">
        <v>95893247.670000002</v>
      </c>
      <c r="L125" s="4" t="s">
        <v>455</v>
      </c>
      <c r="M125" s="4" t="s">
        <v>456</v>
      </c>
      <c r="N125" s="4" t="s">
        <v>186</v>
      </c>
      <c r="O125" s="4" t="s">
        <v>59</v>
      </c>
      <c r="P125" s="4" t="s">
        <v>59</v>
      </c>
      <c r="Q125" s="4" t="s">
        <v>100</v>
      </c>
      <c r="R125" s="9">
        <f t="shared" si="1"/>
        <v>1.6338956597019281E-3</v>
      </c>
    </row>
    <row r="126" spans="1:18" hidden="1" x14ac:dyDescent="0.2">
      <c r="A126" s="4">
        <v>1809</v>
      </c>
      <c r="B126" s="2">
        <v>82155233</v>
      </c>
      <c r="C126" s="2">
        <v>502225.8</v>
      </c>
      <c r="D126" s="4" t="s">
        <v>626</v>
      </c>
      <c r="E126" s="2">
        <v>81653007.200000003</v>
      </c>
      <c r="F126" s="2">
        <v>15514071.369999999</v>
      </c>
      <c r="G126" s="2">
        <v>1757475.36</v>
      </c>
      <c r="H126" s="4">
        <v>0</v>
      </c>
      <c r="I126" s="4">
        <v>0</v>
      </c>
      <c r="J126" s="4">
        <v>1757475.36</v>
      </c>
      <c r="K126" s="4">
        <v>95409603.209999993</v>
      </c>
      <c r="L126" s="4" t="s">
        <v>624</v>
      </c>
      <c r="M126" s="4" t="s">
        <v>625</v>
      </c>
      <c r="N126" s="4" t="s">
        <v>627</v>
      </c>
      <c r="O126" s="4" t="s">
        <v>27</v>
      </c>
      <c r="P126" s="4" t="s">
        <v>27</v>
      </c>
      <c r="Q126" s="4" t="s">
        <v>100</v>
      </c>
      <c r="R126" s="9">
        <f t="shared" si="1"/>
        <v>1.6265216665215282E-3</v>
      </c>
    </row>
    <row r="127" spans="1:18" hidden="1" x14ac:dyDescent="0.2">
      <c r="A127" s="4">
        <v>291</v>
      </c>
      <c r="B127" s="2">
        <v>81310766</v>
      </c>
      <c r="C127" s="2">
        <v>0</v>
      </c>
      <c r="D127" s="4" t="s">
        <v>474</v>
      </c>
      <c r="E127" s="2">
        <v>81310766</v>
      </c>
      <c r="F127" s="2">
        <v>15449045.539999999</v>
      </c>
      <c r="G127" s="2">
        <v>1892482.2</v>
      </c>
      <c r="H127" s="4">
        <v>2157429.66</v>
      </c>
      <c r="I127" s="4">
        <v>0</v>
      </c>
      <c r="J127" s="4">
        <v>4049911.86</v>
      </c>
      <c r="K127" s="4">
        <v>92709899.680000007</v>
      </c>
      <c r="L127" s="4" t="s">
        <v>473</v>
      </c>
      <c r="M127" s="4" t="s">
        <v>110</v>
      </c>
      <c r="N127" s="4" t="s">
        <v>20</v>
      </c>
      <c r="O127" s="4" t="s">
        <v>21</v>
      </c>
      <c r="P127" s="4" t="s">
        <v>21</v>
      </c>
      <c r="Q127" s="4" t="s">
        <v>22</v>
      </c>
      <c r="R127" s="9">
        <f t="shared" si="1"/>
        <v>1.6197042479589412E-3</v>
      </c>
    </row>
    <row r="128" spans="1:18" hidden="1" x14ac:dyDescent="0.2">
      <c r="A128" s="4">
        <v>541</v>
      </c>
      <c r="B128" s="2">
        <v>80340855</v>
      </c>
      <c r="C128" s="2">
        <v>161658.57</v>
      </c>
      <c r="D128" s="4" t="s">
        <v>471</v>
      </c>
      <c r="E128" s="2">
        <v>80179196.430000007</v>
      </c>
      <c r="F128" s="2">
        <v>15234047.32</v>
      </c>
      <c r="G128" s="2">
        <v>0</v>
      </c>
      <c r="H128" s="4">
        <v>0</v>
      </c>
      <c r="I128" s="4">
        <v>0</v>
      </c>
      <c r="J128" s="4">
        <v>0</v>
      </c>
      <c r="K128" s="4">
        <v>95413243.75</v>
      </c>
      <c r="L128" s="4" t="s">
        <v>469</v>
      </c>
      <c r="M128" s="4" t="s">
        <v>470</v>
      </c>
      <c r="N128" s="4" t="s">
        <v>472</v>
      </c>
      <c r="O128" s="4" t="s">
        <v>67</v>
      </c>
      <c r="P128" s="4" t="s">
        <v>67</v>
      </c>
      <c r="Q128" s="4" t="s">
        <v>28</v>
      </c>
      <c r="R128" s="9">
        <f t="shared" si="1"/>
        <v>1.5971634685572312E-3</v>
      </c>
    </row>
    <row r="129" spans="1:18" hidden="1" x14ac:dyDescent="0.2">
      <c r="A129" s="4">
        <v>278</v>
      </c>
      <c r="B129" s="2">
        <v>79614244</v>
      </c>
      <c r="C129" s="2">
        <v>0</v>
      </c>
      <c r="D129" s="4" t="s">
        <v>430</v>
      </c>
      <c r="E129" s="2">
        <v>79614244</v>
      </c>
      <c r="F129" s="2">
        <v>15126706.359999999</v>
      </c>
      <c r="G129" s="2">
        <v>1782335.58</v>
      </c>
      <c r="H129" s="4">
        <v>0</v>
      </c>
      <c r="I129" s="4">
        <v>0</v>
      </c>
      <c r="J129" s="4">
        <v>1782335.58</v>
      </c>
      <c r="K129" s="4">
        <v>92958614.780000001</v>
      </c>
      <c r="L129" s="4" t="s">
        <v>428</v>
      </c>
      <c r="M129" s="4" t="s">
        <v>429</v>
      </c>
      <c r="N129" s="4" t="s">
        <v>104</v>
      </c>
      <c r="O129" s="4" t="s">
        <v>105</v>
      </c>
      <c r="P129" s="4" t="s">
        <v>105</v>
      </c>
      <c r="Q129" s="4" t="s">
        <v>100</v>
      </c>
      <c r="R129" s="9">
        <f t="shared" si="1"/>
        <v>1.5859096593043983E-3</v>
      </c>
    </row>
    <row r="130" spans="1:18" hidden="1" x14ac:dyDescent="0.2">
      <c r="A130" s="4">
        <v>1003</v>
      </c>
      <c r="B130" s="2">
        <v>79020708</v>
      </c>
      <c r="C130" s="2">
        <v>287941.23</v>
      </c>
      <c r="D130" s="4" t="s">
        <v>376</v>
      </c>
      <c r="E130" s="2">
        <v>78732766.769999996</v>
      </c>
      <c r="F130" s="2">
        <v>14959225.689999999</v>
      </c>
      <c r="G130" s="2">
        <v>1968319.19</v>
      </c>
      <c r="H130" s="4">
        <v>2243883.85</v>
      </c>
      <c r="I130" s="4">
        <v>0</v>
      </c>
      <c r="J130" s="4">
        <v>4212203.04</v>
      </c>
      <c r="K130" s="4">
        <v>89479789.420000002</v>
      </c>
      <c r="L130" s="4" t="s">
        <v>375</v>
      </c>
      <c r="M130" s="4" t="s">
        <v>95</v>
      </c>
      <c r="N130" s="4" t="s">
        <v>377</v>
      </c>
      <c r="O130" s="4" t="s">
        <v>67</v>
      </c>
      <c r="P130" s="4" t="s">
        <v>67</v>
      </c>
      <c r="Q130" s="4" t="s">
        <v>28</v>
      </c>
      <c r="R130" s="9">
        <f t="shared" si="1"/>
        <v>1.5683507002126824E-3</v>
      </c>
    </row>
    <row r="131" spans="1:18" hidden="1" x14ac:dyDescent="0.2">
      <c r="A131" s="4">
        <v>686</v>
      </c>
      <c r="B131" s="2">
        <v>78896706</v>
      </c>
      <c r="C131" s="2">
        <v>198566.34</v>
      </c>
      <c r="D131" s="4" t="s">
        <v>682</v>
      </c>
      <c r="E131" s="2">
        <v>78698139.659999996</v>
      </c>
      <c r="F131" s="2">
        <v>14952646.539999999</v>
      </c>
      <c r="G131" s="2">
        <v>1900533.86</v>
      </c>
      <c r="H131" s="4">
        <v>0</v>
      </c>
      <c r="I131" s="4">
        <v>0</v>
      </c>
      <c r="J131" s="4">
        <v>1900533.86</v>
      </c>
      <c r="K131" s="4">
        <v>91750252.340000004</v>
      </c>
      <c r="L131" s="4" t="s">
        <v>680</v>
      </c>
      <c r="M131" s="4" t="s">
        <v>681</v>
      </c>
      <c r="N131" s="4" t="s">
        <v>32</v>
      </c>
      <c r="O131" s="4" t="s">
        <v>33</v>
      </c>
      <c r="P131" s="4" t="s">
        <v>33</v>
      </c>
      <c r="Q131" s="4" t="s">
        <v>100</v>
      </c>
      <c r="R131" s="9">
        <f t="shared" ref="R131:R194" si="2">E131/$E$2034</f>
        <v>1.5676609308264051E-3</v>
      </c>
    </row>
    <row r="132" spans="1:18" hidden="1" x14ac:dyDescent="0.2">
      <c r="A132" s="4">
        <v>1007</v>
      </c>
      <c r="B132" s="2">
        <v>78496098</v>
      </c>
      <c r="C132" s="2">
        <v>0</v>
      </c>
      <c r="D132" s="4" t="s">
        <v>1085</v>
      </c>
      <c r="E132" s="2">
        <v>78496098</v>
      </c>
      <c r="F132" s="2">
        <v>14914258.619999999</v>
      </c>
      <c r="G132" s="2">
        <v>1962402.45</v>
      </c>
      <c r="H132" s="4">
        <v>2917530.13</v>
      </c>
      <c r="I132" s="4">
        <v>0</v>
      </c>
      <c r="J132" s="4">
        <v>4879932.58</v>
      </c>
      <c r="K132" s="4">
        <v>88530424.040000007</v>
      </c>
      <c r="L132" s="4" t="s">
        <v>1084</v>
      </c>
      <c r="M132" s="4" t="s">
        <v>175</v>
      </c>
      <c r="N132" s="4" t="s">
        <v>306</v>
      </c>
      <c r="O132" s="4" t="s">
        <v>42</v>
      </c>
      <c r="P132" s="4" t="s">
        <v>42</v>
      </c>
      <c r="Q132" s="4" t="s">
        <v>28</v>
      </c>
      <c r="R132" s="9">
        <f t="shared" si="2"/>
        <v>1.5636362763917554E-3</v>
      </c>
    </row>
    <row r="133" spans="1:18" hidden="1" x14ac:dyDescent="0.2">
      <c r="A133" s="4">
        <v>689</v>
      </c>
      <c r="B133" s="2">
        <v>77119938</v>
      </c>
      <c r="C133" s="2">
        <v>0</v>
      </c>
      <c r="D133" s="4" t="s">
        <v>511</v>
      </c>
      <c r="E133" s="2">
        <v>77119938</v>
      </c>
      <c r="F133" s="2">
        <v>14652788.220000001</v>
      </c>
      <c r="G133" s="2">
        <v>1604796.9</v>
      </c>
      <c r="H133" s="4">
        <v>0</v>
      </c>
      <c r="I133" s="4">
        <v>0</v>
      </c>
      <c r="J133" s="4">
        <v>1604796.9</v>
      </c>
      <c r="K133" s="4">
        <v>90167929.319999993</v>
      </c>
      <c r="L133" s="4" t="s">
        <v>509</v>
      </c>
      <c r="M133" s="4" t="s">
        <v>510</v>
      </c>
      <c r="N133" s="4" t="s">
        <v>512</v>
      </c>
      <c r="O133" s="4" t="s">
        <v>59</v>
      </c>
      <c r="P133" s="4" t="s">
        <v>59</v>
      </c>
      <c r="Q133" s="4" t="s">
        <v>100</v>
      </c>
      <c r="R133" s="9">
        <f t="shared" si="2"/>
        <v>1.5362232743069985E-3</v>
      </c>
    </row>
    <row r="134" spans="1:18" hidden="1" x14ac:dyDescent="0.2">
      <c r="A134" s="4">
        <v>305</v>
      </c>
      <c r="B134" s="2">
        <v>77869369</v>
      </c>
      <c r="C134" s="2">
        <v>907394.28</v>
      </c>
      <c r="D134" s="4" t="s">
        <v>345</v>
      </c>
      <c r="E134" s="2">
        <v>76961974.719999999</v>
      </c>
      <c r="F134" s="2">
        <v>14622775.189999999</v>
      </c>
      <c r="G134" s="2">
        <v>1897673.39</v>
      </c>
      <c r="H134" s="4">
        <v>0</v>
      </c>
      <c r="I134" s="4">
        <v>0</v>
      </c>
      <c r="J134" s="4">
        <v>1897673.39</v>
      </c>
      <c r="K134" s="4">
        <v>89687076.519999996</v>
      </c>
      <c r="L134" s="4" t="s">
        <v>343</v>
      </c>
      <c r="M134" s="4" t="s">
        <v>344</v>
      </c>
      <c r="N134" s="4" t="s">
        <v>20</v>
      </c>
      <c r="O134" s="4" t="s">
        <v>71</v>
      </c>
      <c r="P134" s="4" t="s">
        <v>71</v>
      </c>
      <c r="Q134" s="4" t="s">
        <v>100</v>
      </c>
      <c r="R134" s="9">
        <f t="shared" si="2"/>
        <v>1.5330766578351093E-3</v>
      </c>
    </row>
    <row r="135" spans="1:18" hidden="1" x14ac:dyDescent="0.2">
      <c r="A135" s="4">
        <v>1008</v>
      </c>
      <c r="B135" s="2">
        <v>76583722</v>
      </c>
      <c r="C135" s="2">
        <v>0</v>
      </c>
      <c r="D135" s="4" t="s">
        <v>1123</v>
      </c>
      <c r="E135" s="2">
        <v>76583722</v>
      </c>
      <c r="F135" s="2">
        <v>14550907.18</v>
      </c>
      <c r="G135" s="2">
        <v>1918709.16</v>
      </c>
      <c r="H135" s="4">
        <v>2182636.08</v>
      </c>
      <c r="I135" s="4">
        <v>0</v>
      </c>
      <c r="J135" s="4">
        <v>4101345.24</v>
      </c>
      <c r="K135" s="4">
        <v>87033283.939999998</v>
      </c>
      <c r="L135" s="4" t="s">
        <v>1122</v>
      </c>
      <c r="M135" s="4" t="s">
        <v>175</v>
      </c>
      <c r="N135" s="4" t="s">
        <v>389</v>
      </c>
      <c r="O135" s="4" t="s">
        <v>42</v>
      </c>
      <c r="P135" s="4" t="s">
        <v>42</v>
      </c>
      <c r="Q135" s="4" t="s">
        <v>28</v>
      </c>
      <c r="R135" s="9">
        <f t="shared" si="2"/>
        <v>1.5255418925447907E-3</v>
      </c>
    </row>
    <row r="136" spans="1:18" hidden="1" x14ac:dyDescent="0.2">
      <c r="A136" s="4">
        <v>342</v>
      </c>
      <c r="B136" s="2">
        <v>76460631</v>
      </c>
      <c r="C136" s="2">
        <v>0</v>
      </c>
      <c r="D136" s="4" t="s">
        <v>385</v>
      </c>
      <c r="E136" s="2">
        <v>76460631</v>
      </c>
      <c r="F136" s="2">
        <v>0</v>
      </c>
      <c r="G136" s="2">
        <v>1886123.47</v>
      </c>
      <c r="H136" s="4">
        <v>0</v>
      </c>
      <c r="I136" s="4">
        <v>0</v>
      </c>
      <c r="J136" s="4">
        <v>1886123.47</v>
      </c>
      <c r="K136" s="4">
        <v>74574507.530000001</v>
      </c>
      <c r="L136" s="4" t="s">
        <v>383</v>
      </c>
      <c r="M136" s="4" t="s">
        <v>384</v>
      </c>
      <c r="N136" s="4" t="s">
        <v>336</v>
      </c>
      <c r="O136" s="4" t="s">
        <v>386</v>
      </c>
      <c r="P136" s="4" t="s">
        <v>386</v>
      </c>
      <c r="Q136" s="4" t="s">
        <v>100</v>
      </c>
      <c r="R136" s="9">
        <f t="shared" si="2"/>
        <v>1.5230899292268518E-3</v>
      </c>
    </row>
    <row r="137" spans="1:18" hidden="1" x14ac:dyDescent="0.2">
      <c r="A137" s="4">
        <v>496</v>
      </c>
      <c r="B137" s="2">
        <v>76404555</v>
      </c>
      <c r="C137" s="2">
        <v>0</v>
      </c>
      <c r="D137" s="4" t="s">
        <v>441</v>
      </c>
      <c r="E137" s="2">
        <v>76404555</v>
      </c>
      <c r="F137" s="2">
        <v>14516865.449999999</v>
      </c>
      <c r="G137" s="2">
        <v>1608102.48</v>
      </c>
      <c r="H137" s="4">
        <v>0</v>
      </c>
      <c r="I137" s="4">
        <v>0</v>
      </c>
      <c r="J137" s="4">
        <v>1608102.48</v>
      </c>
      <c r="K137" s="4">
        <v>89313317.969999999</v>
      </c>
      <c r="L137" s="4" t="s">
        <v>439</v>
      </c>
      <c r="M137" s="4" t="s">
        <v>440</v>
      </c>
      <c r="N137" s="4" t="s">
        <v>92</v>
      </c>
      <c r="O137" s="4" t="s">
        <v>93</v>
      </c>
      <c r="P137" s="4" t="s">
        <v>93</v>
      </c>
      <c r="Q137" s="4" t="s">
        <v>100</v>
      </c>
      <c r="R137" s="9">
        <f t="shared" si="2"/>
        <v>1.5219728995901054E-3</v>
      </c>
    </row>
    <row r="138" spans="1:18" hidden="1" x14ac:dyDescent="0.2">
      <c r="A138" s="4">
        <v>525</v>
      </c>
      <c r="B138" s="2">
        <v>76435198</v>
      </c>
      <c r="C138" s="2">
        <v>274369.65000000002</v>
      </c>
      <c r="D138" s="4" t="s">
        <v>325</v>
      </c>
      <c r="E138" s="2">
        <v>76160828.349999994</v>
      </c>
      <c r="F138" s="2">
        <v>14470557.380000001</v>
      </c>
      <c r="G138" s="2">
        <v>1744704.61</v>
      </c>
      <c r="H138" s="4">
        <v>0</v>
      </c>
      <c r="I138" s="4">
        <v>0</v>
      </c>
      <c r="J138" s="4">
        <v>1744704.61</v>
      </c>
      <c r="K138" s="4">
        <v>88886681.120000005</v>
      </c>
      <c r="L138" s="4" t="s">
        <v>323</v>
      </c>
      <c r="M138" s="4" t="s">
        <v>324</v>
      </c>
      <c r="N138" s="4" t="s">
        <v>46</v>
      </c>
      <c r="O138" s="4" t="s">
        <v>27</v>
      </c>
      <c r="P138" s="4" t="s">
        <v>27</v>
      </c>
      <c r="Q138" s="4" t="s">
        <v>28</v>
      </c>
      <c r="R138" s="9">
        <f t="shared" si="2"/>
        <v>1.5171178833386805E-3</v>
      </c>
    </row>
    <row r="139" spans="1:18" hidden="1" x14ac:dyDescent="0.2">
      <c r="A139" s="4">
        <v>1728</v>
      </c>
      <c r="B139" s="2">
        <v>76024387</v>
      </c>
      <c r="C139" s="2">
        <v>69480.84</v>
      </c>
      <c r="D139" s="4" t="s">
        <v>414</v>
      </c>
      <c r="E139" s="2">
        <v>75954906.159999996</v>
      </c>
      <c r="F139" s="2">
        <v>14431432.17</v>
      </c>
      <c r="G139" s="2">
        <v>1741156.29</v>
      </c>
      <c r="H139" s="4">
        <v>0</v>
      </c>
      <c r="I139" s="4">
        <v>0</v>
      </c>
      <c r="J139" s="4">
        <v>1741156.29</v>
      </c>
      <c r="K139" s="4">
        <v>88645182.040000007</v>
      </c>
      <c r="L139" s="4" t="s">
        <v>412</v>
      </c>
      <c r="M139" s="4" t="s">
        <v>413</v>
      </c>
      <c r="N139" s="4" t="s">
        <v>415</v>
      </c>
      <c r="O139" s="4" t="s">
        <v>382</v>
      </c>
      <c r="P139" s="4" t="s">
        <v>382</v>
      </c>
      <c r="Q139" s="4" t="s">
        <v>100</v>
      </c>
      <c r="R139" s="9">
        <f t="shared" si="2"/>
        <v>1.5130159290428374E-3</v>
      </c>
    </row>
    <row r="140" spans="1:18" hidden="1" x14ac:dyDescent="0.2">
      <c r="A140" s="4">
        <v>1022</v>
      </c>
      <c r="B140" s="2">
        <v>75947521</v>
      </c>
      <c r="C140" s="2">
        <v>0</v>
      </c>
      <c r="D140" s="4" t="s">
        <v>242</v>
      </c>
      <c r="E140" s="2">
        <v>75947521</v>
      </c>
      <c r="F140" s="2">
        <v>14430028.99</v>
      </c>
      <c r="G140" s="2">
        <v>1808764.84</v>
      </c>
      <c r="H140" s="4">
        <v>0</v>
      </c>
      <c r="I140" s="4">
        <v>0</v>
      </c>
      <c r="J140" s="4">
        <v>1808764.84</v>
      </c>
      <c r="K140" s="4">
        <v>88568785.150000006</v>
      </c>
      <c r="L140" s="4" t="s">
        <v>240</v>
      </c>
      <c r="M140" s="4" t="s">
        <v>241</v>
      </c>
      <c r="N140" s="4" t="s">
        <v>83</v>
      </c>
      <c r="O140" s="4" t="s">
        <v>84</v>
      </c>
      <c r="P140" s="4" t="s">
        <v>84</v>
      </c>
      <c r="Q140" s="4" t="s">
        <v>28</v>
      </c>
      <c r="R140" s="9">
        <f t="shared" si="2"/>
        <v>1.5128688172197382E-3</v>
      </c>
    </row>
    <row r="141" spans="1:18" hidden="1" x14ac:dyDescent="0.2">
      <c r="A141" s="4">
        <v>445</v>
      </c>
      <c r="B141" s="2">
        <v>75221719</v>
      </c>
      <c r="C141" s="2">
        <v>0</v>
      </c>
      <c r="D141" s="4" t="s">
        <v>355</v>
      </c>
      <c r="E141" s="2">
        <v>75221719</v>
      </c>
      <c r="F141" s="2">
        <v>14292126.609999999</v>
      </c>
      <c r="G141" s="2">
        <v>1548681.26</v>
      </c>
      <c r="H141" s="4">
        <v>0</v>
      </c>
      <c r="I141" s="4">
        <v>0</v>
      </c>
      <c r="J141" s="4">
        <v>1548681.26</v>
      </c>
      <c r="K141" s="4">
        <v>87965164.349999994</v>
      </c>
      <c r="L141" s="4" t="s">
        <v>353</v>
      </c>
      <c r="M141" s="4" t="s">
        <v>354</v>
      </c>
      <c r="N141" s="4" t="s">
        <v>221</v>
      </c>
      <c r="O141" s="4" t="s">
        <v>33</v>
      </c>
      <c r="P141" s="4" t="s">
        <v>33</v>
      </c>
      <c r="Q141" s="4" t="s">
        <v>100</v>
      </c>
      <c r="R141" s="9">
        <f t="shared" si="2"/>
        <v>1.4984108968186796E-3</v>
      </c>
    </row>
    <row r="142" spans="1:18" hidden="1" x14ac:dyDescent="0.2">
      <c r="A142" s="4">
        <v>1015</v>
      </c>
      <c r="B142" s="2">
        <v>75131205</v>
      </c>
      <c r="C142" s="2">
        <v>0</v>
      </c>
      <c r="D142" s="4" t="s">
        <v>552</v>
      </c>
      <c r="E142" s="2">
        <v>75131205</v>
      </c>
      <c r="F142" s="2">
        <v>14274928.949999999</v>
      </c>
      <c r="G142" s="2">
        <v>1855119.25</v>
      </c>
      <c r="H142" s="4">
        <v>0</v>
      </c>
      <c r="I142" s="4">
        <v>0</v>
      </c>
      <c r="J142" s="4">
        <v>1855119.25</v>
      </c>
      <c r="K142" s="4">
        <v>87551014.700000003</v>
      </c>
      <c r="L142" s="4" t="s">
        <v>550</v>
      </c>
      <c r="M142" s="4" t="s">
        <v>551</v>
      </c>
      <c r="N142" s="4" t="s">
        <v>272</v>
      </c>
      <c r="O142" s="4" t="s">
        <v>89</v>
      </c>
      <c r="P142" s="4" t="s">
        <v>89</v>
      </c>
      <c r="Q142" s="4" t="s">
        <v>100</v>
      </c>
      <c r="R142" s="9">
        <f t="shared" si="2"/>
        <v>1.4966078648524113E-3</v>
      </c>
    </row>
    <row r="143" spans="1:18" hidden="1" x14ac:dyDescent="0.2">
      <c r="A143" s="4">
        <v>1444</v>
      </c>
      <c r="B143" s="2">
        <v>74598051.480000004</v>
      </c>
      <c r="C143" s="2">
        <v>0</v>
      </c>
      <c r="D143" s="4" t="s">
        <v>515</v>
      </c>
      <c r="E143" s="2">
        <v>74598051.480000004</v>
      </c>
      <c r="F143" s="2">
        <v>14173629.789999999</v>
      </c>
      <c r="G143" s="2">
        <v>1411510.58</v>
      </c>
      <c r="H143" s="4">
        <v>0</v>
      </c>
      <c r="I143" s="4">
        <v>0</v>
      </c>
      <c r="J143" s="4">
        <v>1411510.58</v>
      </c>
      <c r="K143" s="4">
        <v>87360170.689999998</v>
      </c>
      <c r="L143" s="4" t="s">
        <v>513</v>
      </c>
      <c r="M143" s="4" t="s">
        <v>514</v>
      </c>
      <c r="N143" s="4" t="s">
        <v>20</v>
      </c>
      <c r="O143" s="4" t="s">
        <v>516</v>
      </c>
      <c r="P143" s="4" t="s">
        <v>516</v>
      </c>
      <c r="Q143" s="4" t="s">
        <v>144</v>
      </c>
      <c r="R143" s="9">
        <f t="shared" si="2"/>
        <v>1.485987487457882E-3</v>
      </c>
    </row>
    <row r="144" spans="1:18" hidden="1" x14ac:dyDescent="0.2">
      <c r="A144" s="4">
        <v>288</v>
      </c>
      <c r="B144" s="2">
        <v>74353676</v>
      </c>
      <c r="C144" s="2">
        <v>0</v>
      </c>
      <c r="D144" s="4" t="s">
        <v>594</v>
      </c>
      <c r="E144" s="2">
        <v>74353676</v>
      </c>
      <c r="F144" s="2">
        <v>14127198.439999999</v>
      </c>
      <c r="G144" s="2">
        <v>1755679.29</v>
      </c>
      <c r="H144" s="4">
        <v>2001474.43</v>
      </c>
      <c r="I144" s="4">
        <v>0</v>
      </c>
      <c r="J144" s="4">
        <v>3757153.72</v>
      </c>
      <c r="K144" s="4">
        <v>84723720.719999999</v>
      </c>
      <c r="L144" s="4" t="s">
        <v>593</v>
      </c>
      <c r="M144" s="4" t="s">
        <v>110</v>
      </c>
      <c r="N144" s="4" t="s">
        <v>20</v>
      </c>
      <c r="O144" s="4" t="s">
        <v>21</v>
      </c>
      <c r="P144" s="4" t="s">
        <v>21</v>
      </c>
      <c r="Q144" s="4" t="s">
        <v>22</v>
      </c>
      <c r="R144" s="9">
        <f t="shared" si="2"/>
        <v>1.4811195465624168E-3</v>
      </c>
    </row>
    <row r="145" spans="1:18" hidden="1" x14ac:dyDescent="0.2">
      <c r="A145" s="4">
        <v>1735</v>
      </c>
      <c r="B145" s="2">
        <v>73259795</v>
      </c>
      <c r="C145" s="2">
        <v>0</v>
      </c>
      <c r="D145" s="4" t="s">
        <v>530</v>
      </c>
      <c r="E145" s="2">
        <v>73259795</v>
      </c>
      <c r="F145" s="2">
        <v>13919361.050000001</v>
      </c>
      <c r="G145" s="2">
        <v>0</v>
      </c>
      <c r="H145" s="4">
        <v>0</v>
      </c>
      <c r="I145" s="4">
        <v>0</v>
      </c>
      <c r="J145" s="4">
        <v>0</v>
      </c>
      <c r="K145" s="4">
        <v>87179156.049999997</v>
      </c>
      <c r="L145" s="4" t="s">
        <v>528</v>
      </c>
      <c r="M145" s="4" t="s">
        <v>529</v>
      </c>
      <c r="N145" s="4" t="s">
        <v>20</v>
      </c>
      <c r="O145" s="4" t="s">
        <v>257</v>
      </c>
      <c r="P145" s="4" t="s">
        <v>257</v>
      </c>
      <c r="Q145" s="4" t="s">
        <v>100</v>
      </c>
      <c r="R145" s="9">
        <f t="shared" si="2"/>
        <v>1.4593295205963402E-3</v>
      </c>
    </row>
    <row r="146" spans="1:18" hidden="1" x14ac:dyDescent="0.2">
      <c r="A146" s="4">
        <v>178</v>
      </c>
      <c r="B146" s="2">
        <v>73074921</v>
      </c>
      <c r="C146" s="2">
        <v>0</v>
      </c>
      <c r="D146" s="4" t="s">
        <v>460</v>
      </c>
      <c r="E146" s="2">
        <v>73074921</v>
      </c>
      <c r="F146" s="2">
        <v>13884234.99</v>
      </c>
      <c r="G146" s="2">
        <v>0</v>
      </c>
      <c r="H146" s="4">
        <v>0</v>
      </c>
      <c r="I146" s="4">
        <v>0</v>
      </c>
      <c r="J146" s="4">
        <v>0</v>
      </c>
      <c r="K146" s="4">
        <v>86959155.989999995</v>
      </c>
      <c r="L146" s="4" t="s">
        <v>458</v>
      </c>
      <c r="M146" s="4" t="s">
        <v>459</v>
      </c>
      <c r="N146" s="4" t="s">
        <v>117</v>
      </c>
      <c r="O146" s="4" t="s">
        <v>93</v>
      </c>
      <c r="P146" s="4" t="s">
        <v>93</v>
      </c>
      <c r="Q146" s="4" t="s">
        <v>28</v>
      </c>
      <c r="R146" s="9">
        <f t="shared" si="2"/>
        <v>1.4556468446375729E-3</v>
      </c>
    </row>
    <row r="147" spans="1:18" hidden="1" x14ac:dyDescent="0.2">
      <c r="A147" s="4">
        <v>166</v>
      </c>
      <c r="B147" s="2">
        <v>72806850</v>
      </c>
      <c r="C147" s="2">
        <v>0</v>
      </c>
      <c r="D147" s="4" t="s">
        <v>2432</v>
      </c>
      <c r="E147" s="2">
        <v>72806850</v>
      </c>
      <c r="F147" s="2">
        <v>13833301.5</v>
      </c>
      <c r="G147" s="2">
        <v>1649389.75</v>
      </c>
      <c r="H147" s="4">
        <v>0</v>
      </c>
      <c r="I147" s="4">
        <v>0</v>
      </c>
      <c r="J147" s="4">
        <v>1649389.75</v>
      </c>
      <c r="K147" s="4">
        <v>84990761.75</v>
      </c>
      <c r="L147" s="4" t="s">
        <v>2430</v>
      </c>
      <c r="M147" s="4" t="s">
        <v>2431</v>
      </c>
      <c r="N147" s="4" t="s">
        <v>20</v>
      </c>
      <c r="O147" s="4" t="s">
        <v>76</v>
      </c>
      <c r="P147" s="4" t="s">
        <v>76</v>
      </c>
      <c r="Q147" s="4" t="s">
        <v>408</v>
      </c>
      <c r="R147" s="9">
        <f t="shared" si="2"/>
        <v>1.4503068907936428E-3</v>
      </c>
    </row>
    <row r="148" spans="1:18" hidden="1" x14ac:dyDescent="0.2">
      <c r="A148" s="4">
        <v>1575</v>
      </c>
      <c r="B148" s="2">
        <v>71888706</v>
      </c>
      <c r="C148" s="2">
        <v>84650.76</v>
      </c>
      <c r="D148" s="4" t="s">
        <v>602</v>
      </c>
      <c r="E148" s="2">
        <v>71804055.239999995</v>
      </c>
      <c r="F148" s="2">
        <v>13642770.49</v>
      </c>
      <c r="G148" s="2">
        <v>728905.56</v>
      </c>
      <c r="H148" s="4">
        <v>0</v>
      </c>
      <c r="I148" s="4">
        <v>0</v>
      </c>
      <c r="J148" s="4">
        <v>728905.56</v>
      </c>
      <c r="K148" s="4">
        <v>84717920.170000002</v>
      </c>
      <c r="L148" s="4" t="s">
        <v>600</v>
      </c>
      <c r="M148" s="4" t="s">
        <v>601</v>
      </c>
      <c r="N148" s="4" t="s">
        <v>20</v>
      </c>
      <c r="O148" s="4" t="s">
        <v>603</v>
      </c>
      <c r="P148" s="4" t="s">
        <v>603</v>
      </c>
      <c r="Q148" s="4" t="s">
        <v>28</v>
      </c>
      <c r="R148" s="9">
        <f t="shared" si="2"/>
        <v>1.4303312957709249E-3</v>
      </c>
    </row>
    <row r="149" spans="1:18" hidden="1" x14ac:dyDescent="0.2">
      <c r="A149" s="4">
        <v>1755</v>
      </c>
      <c r="B149" s="2">
        <v>70627156</v>
      </c>
      <c r="C149" s="2">
        <v>20452.080000000002</v>
      </c>
      <c r="D149" s="4" t="s">
        <v>481</v>
      </c>
      <c r="E149" s="2">
        <v>70606703.920000002</v>
      </c>
      <c r="F149" s="2">
        <v>13415273.74</v>
      </c>
      <c r="G149" s="2">
        <v>0</v>
      </c>
      <c r="H149" s="4">
        <v>0</v>
      </c>
      <c r="I149" s="4">
        <v>0</v>
      </c>
      <c r="J149" s="4">
        <v>0</v>
      </c>
      <c r="K149" s="4">
        <v>84021977.659999996</v>
      </c>
      <c r="L149" s="4" t="s">
        <v>479</v>
      </c>
      <c r="M149" s="4" t="s">
        <v>480</v>
      </c>
      <c r="N149" s="4" t="s">
        <v>482</v>
      </c>
      <c r="O149" s="4" t="s">
        <v>89</v>
      </c>
      <c r="P149" s="4" t="s">
        <v>89</v>
      </c>
      <c r="Q149" s="4" t="s">
        <v>100</v>
      </c>
      <c r="R149" s="9">
        <f t="shared" si="2"/>
        <v>1.4064801489338231E-3</v>
      </c>
    </row>
    <row r="150" spans="1:18" hidden="1" x14ac:dyDescent="0.2">
      <c r="A150" s="4">
        <v>43</v>
      </c>
      <c r="B150" s="2">
        <v>70646784</v>
      </c>
      <c r="C150" s="2">
        <v>205863.84</v>
      </c>
      <c r="D150" s="4" t="s">
        <v>478</v>
      </c>
      <c r="E150" s="2">
        <v>70440920.159999996</v>
      </c>
      <c r="F150" s="2">
        <v>13383774.83</v>
      </c>
      <c r="G150" s="2">
        <v>1415942.02</v>
      </c>
      <c r="H150" s="4">
        <v>1614173.87</v>
      </c>
      <c r="I150" s="4">
        <v>0</v>
      </c>
      <c r="J150" s="4">
        <v>3030115.89</v>
      </c>
      <c r="K150" s="4">
        <v>80794579.099999994</v>
      </c>
      <c r="L150" s="4" t="s">
        <v>477</v>
      </c>
      <c r="M150" s="4" t="s">
        <v>146</v>
      </c>
      <c r="N150" s="4" t="s">
        <v>472</v>
      </c>
      <c r="O150" s="4" t="s">
        <v>67</v>
      </c>
      <c r="P150" s="4" t="s">
        <v>67</v>
      </c>
      <c r="Q150" s="4" t="s">
        <v>28</v>
      </c>
      <c r="R150" s="9">
        <f t="shared" si="2"/>
        <v>1.4031777490976854E-3</v>
      </c>
    </row>
    <row r="151" spans="1:18" hidden="1" x14ac:dyDescent="0.2">
      <c r="A151" s="4">
        <v>1565</v>
      </c>
      <c r="B151" s="2">
        <v>70240790</v>
      </c>
      <c r="C151" s="2">
        <v>77288.160000000003</v>
      </c>
      <c r="D151" s="4" t="s">
        <v>756</v>
      </c>
      <c r="E151" s="2">
        <v>70163501.840000004</v>
      </c>
      <c r="F151" s="2">
        <v>13331065.35</v>
      </c>
      <c r="G151" s="2">
        <v>442258.49</v>
      </c>
      <c r="H151" s="4">
        <v>0</v>
      </c>
      <c r="I151" s="4">
        <v>0</v>
      </c>
      <c r="J151" s="4">
        <v>442258.49</v>
      </c>
      <c r="K151" s="4">
        <v>83052308.700000003</v>
      </c>
      <c r="L151" s="4" t="s">
        <v>754</v>
      </c>
      <c r="M151" s="4" t="s">
        <v>755</v>
      </c>
      <c r="N151" s="4" t="s">
        <v>20</v>
      </c>
      <c r="O151" s="4" t="s">
        <v>71</v>
      </c>
      <c r="P151" s="4" t="s">
        <v>71</v>
      </c>
      <c r="Q151" s="4" t="s">
        <v>100</v>
      </c>
      <c r="R151" s="9">
        <f t="shared" si="2"/>
        <v>1.3976515973533319E-3</v>
      </c>
    </row>
    <row r="152" spans="1:18" hidden="1" x14ac:dyDescent="0.2">
      <c r="A152" s="4">
        <v>1580</v>
      </c>
      <c r="B152" s="2">
        <v>69834790</v>
      </c>
      <c r="C152" s="2">
        <v>54498.6</v>
      </c>
      <c r="D152" s="4" t="s">
        <v>339</v>
      </c>
      <c r="E152" s="2">
        <v>69780291.400000006</v>
      </c>
      <c r="F152" s="2">
        <v>13258255.369999999</v>
      </c>
      <c r="G152" s="2">
        <v>1221986.8899999999</v>
      </c>
      <c r="H152" s="4">
        <v>0</v>
      </c>
      <c r="I152" s="4">
        <v>0</v>
      </c>
      <c r="J152" s="4">
        <v>1221986.8899999999</v>
      </c>
      <c r="K152" s="4">
        <v>81816559.879999995</v>
      </c>
      <c r="L152" s="4" t="s">
        <v>337</v>
      </c>
      <c r="M152" s="4" t="s">
        <v>338</v>
      </c>
      <c r="N152" s="4" t="s">
        <v>142</v>
      </c>
      <c r="O152" s="4" t="s">
        <v>340</v>
      </c>
      <c r="P152" s="4" t="s">
        <v>340</v>
      </c>
      <c r="Q152" s="4" t="s">
        <v>28</v>
      </c>
      <c r="R152" s="9">
        <f t="shared" si="2"/>
        <v>1.390018074659299E-3</v>
      </c>
    </row>
    <row r="153" spans="1:18" hidden="1" x14ac:dyDescent="0.2">
      <c r="A153" s="4">
        <v>911</v>
      </c>
      <c r="B153" s="2">
        <v>69112254</v>
      </c>
      <c r="C153" s="2">
        <v>54498.6</v>
      </c>
      <c r="D153" s="4" t="s">
        <v>639</v>
      </c>
      <c r="E153" s="2">
        <v>69057755.400000006</v>
      </c>
      <c r="F153" s="2">
        <v>13120973.529999999</v>
      </c>
      <c r="G153" s="2">
        <v>0</v>
      </c>
      <c r="H153" s="4">
        <v>0</v>
      </c>
      <c r="I153" s="4">
        <v>0</v>
      </c>
      <c r="J153" s="4">
        <v>0</v>
      </c>
      <c r="K153" s="4">
        <v>82178728.930000007</v>
      </c>
      <c r="L153" s="4" t="s">
        <v>637</v>
      </c>
      <c r="M153" s="4" t="s">
        <v>638</v>
      </c>
      <c r="N153" s="4" t="s">
        <v>20</v>
      </c>
      <c r="O153" s="4" t="s">
        <v>257</v>
      </c>
      <c r="P153" s="4" t="s">
        <v>257</v>
      </c>
      <c r="Q153" s="4" t="s">
        <v>100</v>
      </c>
      <c r="R153" s="9">
        <f t="shared" si="2"/>
        <v>1.3756252127287735E-3</v>
      </c>
    </row>
    <row r="154" spans="1:18" hidden="1" x14ac:dyDescent="0.2">
      <c r="A154" s="4">
        <v>883</v>
      </c>
      <c r="B154" s="2">
        <v>68443958</v>
      </c>
      <c r="C154" s="2">
        <v>0</v>
      </c>
      <c r="D154" s="4" t="s">
        <v>536</v>
      </c>
      <c r="E154" s="2">
        <v>68443958</v>
      </c>
      <c r="F154" s="2">
        <v>13004352.02</v>
      </c>
      <c r="G154" s="2">
        <v>0</v>
      </c>
      <c r="H154" s="4">
        <v>0</v>
      </c>
      <c r="I154" s="4">
        <v>0</v>
      </c>
      <c r="J154" s="4">
        <v>0</v>
      </c>
      <c r="K154" s="4">
        <v>81448310.019999996</v>
      </c>
      <c r="L154" s="4" t="s">
        <v>534</v>
      </c>
      <c r="M154" s="4" t="s">
        <v>535</v>
      </c>
      <c r="N154" s="4" t="s">
        <v>32</v>
      </c>
      <c r="O154" s="4" t="s">
        <v>33</v>
      </c>
      <c r="P154" s="4" t="s">
        <v>33</v>
      </c>
      <c r="Q154" s="4" t="s">
        <v>100</v>
      </c>
      <c r="R154" s="9">
        <f t="shared" si="2"/>
        <v>1.3633984154044663E-3</v>
      </c>
    </row>
    <row r="155" spans="1:18" hidden="1" x14ac:dyDescent="0.2">
      <c r="A155" s="4">
        <v>361</v>
      </c>
      <c r="B155" s="2">
        <v>69052935</v>
      </c>
      <c r="C155" s="2">
        <v>1118865.3600000001</v>
      </c>
      <c r="D155" s="4" t="s">
        <v>609</v>
      </c>
      <c r="E155" s="2">
        <v>67934069.640000001</v>
      </c>
      <c r="F155" s="2">
        <v>12907473.23</v>
      </c>
      <c r="G155" s="2">
        <v>1290763.79</v>
      </c>
      <c r="H155" s="4">
        <v>0</v>
      </c>
      <c r="I155" s="4">
        <v>0</v>
      </c>
      <c r="J155" s="4">
        <v>1290763.79</v>
      </c>
      <c r="K155" s="4">
        <v>79550779.079999998</v>
      </c>
      <c r="L155" s="4" t="s">
        <v>607</v>
      </c>
      <c r="M155" s="4" t="s">
        <v>608</v>
      </c>
      <c r="N155" s="4" t="s">
        <v>186</v>
      </c>
      <c r="O155" s="4" t="s">
        <v>59</v>
      </c>
      <c r="P155" s="4" t="s">
        <v>59</v>
      </c>
      <c r="Q155" s="4" t="s">
        <v>28</v>
      </c>
      <c r="R155" s="9">
        <f t="shared" si="2"/>
        <v>1.353241478220074E-3</v>
      </c>
    </row>
    <row r="156" spans="1:18" hidden="1" x14ac:dyDescent="0.2">
      <c r="A156" s="4">
        <v>760</v>
      </c>
      <c r="B156" s="2">
        <v>67782422</v>
      </c>
      <c r="C156" s="2">
        <v>118642.92</v>
      </c>
      <c r="D156" s="4" t="s">
        <v>660</v>
      </c>
      <c r="E156" s="2">
        <v>67663779.079999998</v>
      </c>
      <c r="F156" s="2">
        <v>12856118.029999999</v>
      </c>
      <c r="G156" s="2">
        <v>1661839.88</v>
      </c>
      <c r="H156" s="4">
        <v>0</v>
      </c>
      <c r="I156" s="4">
        <v>0</v>
      </c>
      <c r="J156" s="4">
        <v>1661839.88</v>
      </c>
      <c r="K156" s="4">
        <v>78858057.230000004</v>
      </c>
      <c r="L156" s="4" t="s">
        <v>658</v>
      </c>
      <c r="M156" s="4" t="s">
        <v>659</v>
      </c>
      <c r="N156" s="4" t="s">
        <v>32</v>
      </c>
      <c r="O156" s="4" t="s">
        <v>33</v>
      </c>
      <c r="P156" s="4" t="s">
        <v>33</v>
      </c>
      <c r="Q156" s="4" t="s">
        <v>100</v>
      </c>
      <c r="R156" s="9">
        <f t="shared" si="2"/>
        <v>1.3478573109104806E-3</v>
      </c>
    </row>
    <row r="157" spans="1:18" hidden="1" x14ac:dyDescent="0.2">
      <c r="A157" s="4">
        <v>424</v>
      </c>
      <c r="B157" s="2">
        <v>67685700</v>
      </c>
      <c r="C157" s="2">
        <v>166386.07999999999</v>
      </c>
      <c r="D157" s="4" t="s">
        <v>263</v>
      </c>
      <c r="E157" s="2">
        <v>67519313.920000002</v>
      </c>
      <c r="F157" s="2">
        <v>12828669.640000001</v>
      </c>
      <c r="G157" s="2">
        <v>1672528.06</v>
      </c>
      <c r="H157" s="4">
        <v>1924300.44</v>
      </c>
      <c r="I157" s="4">
        <v>0</v>
      </c>
      <c r="J157" s="4">
        <v>3596828.5</v>
      </c>
      <c r="K157" s="4">
        <v>76751155.060000002</v>
      </c>
      <c r="L157" s="4" t="s">
        <v>262</v>
      </c>
      <c r="M157" s="4" t="s">
        <v>137</v>
      </c>
      <c r="N157" s="4" t="s">
        <v>58</v>
      </c>
      <c r="O157" s="4" t="s">
        <v>59</v>
      </c>
      <c r="P157" s="4" t="s">
        <v>59</v>
      </c>
      <c r="Q157" s="4" t="s">
        <v>22</v>
      </c>
      <c r="R157" s="9">
        <f t="shared" si="2"/>
        <v>1.3449795759579645E-3</v>
      </c>
    </row>
    <row r="158" spans="1:18" hidden="1" x14ac:dyDescent="0.2">
      <c r="A158" s="4">
        <v>1430</v>
      </c>
      <c r="B158" s="2">
        <v>67081678</v>
      </c>
      <c r="C158" s="2">
        <v>0</v>
      </c>
      <c r="D158" s="4" t="s">
        <v>467</v>
      </c>
      <c r="E158" s="2">
        <v>67081678</v>
      </c>
      <c r="F158" s="2">
        <v>12745518.82</v>
      </c>
      <c r="G158" s="2">
        <v>0</v>
      </c>
      <c r="H158" s="4">
        <v>0</v>
      </c>
      <c r="I158" s="4">
        <v>0</v>
      </c>
      <c r="J158" s="4">
        <v>0</v>
      </c>
      <c r="K158" s="4">
        <v>79827196.819999993</v>
      </c>
      <c r="L158" s="4" t="s">
        <v>465</v>
      </c>
      <c r="M158" s="4" t="s">
        <v>466</v>
      </c>
      <c r="N158" s="4" t="s">
        <v>468</v>
      </c>
      <c r="O158" s="4" t="s">
        <v>89</v>
      </c>
      <c r="P158" s="4" t="s">
        <v>89</v>
      </c>
      <c r="Q158" s="4" t="s">
        <v>100</v>
      </c>
      <c r="R158" s="9">
        <f t="shared" si="2"/>
        <v>1.3362619018595133E-3</v>
      </c>
    </row>
    <row r="159" spans="1:18" hidden="1" x14ac:dyDescent="0.2">
      <c r="A159" s="4">
        <v>1844</v>
      </c>
      <c r="B159" s="2">
        <v>67065781</v>
      </c>
      <c r="C159" s="2">
        <v>46580.160000000003</v>
      </c>
      <c r="D159" s="4" t="s">
        <v>436</v>
      </c>
      <c r="E159" s="2">
        <v>67019200.840000004</v>
      </c>
      <c r="F159" s="2">
        <v>12733648.16</v>
      </c>
      <c r="G159" s="2">
        <v>999745.56</v>
      </c>
      <c r="H159" s="4">
        <v>0</v>
      </c>
      <c r="I159" s="4">
        <v>0</v>
      </c>
      <c r="J159" s="4">
        <v>999745.56</v>
      </c>
      <c r="K159" s="4">
        <v>78753103.439999998</v>
      </c>
      <c r="L159" s="4" t="s">
        <v>435</v>
      </c>
      <c r="M159" s="4" t="s">
        <v>61</v>
      </c>
      <c r="N159" s="4" t="s">
        <v>92</v>
      </c>
      <c r="O159" s="4" t="s">
        <v>93</v>
      </c>
      <c r="P159" s="4" t="s">
        <v>93</v>
      </c>
      <c r="Q159" s="4" t="s">
        <v>28</v>
      </c>
      <c r="R159" s="9">
        <f t="shared" si="2"/>
        <v>1.3350173616045069E-3</v>
      </c>
    </row>
    <row r="160" spans="1:18" hidden="1" x14ac:dyDescent="0.2">
      <c r="A160" s="4">
        <v>434</v>
      </c>
      <c r="B160" s="2">
        <v>66825614</v>
      </c>
      <c r="C160" s="2">
        <v>0</v>
      </c>
      <c r="D160" s="4" t="s">
        <v>533</v>
      </c>
      <c r="E160" s="2">
        <v>66825614</v>
      </c>
      <c r="F160" s="2">
        <v>0</v>
      </c>
      <c r="G160" s="2">
        <v>1649428.81</v>
      </c>
      <c r="H160" s="4">
        <v>0</v>
      </c>
      <c r="I160" s="4">
        <v>0</v>
      </c>
      <c r="J160" s="4">
        <v>1649428.81</v>
      </c>
      <c r="K160" s="4">
        <v>65176185.189999998</v>
      </c>
      <c r="L160" s="4" t="s">
        <v>531</v>
      </c>
      <c r="M160" s="4" t="s">
        <v>532</v>
      </c>
      <c r="N160" s="4" t="s">
        <v>228</v>
      </c>
      <c r="O160" s="4" t="s">
        <v>229</v>
      </c>
      <c r="P160" s="4" t="s">
        <v>229</v>
      </c>
      <c r="Q160" s="4" t="s">
        <v>100</v>
      </c>
      <c r="R160" s="9">
        <f t="shared" si="2"/>
        <v>1.3311611265384524E-3</v>
      </c>
    </row>
    <row r="161" spans="1:18" hidden="1" x14ac:dyDescent="0.2">
      <c r="A161" s="4">
        <v>27</v>
      </c>
      <c r="B161" s="2">
        <v>66293091</v>
      </c>
      <c r="C161" s="2">
        <v>58053.72</v>
      </c>
      <c r="D161" s="4" t="s">
        <v>527</v>
      </c>
      <c r="E161" s="2">
        <v>66235037.280000001</v>
      </c>
      <c r="F161" s="2">
        <v>12584657.08</v>
      </c>
      <c r="G161" s="2">
        <v>1586253.16</v>
      </c>
      <c r="H161" s="4">
        <v>1808328.56</v>
      </c>
      <c r="I161" s="4">
        <v>0</v>
      </c>
      <c r="J161" s="4">
        <v>3394581.72</v>
      </c>
      <c r="K161" s="4">
        <v>75425112.640000001</v>
      </c>
      <c r="L161" s="4" t="s">
        <v>526</v>
      </c>
      <c r="M161" s="4" t="s">
        <v>146</v>
      </c>
      <c r="N161" s="4" t="s">
        <v>293</v>
      </c>
      <c r="O161" s="4" t="s">
        <v>229</v>
      </c>
      <c r="P161" s="4" t="s">
        <v>229</v>
      </c>
      <c r="Q161" s="4" t="s">
        <v>28</v>
      </c>
      <c r="R161" s="9">
        <f t="shared" si="2"/>
        <v>1.31939688338608E-3</v>
      </c>
    </row>
    <row r="162" spans="1:18" hidden="1" x14ac:dyDescent="0.2">
      <c r="A162" s="4">
        <v>997</v>
      </c>
      <c r="B162" s="2">
        <v>65886017</v>
      </c>
      <c r="C162" s="2">
        <v>0</v>
      </c>
      <c r="D162" s="4" t="s">
        <v>492</v>
      </c>
      <c r="E162" s="2">
        <v>65886017</v>
      </c>
      <c r="F162" s="2">
        <v>12518343.23</v>
      </c>
      <c r="G162" s="2">
        <v>1507125.41</v>
      </c>
      <c r="H162" s="4">
        <v>1718122.92</v>
      </c>
      <c r="I162" s="4">
        <v>0</v>
      </c>
      <c r="J162" s="4">
        <v>3225248.33</v>
      </c>
      <c r="K162" s="4">
        <v>75179111.900000006</v>
      </c>
      <c r="L162" s="4" t="s">
        <v>491</v>
      </c>
      <c r="M162" s="4" t="s">
        <v>95</v>
      </c>
      <c r="N162" s="4" t="s">
        <v>195</v>
      </c>
      <c r="O162" s="4" t="s">
        <v>196</v>
      </c>
      <c r="P162" s="4" t="s">
        <v>196</v>
      </c>
      <c r="Q162" s="4" t="s">
        <v>28</v>
      </c>
      <c r="R162" s="9">
        <f t="shared" si="2"/>
        <v>1.3124444260676994E-3</v>
      </c>
    </row>
    <row r="163" spans="1:18" hidden="1" x14ac:dyDescent="0.2">
      <c r="A163" s="4">
        <v>1925</v>
      </c>
      <c r="B163" s="2">
        <v>65030077</v>
      </c>
      <c r="C163" s="2">
        <v>0</v>
      </c>
      <c r="D163" s="4" t="s">
        <v>1191</v>
      </c>
      <c r="E163" s="2">
        <v>65030077</v>
      </c>
      <c r="F163" s="2">
        <v>12355714.630000001</v>
      </c>
      <c r="G163" s="2">
        <v>1054545.8899999999</v>
      </c>
      <c r="H163" s="4">
        <v>0</v>
      </c>
      <c r="I163" s="4">
        <v>0</v>
      </c>
      <c r="J163" s="4">
        <v>1054545.8899999999</v>
      </c>
      <c r="K163" s="4">
        <v>76331245.739999995</v>
      </c>
      <c r="L163" s="4" t="s">
        <v>1189</v>
      </c>
      <c r="M163" s="4" t="s">
        <v>1190</v>
      </c>
      <c r="N163" s="4" t="s">
        <v>20</v>
      </c>
      <c r="O163" s="4" t="s">
        <v>316</v>
      </c>
      <c r="P163" s="4" t="s">
        <v>316</v>
      </c>
      <c r="Q163" s="4" t="s">
        <v>100</v>
      </c>
      <c r="R163" s="9">
        <f t="shared" si="2"/>
        <v>1.2953941666469732E-3</v>
      </c>
    </row>
    <row r="164" spans="1:18" hidden="1" x14ac:dyDescent="0.2">
      <c r="A164" s="4">
        <v>1535</v>
      </c>
      <c r="B164" s="2">
        <v>64605042</v>
      </c>
      <c r="C164" s="2">
        <v>43982.07</v>
      </c>
      <c r="D164" s="4" t="s">
        <v>790</v>
      </c>
      <c r="E164" s="2">
        <v>64561059.93</v>
      </c>
      <c r="F164" s="2">
        <v>12266601.390000001</v>
      </c>
      <c r="G164" s="2">
        <v>0</v>
      </c>
      <c r="H164" s="4">
        <v>0</v>
      </c>
      <c r="I164" s="4">
        <v>0</v>
      </c>
      <c r="J164" s="4">
        <v>0</v>
      </c>
      <c r="K164" s="4">
        <v>76827661.319999993</v>
      </c>
      <c r="L164" s="4" t="s">
        <v>788</v>
      </c>
      <c r="M164" s="4" t="s">
        <v>789</v>
      </c>
      <c r="N164" s="4" t="s">
        <v>791</v>
      </c>
      <c r="O164" s="4" t="s">
        <v>59</v>
      </c>
      <c r="P164" s="4" t="s">
        <v>59</v>
      </c>
      <c r="Q164" s="4" t="s">
        <v>100</v>
      </c>
      <c r="R164" s="9">
        <f t="shared" si="2"/>
        <v>1.2860513824375088E-3</v>
      </c>
    </row>
    <row r="165" spans="1:18" hidden="1" x14ac:dyDescent="0.2">
      <c r="A165" s="4">
        <v>848</v>
      </c>
      <c r="B165" s="2">
        <v>63511949</v>
      </c>
      <c r="C165" s="2">
        <v>0</v>
      </c>
      <c r="D165" s="4" t="s">
        <v>614</v>
      </c>
      <c r="E165" s="2">
        <v>63511949</v>
      </c>
      <c r="F165" s="2">
        <v>12067270.310000001</v>
      </c>
      <c r="G165" s="2">
        <v>0</v>
      </c>
      <c r="H165" s="4">
        <v>0</v>
      </c>
      <c r="I165" s="4">
        <v>0</v>
      </c>
      <c r="J165" s="4">
        <v>0</v>
      </c>
      <c r="K165" s="4">
        <v>75579219.310000002</v>
      </c>
      <c r="L165" s="4" t="s">
        <v>612</v>
      </c>
      <c r="M165" s="4" t="s">
        <v>613</v>
      </c>
      <c r="N165" s="4" t="s">
        <v>20</v>
      </c>
      <c r="O165" s="4" t="s">
        <v>257</v>
      </c>
      <c r="P165" s="4" t="s">
        <v>257</v>
      </c>
      <c r="Q165" s="4" t="s">
        <v>100</v>
      </c>
      <c r="R165" s="9">
        <f t="shared" si="2"/>
        <v>1.2651531728461595E-3</v>
      </c>
    </row>
    <row r="166" spans="1:18" hidden="1" x14ac:dyDescent="0.2">
      <c r="A166" s="4">
        <v>664</v>
      </c>
      <c r="B166" s="2">
        <v>63532158</v>
      </c>
      <c r="C166" s="2">
        <v>600984.06000000006</v>
      </c>
      <c r="D166" s="4" t="s">
        <v>611</v>
      </c>
      <c r="E166" s="2">
        <v>62931173.939999998</v>
      </c>
      <c r="F166" s="2">
        <v>11956923.050000001</v>
      </c>
      <c r="G166" s="2">
        <v>1490957.35</v>
      </c>
      <c r="H166" s="4">
        <v>0</v>
      </c>
      <c r="I166" s="4">
        <v>0</v>
      </c>
      <c r="J166" s="4">
        <v>1490957.35</v>
      </c>
      <c r="K166" s="4">
        <v>73397139.640000001</v>
      </c>
      <c r="L166" s="4" t="s">
        <v>610</v>
      </c>
      <c r="M166" s="4" t="s">
        <v>300</v>
      </c>
      <c r="N166" s="4" t="s">
        <v>46</v>
      </c>
      <c r="O166" s="4" t="s">
        <v>27</v>
      </c>
      <c r="P166" s="4" t="s">
        <v>27</v>
      </c>
      <c r="Q166" s="4" t="s">
        <v>28</v>
      </c>
      <c r="R166" s="9">
        <f t="shared" si="2"/>
        <v>1.2535841780123068E-3</v>
      </c>
    </row>
    <row r="167" spans="1:18" hidden="1" x14ac:dyDescent="0.2">
      <c r="A167" s="4">
        <v>1833</v>
      </c>
      <c r="B167" s="2">
        <v>62593504</v>
      </c>
      <c r="C167" s="2">
        <v>0</v>
      </c>
      <c r="D167" s="4" t="s">
        <v>713</v>
      </c>
      <c r="E167" s="2">
        <v>62593504</v>
      </c>
      <c r="F167" s="2">
        <v>11892765.76</v>
      </c>
      <c r="G167" s="2">
        <v>1436426.36</v>
      </c>
      <c r="H167" s="4">
        <v>0</v>
      </c>
      <c r="I167" s="4">
        <v>0</v>
      </c>
      <c r="J167" s="4">
        <v>1436426.36</v>
      </c>
      <c r="K167" s="4">
        <v>73049843.400000006</v>
      </c>
      <c r="L167" s="4" t="s">
        <v>712</v>
      </c>
      <c r="M167" s="4" t="s">
        <v>270</v>
      </c>
      <c r="N167" s="4" t="s">
        <v>714</v>
      </c>
      <c r="O167" s="4" t="s">
        <v>382</v>
      </c>
      <c r="P167" s="4" t="s">
        <v>382</v>
      </c>
      <c r="Q167" s="4" t="s">
        <v>28</v>
      </c>
      <c r="R167" s="9">
        <f t="shared" si="2"/>
        <v>1.2468578185997532E-3</v>
      </c>
    </row>
    <row r="168" spans="1:18" hidden="1" x14ac:dyDescent="0.2">
      <c r="A168" s="4">
        <v>517</v>
      </c>
      <c r="B168" s="2">
        <v>62670791</v>
      </c>
      <c r="C168" s="2">
        <v>117743.4</v>
      </c>
      <c r="D168" s="4" t="s">
        <v>463</v>
      </c>
      <c r="E168" s="2">
        <v>62553047.600000001</v>
      </c>
      <c r="F168" s="2">
        <v>11885079.050000001</v>
      </c>
      <c r="G168" s="2">
        <v>1183510.77</v>
      </c>
      <c r="H168" s="4">
        <v>0</v>
      </c>
      <c r="I168" s="4">
        <v>0</v>
      </c>
      <c r="J168" s="4">
        <v>1183510.77</v>
      </c>
      <c r="K168" s="4">
        <v>73254615.879999995</v>
      </c>
      <c r="L168" s="4" t="s">
        <v>461</v>
      </c>
      <c r="M168" s="4" t="s">
        <v>462</v>
      </c>
      <c r="N168" s="4" t="s">
        <v>464</v>
      </c>
      <c r="O168" s="4" t="s">
        <v>105</v>
      </c>
      <c r="P168" s="4" t="s">
        <v>105</v>
      </c>
      <c r="Q168" s="4" t="s">
        <v>28</v>
      </c>
      <c r="R168" s="9">
        <f t="shared" si="2"/>
        <v>1.2460519302019348E-3</v>
      </c>
    </row>
    <row r="169" spans="1:18" hidden="1" x14ac:dyDescent="0.2">
      <c r="A169" s="4">
        <v>37</v>
      </c>
      <c r="B169" s="2">
        <v>62535878</v>
      </c>
      <c r="C169" s="2">
        <v>0</v>
      </c>
      <c r="D169" s="4" t="s">
        <v>1555</v>
      </c>
      <c r="E169" s="2">
        <v>62535878</v>
      </c>
      <c r="F169" s="2">
        <v>11881816.82</v>
      </c>
      <c r="G169" s="2">
        <v>1563396.95</v>
      </c>
      <c r="H169" s="4">
        <v>1782272.52</v>
      </c>
      <c r="I169" s="4">
        <v>0</v>
      </c>
      <c r="J169" s="4">
        <v>3345669.47</v>
      </c>
      <c r="K169" s="4">
        <v>71072025.349999994</v>
      </c>
      <c r="L169" s="4" t="s">
        <v>1554</v>
      </c>
      <c r="M169" s="4" t="s">
        <v>146</v>
      </c>
      <c r="N169" s="4" t="s">
        <v>306</v>
      </c>
      <c r="O169" s="4" t="s">
        <v>42</v>
      </c>
      <c r="P169" s="4" t="s">
        <v>42</v>
      </c>
      <c r="Q169" s="4" t="s">
        <v>28</v>
      </c>
      <c r="R169" s="9">
        <f t="shared" si="2"/>
        <v>1.2457099130814004E-3</v>
      </c>
    </row>
    <row r="170" spans="1:18" hidden="1" x14ac:dyDescent="0.2">
      <c r="A170" s="4">
        <v>347</v>
      </c>
      <c r="B170" s="2">
        <v>62348157</v>
      </c>
      <c r="C170" s="2">
        <v>60102</v>
      </c>
      <c r="D170" s="4" t="s">
        <v>774</v>
      </c>
      <c r="E170" s="2">
        <v>62288055</v>
      </c>
      <c r="F170" s="2">
        <v>11834730.449999999</v>
      </c>
      <c r="G170" s="2">
        <v>1141647.42</v>
      </c>
      <c r="H170" s="4">
        <v>0</v>
      </c>
      <c r="I170" s="4">
        <v>0</v>
      </c>
      <c r="J170" s="4">
        <v>1141647.42</v>
      </c>
      <c r="K170" s="4">
        <v>72981138.030000001</v>
      </c>
      <c r="L170" s="4" t="s">
        <v>772</v>
      </c>
      <c r="M170" s="4" t="s">
        <v>773</v>
      </c>
      <c r="N170" s="4" t="s">
        <v>775</v>
      </c>
      <c r="O170" s="4" t="s">
        <v>27</v>
      </c>
      <c r="P170" s="4" t="s">
        <v>27</v>
      </c>
      <c r="Q170" s="4" t="s">
        <v>28</v>
      </c>
      <c r="R170" s="9">
        <f t="shared" si="2"/>
        <v>1.2407732978508672E-3</v>
      </c>
    </row>
    <row r="171" spans="1:18" hidden="1" x14ac:dyDescent="0.2">
      <c r="A171" s="4">
        <v>1867</v>
      </c>
      <c r="B171" s="2">
        <v>61994824</v>
      </c>
      <c r="C171" s="2">
        <v>53079.51</v>
      </c>
      <c r="D171" s="4" t="s">
        <v>3653</v>
      </c>
      <c r="E171" s="2">
        <v>61941744.490000002</v>
      </c>
      <c r="F171" s="2">
        <v>11747556.449999999</v>
      </c>
      <c r="G171" s="2">
        <v>1362967.85</v>
      </c>
      <c r="H171" s="4">
        <v>0</v>
      </c>
      <c r="I171" s="4">
        <v>0</v>
      </c>
      <c r="J171" s="4">
        <v>1362967.85</v>
      </c>
      <c r="K171" s="4">
        <v>72326333.090000004</v>
      </c>
      <c r="L171" s="4" t="s">
        <v>3651</v>
      </c>
      <c r="M171" s="4" t="s">
        <v>3652</v>
      </c>
      <c r="N171" s="4" t="s">
        <v>20</v>
      </c>
      <c r="O171" s="4" t="s">
        <v>386</v>
      </c>
      <c r="P171" s="4" t="s">
        <v>386</v>
      </c>
      <c r="Q171" s="4" t="s">
        <v>585</v>
      </c>
      <c r="R171" s="9">
        <f t="shared" si="2"/>
        <v>1.2338748189439064E-3</v>
      </c>
    </row>
    <row r="172" spans="1:18" hidden="1" x14ac:dyDescent="0.2">
      <c r="A172" s="4">
        <v>1230</v>
      </c>
      <c r="B172" s="2">
        <v>61905048</v>
      </c>
      <c r="C172" s="2">
        <v>0</v>
      </c>
      <c r="D172" s="4" t="s">
        <v>224</v>
      </c>
      <c r="E172" s="2">
        <v>61905048</v>
      </c>
      <c r="F172" s="2">
        <v>11761959.119999999</v>
      </c>
      <c r="G172" s="2">
        <v>1547626.21</v>
      </c>
      <c r="H172" s="4">
        <v>0</v>
      </c>
      <c r="I172" s="4">
        <v>0</v>
      </c>
      <c r="J172" s="4">
        <v>1547626.21</v>
      </c>
      <c r="K172" s="4">
        <v>72119380.909999996</v>
      </c>
      <c r="L172" s="4" t="s">
        <v>222</v>
      </c>
      <c r="M172" s="4" t="s">
        <v>223</v>
      </c>
      <c r="N172" s="4" t="s">
        <v>117</v>
      </c>
      <c r="O172" s="4" t="s">
        <v>93</v>
      </c>
      <c r="P172" s="4" t="s">
        <v>93</v>
      </c>
      <c r="Q172" s="4" t="s">
        <v>100</v>
      </c>
      <c r="R172" s="9">
        <f t="shared" si="2"/>
        <v>1.2331438276660949E-3</v>
      </c>
    </row>
    <row r="173" spans="1:18" hidden="1" x14ac:dyDescent="0.2">
      <c r="A173" s="4">
        <v>632</v>
      </c>
      <c r="B173" s="2">
        <v>62246561</v>
      </c>
      <c r="C173" s="2">
        <v>350558.73</v>
      </c>
      <c r="D173" s="4" t="s">
        <v>1029</v>
      </c>
      <c r="E173" s="2">
        <v>61896002.270000003</v>
      </c>
      <c r="F173" s="2">
        <v>11760240.43</v>
      </c>
      <c r="G173" s="2">
        <v>1527366.08</v>
      </c>
      <c r="H173" s="4">
        <v>0</v>
      </c>
      <c r="I173" s="4">
        <v>0</v>
      </c>
      <c r="J173" s="4">
        <v>1527366.08</v>
      </c>
      <c r="K173" s="4">
        <v>72128876.620000005</v>
      </c>
      <c r="L173" s="4" t="s">
        <v>1027</v>
      </c>
      <c r="M173" s="4" t="s">
        <v>1028</v>
      </c>
      <c r="N173" s="4" t="s">
        <v>127</v>
      </c>
      <c r="O173" s="4" t="s">
        <v>67</v>
      </c>
      <c r="P173" s="4" t="s">
        <v>67</v>
      </c>
      <c r="Q173" s="4" t="s">
        <v>28</v>
      </c>
      <c r="R173" s="9">
        <f t="shared" si="2"/>
        <v>1.232963637415435E-3</v>
      </c>
    </row>
    <row r="174" spans="1:18" hidden="1" x14ac:dyDescent="0.2">
      <c r="A174" s="4">
        <v>1194</v>
      </c>
      <c r="B174" s="2">
        <v>61735707</v>
      </c>
      <c r="C174" s="2">
        <v>30805.02</v>
      </c>
      <c r="D174" s="4" t="s">
        <v>724</v>
      </c>
      <c r="E174" s="2">
        <v>61704901.979999997</v>
      </c>
      <c r="F174" s="2">
        <v>11723931.369999999</v>
      </c>
      <c r="G174" s="2">
        <v>1369210.26</v>
      </c>
      <c r="H174" s="4">
        <v>0</v>
      </c>
      <c r="I174" s="4">
        <v>0</v>
      </c>
      <c r="J174" s="4">
        <v>1369210.26</v>
      </c>
      <c r="K174" s="4">
        <v>72059623.090000004</v>
      </c>
      <c r="L174" s="4" t="s">
        <v>722</v>
      </c>
      <c r="M174" s="4" t="s">
        <v>723</v>
      </c>
      <c r="N174" s="4" t="s">
        <v>88</v>
      </c>
      <c r="O174" s="4" t="s">
        <v>89</v>
      </c>
      <c r="P174" s="4" t="s">
        <v>89</v>
      </c>
      <c r="Q174" s="4" t="s">
        <v>100</v>
      </c>
      <c r="R174" s="9">
        <f t="shared" si="2"/>
        <v>1.2291569342354502E-3</v>
      </c>
    </row>
    <row r="175" spans="1:18" hidden="1" x14ac:dyDescent="0.2">
      <c r="A175" s="4">
        <v>1846</v>
      </c>
      <c r="B175" s="2">
        <v>60660167</v>
      </c>
      <c r="C175" s="2">
        <v>24154.560000000001</v>
      </c>
      <c r="D175" s="4" t="s">
        <v>486</v>
      </c>
      <c r="E175" s="2">
        <v>60636012.439999998</v>
      </c>
      <c r="F175" s="2">
        <v>11520842.359999999</v>
      </c>
      <c r="G175" s="2">
        <v>1107806.6000000001</v>
      </c>
      <c r="H175" s="4">
        <v>231139.64</v>
      </c>
      <c r="I175" s="4">
        <v>0</v>
      </c>
      <c r="J175" s="4">
        <v>1338946.24</v>
      </c>
      <c r="K175" s="4">
        <v>70817908.560000002</v>
      </c>
      <c r="L175" s="4" t="s">
        <v>485</v>
      </c>
      <c r="M175" s="4" t="s">
        <v>61</v>
      </c>
      <c r="N175" s="4" t="s">
        <v>487</v>
      </c>
      <c r="O175" s="4" t="s">
        <v>33</v>
      </c>
      <c r="P175" s="4" t="s">
        <v>33</v>
      </c>
      <c r="Q175" s="4" t="s">
        <v>28</v>
      </c>
      <c r="R175" s="9">
        <f t="shared" si="2"/>
        <v>1.2078647362436508E-3</v>
      </c>
    </row>
    <row r="176" spans="1:18" hidden="1" x14ac:dyDescent="0.2">
      <c r="A176" s="4">
        <v>661</v>
      </c>
      <c r="B176" s="2">
        <v>60389926</v>
      </c>
      <c r="C176" s="2">
        <v>0</v>
      </c>
      <c r="D176" s="4" t="s">
        <v>380</v>
      </c>
      <c r="E176" s="2">
        <v>60389926</v>
      </c>
      <c r="F176" s="2">
        <v>11474085.939999999</v>
      </c>
      <c r="G176" s="2">
        <v>1178139.26</v>
      </c>
      <c r="H176" s="4">
        <v>0</v>
      </c>
      <c r="I176" s="4">
        <v>0</v>
      </c>
      <c r="J176" s="4">
        <v>1178139.26</v>
      </c>
      <c r="K176" s="4">
        <v>70685872.680000007</v>
      </c>
      <c r="L176" s="4" t="s">
        <v>378</v>
      </c>
      <c r="M176" s="4" t="s">
        <v>379</v>
      </c>
      <c r="N176" s="4" t="s">
        <v>381</v>
      </c>
      <c r="O176" s="4" t="s">
        <v>382</v>
      </c>
      <c r="P176" s="4" t="s">
        <v>382</v>
      </c>
      <c r="Q176" s="4" t="s">
        <v>100</v>
      </c>
      <c r="R176" s="9">
        <f t="shared" si="2"/>
        <v>1.2029627131556737E-3</v>
      </c>
    </row>
    <row r="177" spans="1:18" hidden="1" x14ac:dyDescent="0.2">
      <c r="A177" s="4">
        <v>616</v>
      </c>
      <c r="B177" s="2">
        <v>60009254</v>
      </c>
      <c r="C177" s="2">
        <v>0</v>
      </c>
      <c r="D177" s="4" t="s">
        <v>543</v>
      </c>
      <c r="E177" s="2">
        <v>60009254</v>
      </c>
      <c r="F177" s="2">
        <v>54733.68</v>
      </c>
      <c r="G177" s="2">
        <v>1495589.95</v>
      </c>
      <c r="H177" s="4">
        <v>0</v>
      </c>
      <c r="I177" s="4">
        <v>0</v>
      </c>
      <c r="J177" s="4">
        <v>1495589.95</v>
      </c>
      <c r="K177" s="4">
        <v>58568397.729999997</v>
      </c>
      <c r="L177" s="4" t="s">
        <v>541</v>
      </c>
      <c r="M177" s="4" t="s">
        <v>542</v>
      </c>
      <c r="N177" s="4" t="s">
        <v>544</v>
      </c>
      <c r="O177" s="4" t="s">
        <v>76</v>
      </c>
      <c r="P177" s="4" t="s">
        <v>76</v>
      </c>
      <c r="Q177" s="4" t="s">
        <v>100</v>
      </c>
      <c r="R177" s="9">
        <f t="shared" si="2"/>
        <v>1.1953797559925469E-3</v>
      </c>
    </row>
    <row r="178" spans="1:18" hidden="1" x14ac:dyDescent="0.2">
      <c r="A178" s="4">
        <v>1621</v>
      </c>
      <c r="B178" s="2">
        <v>59856371</v>
      </c>
      <c r="C178" s="2">
        <v>633643.43999999994</v>
      </c>
      <c r="D178" s="4" t="s">
        <v>400</v>
      </c>
      <c r="E178" s="2">
        <v>59222727.560000002</v>
      </c>
      <c r="F178" s="2">
        <v>11252318.23</v>
      </c>
      <c r="G178" s="2">
        <v>1427581.72</v>
      </c>
      <c r="H178" s="4">
        <v>0</v>
      </c>
      <c r="I178" s="4">
        <v>0</v>
      </c>
      <c r="J178" s="4">
        <v>1427581.72</v>
      </c>
      <c r="K178" s="4">
        <v>69047464.069999993</v>
      </c>
      <c r="L178" s="4" t="s">
        <v>398</v>
      </c>
      <c r="M178" s="4" t="s">
        <v>399</v>
      </c>
      <c r="N178" s="4" t="s">
        <v>401</v>
      </c>
      <c r="O178" s="4" t="s">
        <v>27</v>
      </c>
      <c r="P178" s="4" t="s">
        <v>27</v>
      </c>
      <c r="Q178" s="4" t="s">
        <v>28</v>
      </c>
      <c r="R178" s="9">
        <f t="shared" si="2"/>
        <v>1.179712209385004E-3</v>
      </c>
    </row>
    <row r="179" spans="1:18" hidden="1" x14ac:dyDescent="0.2">
      <c r="A179" s="4">
        <v>184</v>
      </c>
      <c r="B179" s="2">
        <v>59014588</v>
      </c>
      <c r="C179" s="2">
        <v>0</v>
      </c>
      <c r="D179" s="4" t="s">
        <v>708</v>
      </c>
      <c r="E179" s="2">
        <v>59014588</v>
      </c>
      <c r="F179" s="2">
        <v>11212771.720000001</v>
      </c>
      <c r="G179" s="2">
        <v>1329594.52</v>
      </c>
      <c r="H179" s="4">
        <v>0</v>
      </c>
      <c r="I179" s="4">
        <v>0</v>
      </c>
      <c r="J179" s="4">
        <v>1329594.52</v>
      </c>
      <c r="K179" s="4">
        <v>68897765.200000003</v>
      </c>
      <c r="L179" s="4" t="s">
        <v>706</v>
      </c>
      <c r="M179" s="4" t="s">
        <v>707</v>
      </c>
      <c r="N179" s="4" t="s">
        <v>251</v>
      </c>
      <c r="O179" s="4" t="s">
        <v>59</v>
      </c>
      <c r="P179" s="4" t="s">
        <v>59</v>
      </c>
      <c r="Q179" s="4" t="s">
        <v>100</v>
      </c>
      <c r="R179" s="9">
        <f t="shared" si="2"/>
        <v>1.17556608524813E-3</v>
      </c>
    </row>
    <row r="180" spans="1:18" x14ac:dyDescent="0.2">
      <c r="A180" s="4">
        <v>800</v>
      </c>
      <c r="B180" s="2">
        <v>58968970</v>
      </c>
      <c r="C180" s="2">
        <v>42479.82</v>
      </c>
      <c r="D180" s="4" t="s">
        <v>1619</v>
      </c>
      <c r="E180" s="2">
        <v>58926490.18</v>
      </c>
      <c r="F180" s="2">
        <v>11196033.130000001</v>
      </c>
      <c r="G180" s="2">
        <v>674311.35</v>
      </c>
      <c r="H180" s="4">
        <v>857261.37</v>
      </c>
      <c r="I180" s="4">
        <v>0</v>
      </c>
      <c r="J180" s="4">
        <v>1531572.72</v>
      </c>
      <c r="K180" s="4">
        <v>68590950.590000004</v>
      </c>
      <c r="L180" s="4" t="s">
        <v>1618</v>
      </c>
      <c r="M180" s="4" t="s">
        <v>81</v>
      </c>
      <c r="N180" s="4" t="s">
        <v>464</v>
      </c>
      <c r="O180" s="4" t="s">
        <v>105</v>
      </c>
      <c r="P180" s="4" t="s">
        <v>105</v>
      </c>
      <c r="Q180" s="4" t="s">
        <v>28</v>
      </c>
      <c r="R180" s="9">
        <f t="shared" si="2"/>
        <v>1.1738111834029067E-3</v>
      </c>
    </row>
    <row r="181" spans="1:18" hidden="1" x14ac:dyDescent="0.2">
      <c r="A181" s="4">
        <v>11</v>
      </c>
      <c r="B181" s="2">
        <v>58403357</v>
      </c>
      <c r="C181" s="2">
        <v>172177.44</v>
      </c>
      <c r="D181" s="4" t="s">
        <v>679</v>
      </c>
      <c r="E181" s="2">
        <v>58231179.560000002</v>
      </c>
      <c r="F181" s="2">
        <v>11063924.119999999</v>
      </c>
      <c r="G181" s="2">
        <v>0</v>
      </c>
      <c r="H181" s="4">
        <v>0</v>
      </c>
      <c r="I181" s="4">
        <v>0</v>
      </c>
      <c r="J181" s="4">
        <v>0</v>
      </c>
      <c r="K181" s="4">
        <v>69295103.680000007</v>
      </c>
      <c r="L181" s="4" t="s">
        <v>677</v>
      </c>
      <c r="M181" s="4" t="s">
        <v>678</v>
      </c>
      <c r="N181" s="4" t="s">
        <v>221</v>
      </c>
      <c r="O181" s="4" t="s">
        <v>33</v>
      </c>
      <c r="P181" s="4" t="s">
        <v>33</v>
      </c>
      <c r="Q181" s="4" t="s">
        <v>100</v>
      </c>
      <c r="R181" s="9">
        <f t="shared" si="2"/>
        <v>1.1599606489624248E-3</v>
      </c>
    </row>
    <row r="182" spans="1:18" hidden="1" x14ac:dyDescent="0.2">
      <c r="A182" s="4">
        <v>374</v>
      </c>
      <c r="B182" s="2">
        <v>58110103</v>
      </c>
      <c r="C182" s="2">
        <v>0</v>
      </c>
      <c r="D182" s="4" t="s">
        <v>1046</v>
      </c>
      <c r="E182" s="2">
        <v>58110103</v>
      </c>
      <c r="F182" s="2">
        <v>11040919.57</v>
      </c>
      <c r="G182" s="2">
        <v>1105873.9099999999</v>
      </c>
      <c r="H182" s="4">
        <v>0</v>
      </c>
      <c r="I182" s="4">
        <v>0</v>
      </c>
      <c r="J182" s="4">
        <v>1105873.9099999999</v>
      </c>
      <c r="K182" s="4">
        <v>68045148.659999996</v>
      </c>
      <c r="L182" s="4" t="s">
        <v>1044</v>
      </c>
      <c r="M182" s="4" t="s">
        <v>1045</v>
      </c>
      <c r="N182" s="4" t="s">
        <v>1047</v>
      </c>
      <c r="O182" s="4" t="s">
        <v>229</v>
      </c>
      <c r="P182" s="4" t="s">
        <v>229</v>
      </c>
      <c r="Q182" s="4" t="s">
        <v>100</v>
      </c>
      <c r="R182" s="9">
        <f t="shared" si="2"/>
        <v>1.1575488131354169E-3</v>
      </c>
    </row>
    <row r="183" spans="1:18" hidden="1" x14ac:dyDescent="0.2">
      <c r="A183" s="4">
        <v>26</v>
      </c>
      <c r="B183" s="2">
        <v>58283462</v>
      </c>
      <c r="C183" s="2">
        <v>409389.12</v>
      </c>
      <c r="D183" s="4" t="s">
        <v>869</v>
      </c>
      <c r="E183" s="2">
        <v>57874072.880000003</v>
      </c>
      <c r="F183" s="2">
        <v>10996073.85</v>
      </c>
      <c r="G183" s="2">
        <v>1446851.82</v>
      </c>
      <c r="H183" s="4">
        <v>1649411.08</v>
      </c>
      <c r="I183" s="4">
        <v>0</v>
      </c>
      <c r="J183" s="4">
        <v>3096262.9</v>
      </c>
      <c r="K183" s="4">
        <v>65773883.829999998</v>
      </c>
      <c r="L183" s="4" t="s">
        <v>868</v>
      </c>
      <c r="M183" s="4" t="s">
        <v>146</v>
      </c>
      <c r="N183" s="4" t="s">
        <v>112</v>
      </c>
      <c r="O183" s="4" t="s">
        <v>113</v>
      </c>
      <c r="P183" s="4" t="s">
        <v>113</v>
      </c>
      <c r="Q183" s="4" t="s">
        <v>28</v>
      </c>
      <c r="R183" s="9">
        <f t="shared" si="2"/>
        <v>1.1528471111737081E-3</v>
      </c>
    </row>
    <row r="184" spans="1:18" hidden="1" x14ac:dyDescent="0.2">
      <c r="A184" s="4">
        <v>1001</v>
      </c>
      <c r="B184" s="2">
        <v>57475479</v>
      </c>
      <c r="C184" s="2">
        <v>0</v>
      </c>
      <c r="D184" s="4" t="s">
        <v>694</v>
      </c>
      <c r="E184" s="2">
        <v>57475479</v>
      </c>
      <c r="F184" s="2">
        <v>10920341.01</v>
      </c>
      <c r="G184" s="2">
        <v>1359321.46</v>
      </c>
      <c r="H184" s="4">
        <v>1549626.42</v>
      </c>
      <c r="I184" s="4">
        <v>0</v>
      </c>
      <c r="J184" s="4">
        <v>2908947.88</v>
      </c>
      <c r="K184" s="4">
        <v>65486872.130000003</v>
      </c>
      <c r="L184" s="4" t="s">
        <v>693</v>
      </c>
      <c r="M184" s="4" t="s">
        <v>95</v>
      </c>
      <c r="N184" s="4" t="s">
        <v>695</v>
      </c>
      <c r="O184" s="4" t="s">
        <v>67</v>
      </c>
      <c r="P184" s="4" t="s">
        <v>67</v>
      </c>
      <c r="Q184" s="4" t="s">
        <v>28</v>
      </c>
      <c r="R184" s="9">
        <f t="shared" si="2"/>
        <v>1.1449071515299083E-3</v>
      </c>
    </row>
    <row r="185" spans="1:18" hidden="1" x14ac:dyDescent="0.2">
      <c r="A185" s="4">
        <v>1470</v>
      </c>
      <c r="B185" s="2">
        <v>57196384</v>
      </c>
      <c r="C185" s="2">
        <v>72664.800000000003</v>
      </c>
      <c r="D185" s="4" t="s">
        <v>500</v>
      </c>
      <c r="E185" s="2">
        <v>57123719.200000003</v>
      </c>
      <c r="F185" s="2">
        <v>10853506.65</v>
      </c>
      <c r="G185" s="2">
        <v>1310875.1499999999</v>
      </c>
      <c r="H185" s="4">
        <v>0</v>
      </c>
      <c r="I185" s="4">
        <v>0</v>
      </c>
      <c r="J185" s="4">
        <v>1310875.1499999999</v>
      </c>
      <c r="K185" s="4">
        <v>66666350.700000003</v>
      </c>
      <c r="L185" s="4" t="s">
        <v>498</v>
      </c>
      <c r="M185" s="4" t="s">
        <v>499</v>
      </c>
      <c r="N185" s="4" t="s">
        <v>58</v>
      </c>
      <c r="O185" s="4" t="s">
        <v>59</v>
      </c>
      <c r="P185" s="4" t="s">
        <v>59</v>
      </c>
      <c r="Q185" s="4" t="s">
        <v>28</v>
      </c>
      <c r="R185" s="9">
        <f t="shared" si="2"/>
        <v>1.1379001231823808E-3</v>
      </c>
    </row>
    <row r="186" spans="1:18" hidden="1" x14ac:dyDescent="0.2">
      <c r="A186" s="4">
        <v>1005</v>
      </c>
      <c r="B186" s="2">
        <v>57109685</v>
      </c>
      <c r="C186" s="2">
        <v>0</v>
      </c>
      <c r="D186" s="4" t="s">
        <v>1320</v>
      </c>
      <c r="E186" s="2">
        <v>57109685</v>
      </c>
      <c r="F186" s="2">
        <v>10850840.15</v>
      </c>
      <c r="G186" s="2">
        <v>1362024.9</v>
      </c>
      <c r="H186" s="4">
        <v>0</v>
      </c>
      <c r="I186" s="4">
        <v>0</v>
      </c>
      <c r="J186" s="4">
        <v>1362024.9</v>
      </c>
      <c r="K186" s="4">
        <v>66598500.25</v>
      </c>
      <c r="L186" s="4" t="s">
        <v>1319</v>
      </c>
      <c r="M186" s="4" t="s">
        <v>821</v>
      </c>
      <c r="N186" s="4" t="s">
        <v>1058</v>
      </c>
      <c r="O186" s="4" t="s">
        <v>196</v>
      </c>
      <c r="P186" s="4" t="s">
        <v>196</v>
      </c>
      <c r="Q186" s="4" t="s">
        <v>28</v>
      </c>
      <c r="R186" s="9">
        <f t="shared" si="2"/>
        <v>1.1376205629903551E-3</v>
      </c>
    </row>
    <row r="187" spans="1:18" hidden="1" x14ac:dyDescent="0.2">
      <c r="A187" s="4">
        <v>631</v>
      </c>
      <c r="B187" s="2">
        <v>57099428</v>
      </c>
      <c r="C187" s="2">
        <v>205927.2</v>
      </c>
      <c r="D187" s="4" t="s">
        <v>785</v>
      </c>
      <c r="E187" s="2">
        <v>56893500.799999997</v>
      </c>
      <c r="F187" s="2">
        <v>10809765.15</v>
      </c>
      <c r="G187" s="2">
        <v>1259050.3700000001</v>
      </c>
      <c r="H187" s="4">
        <v>0</v>
      </c>
      <c r="I187" s="4">
        <v>0</v>
      </c>
      <c r="J187" s="4">
        <v>1259050.3700000001</v>
      </c>
      <c r="K187" s="4">
        <v>66444215.579999998</v>
      </c>
      <c r="L187" s="4" t="s">
        <v>783</v>
      </c>
      <c r="M187" s="4" t="s">
        <v>784</v>
      </c>
      <c r="N187" s="4" t="s">
        <v>20</v>
      </c>
      <c r="O187" s="4" t="s">
        <v>71</v>
      </c>
      <c r="P187" s="4" t="s">
        <v>71</v>
      </c>
      <c r="Q187" s="4" t="s">
        <v>100</v>
      </c>
      <c r="R187" s="9">
        <f t="shared" si="2"/>
        <v>1.133314190239155E-3</v>
      </c>
    </row>
    <row r="188" spans="1:18" hidden="1" x14ac:dyDescent="0.2">
      <c r="A188" s="4">
        <v>993</v>
      </c>
      <c r="B188" s="2">
        <v>56560896</v>
      </c>
      <c r="C188" s="2">
        <v>84771.06</v>
      </c>
      <c r="D188" s="4" t="s">
        <v>521</v>
      </c>
      <c r="E188" s="2">
        <v>56476124.939999998</v>
      </c>
      <c r="F188" s="2">
        <v>10730463.74</v>
      </c>
      <c r="G188" s="2">
        <v>1274541.93</v>
      </c>
      <c r="H188" s="4">
        <v>1452977.8</v>
      </c>
      <c r="I188" s="4">
        <v>0</v>
      </c>
      <c r="J188" s="4">
        <v>2727519.73</v>
      </c>
      <c r="K188" s="4">
        <v>64479068.950000003</v>
      </c>
      <c r="L188" s="4" t="s">
        <v>520</v>
      </c>
      <c r="M188" s="4" t="s">
        <v>95</v>
      </c>
      <c r="N188" s="4" t="s">
        <v>522</v>
      </c>
      <c r="O188" s="4" t="s">
        <v>105</v>
      </c>
      <c r="P188" s="4" t="s">
        <v>105</v>
      </c>
      <c r="Q188" s="4" t="s">
        <v>28</v>
      </c>
      <c r="R188" s="9">
        <f t="shared" si="2"/>
        <v>1.1250000949883795E-3</v>
      </c>
    </row>
    <row r="189" spans="1:18" hidden="1" x14ac:dyDescent="0.2">
      <c r="A189" s="4">
        <v>1072</v>
      </c>
      <c r="B189" s="2">
        <v>56295886</v>
      </c>
      <c r="C189" s="2">
        <v>54805.68</v>
      </c>
      <c r="D189" s="4" t="s">
        <v>673</v>
      </c>
      <c r="E189" s="2">
        <v>56241080.32</v>
      </c>
      <c r="F189" s="2">
        <v>10685805.26</v>
      </c>
      <c r="G189" s="2">
        <v>1176505.73</v>
      </c>
      <c r="H189" s="4">
        <v>0</v>
      </c>
      <c r="I189" s="4">
        <v>0</v>
      </c>
      <c r="J189" s="4">
        <v>1176505.73</v>
      </c>
      <c r="K189" s="4">
        <v>65750379.850000001</v>
      </c>
      <c r="L189" s="4" t="s">
        <v>671</v>
      </c>
      <c r="M189" s="4" t="s">
        <v>672</v>
      </c>
      <c r="N189" s="4" t="s">
        <v>674</v>
      </c>
      <c r="O189" s="4" t="s">
        <v>386</v>
      </c>
      <c r="P189" s="4" t="s">
        <v>386</v>
      </c>
      <c r="Q189" s="4" t="s">
        <v>585</v>
      </c>
      <c r="R189" s="9">
        <f t="shared" si="2"/>
        <v>1.1203180241113951E-3</v>
      </c>
    </row>
    <row r="190" spans="1:18" hidden="1" x14ac:dyDescent="0.2">
      <c r="A190" s="4">
        <v>841</v>
      </c>
      <c r="B190" s="2">
        <v>55321113</v>
      </c>
      <c r="C190" s="2">
        <v>0</v>
      </c>
      <c r="D190" s="4" t="s">
        <v>503</v>
      </c>
      <c r="E190" s="2">
        <v>55321113</v>
      </c>
      <c r="F190" s="2">
        <v>10511011.470000001</v>
      </c>
      <c r="G190" s="2">
        <v>1387418.36</v>
      </c>
      <c r="H190" s="4">
        <v>0</v>
      </c>
      <c r="I190" s="4">
        <v>0</v>
      </c>
      <c r="J190" s="4">
        <v>1387418.36</v>
      </c>
      <c r="K190" s="4">
        <v>64444706.109999999</v>
      </c>
      <c r="L190" s="4" t="s">
        <v>501</v>
      </c>
      <c r="M190" s="4" t="s">
        <v>502</v>
      </c>
      <c r="N190" s="4" t="s">
        <v>504</v>
      </c>
      <c r="O190" s="4" t="s">
        <v>27</v>
      </c>
      <c r="P190" s="4" t="s">
        <v>27</v>
      </c>
      <c r="Q190" s="4" t="s">
        <v>100</v>
      </c>
      <c r="R190" s="9">
        <f t="shared" si="2"/>
        <v>1.1019923453668681E-3</v>
      </c>
    </row>
    <row r="191" spans="1:18" hidden="1" x14ac:dyDescent="0.2">
      <c r="A191" s="4">
        <v>1305</v>
      </c>
      <c r="B191" s="2">
        <v>55295059</v>
      </c>
      <c r="C191" s="2">
        <v>15805.8</v>
      </c>
      <c r="D191" s="4" t="s">
        <v>738</v>
      </c>
      <c r="E191" s="2">
        <v>55279253.200000003</v>
      </c>
      <c r="F191" s="2">
        <v>10503058.109999999</v>
      </c>
      <c r="G191" s="2">
        <v>409049.36</v>
      </c>
      <c r="H191" s="4">
        <v>0</v>
      </c>
      <c r="I191" s="4">
        <v>0</v>
      </c>
      <c r="J191" s="4">
        <v>409049.36</v>
      </c>
      <c r="K191" s="4">
        <v>65373261.950000003</v>
      </c>
      <c r="L191" s="4" t="s">
        <v>736</v>
      </c>
      <c r="M191" s="4" t="s">
        <v>737</v>
      </c>
      <c r="N191" s="4" t="s">
        <v>739</v>
      </c>
      <c r="O191" s="4" t="s">
        <v>89</v>
      </c>
      <c r="P191" s="4" t="s">
        <v>89</v>
      </c>
      <c r="Q191" s="4" t="s">
        <v>100</v>
      </c>
      <c r="R191" s="9">
        <f t="shared" si="2"/>
        <v>1.1011585013482458E-3</v>
      </c>
    </row>
    <row r="192" spans="1:18" hidden="1" x14ac:dyDescent="0.2">
      <c r="A192" s="4">
        <v>921</v>
      </c>
      <c r="B192" s="2">
        <v>53881806</v>
      </c>
      <c r="C192" s="2">
        <v>335372.21999999997</v>
      </c>
      <c r="D192" s="4" t="s">
        <v>519</v>
      </c>
      <c r="E192" s="2">
        <v>53546433.780000001</v>
      </c>
      <c r="F192" s="2">
        <v>10173822.42</v>
      </c>
      <c r="G192" s="2">
        <v>1203931.05</v>
      </c>
      <c r="H192" s="4">
        <v>0</v>
      </c>
      <c r="I192" s="4">
        <v>0</v>
      </c>
      <c r="J192" s="4">
        <v>1203931.05</v>
      </c>
      <c r="K192" s="4">
        <v>62516325.149999999</v>
      </c>
      <c r="L192" s="4" t="s">
        <v>517</v>
      </c>
      <c r="M192" s="4" t="s">
        <v>518</v>
      </c>
      <c r="N192" s="4" t="s">
        <v>472</v>
      </c>
      <c r="O192" s="4" t="s">
        <v>67</v>
      </c>
      <c r="P192" s="4" t="s">
        <v>67</v>
      </c>
      <c r="Q192" s="4" t="s">
        <v>28</v>
      </c>
      <c r="R192" s="9">
        <f t="shared" si="2"/>
        <v>1.066640870859809E-3</v>
      </c>
    </row>
    <row r="193" spans="1:18" hidden="1" x14ac:dyDescent="0.2">
      <c r="A193" s="4">
        <v>1433</v>
      </c>
      <c r="B193" s="2">
        <v>52955611</v>
      </c>
      <c r="C193" s="2">
        <v>0</v>
      </c>
      <c r="D193" s="4" t="s">
        <v>688</v>
      </c>
      <c r="E193" s="2">
        <v>52955611</v>
      </c>
      <c r="F193" s="2">
        <v>10061566.09</v>
      </c>
      <c r="G193" s="2">
        <v>0</v>
      </c>
      <c r="H193" s="4">
        <v>0</v>
      </c>
      <c r="I193" s="4">
        <v>0</v>
      </c>
      <c r="J193" s="4">
        <v>0</v>
      </c>
      <c r="K193" s="4">
        <v>63017177.090000004</v>
      </c>
      <c r="L193" s="4" t="s">
        <v>686</v>
      </c>
      <c r="M193" s="4" t="s">
        <v>687</v>
      </c>
      <c r="N193" s="4" t="s">
        <v>468</v>
      </c>
      <c r="O193" s="4" t="s">
        <v>105</v>
      </c>
      <c r="P193" s="4" t="s">
        <v>105</v>
      </c>
      <c r="Q193" s="4" t="s">
        <v>100</v>
      </c>
      <c r="R193" s="9">
        <f t="shared" si="2"/>
        <v>1.0548717262110314E-3</v>
      </c>
    </row>
    <row r="194" spans="1:18" hidden="1" x14ac:dyDescent="0.2">
      <c r="A194" s="4">
        <v>1612</v>
      </c>
      <c r="B194" s="2">
        <v>52850640</v>
      </c>
      <c r="C194" s="2">
        <v>57093.96</v>
      </c>
      <c r="D194" s="4" t="s">
        <v>1341</v>
      </c>
      <c r="E194" s="2">
        <v>52793546.039999999</v>
      </c>
      <c r="F194" s="2">
        <v>10030773.75</v>
      </c>
      <c r="G194" s="2">
        <v>1082414.3799999999</v>
      </c>
      <c r="H194" s="4">
        <v>0</v>
      </c>
      <c r="I194" s="4">
        <v>0</v>
      </c>
      <c r="J194" s="4">
        <v>1082414.3799999999</v>
      </c>
      <c r="K194" s="4">
        <v>61741905.409999996</v>
      </c>
      <c r="L194" s="4" t="s">
        <v>1339</v>
      </c>
      <c r="M194" s="4" t="s">
        <v>1340</v>
      </c>
      <c r="N194" s="4" t="s">
        <v>1342</v>
      </c>
      <c r="O194" s="4" t="s">
        <v>76</v>
      </c>
      <c r="P194" s="4" t="s">
        <v>76</v>
      </c>
      <c r="Q194" s="4" t="s">
        <v>585</v>
      </c>
      <c r="R194" s="9">
        <f t="shared" si="2"/>
        <v>1.0516434045868407E-3</v>
      </c>
    </row>
    <row r="195" spans="1:18" hidden="1" x14ac:dyDescent="0.2">
      <c r="A195" s="4">
        <v>348</v>
      </c>
      <c r="B195" s="2">
        <v>52601386</v>
      </c>
      <c r="C195" s="2">
        <v>147526.74</v>
      </c>
      <c r="D195" s="4" t="s">
        <v>371</v>
      </c>
      <c r="E195" s="2">
        <v>52453859.259999998</v>
      </c>
      <c r="F195" s="2">
        <v>9966233.2599999998</v>
      </c>
      <c r="G195" s="2">
        <v>901292.13</v>
      </c>
      <c r="H195" s="4">
        <v>0</v>
      </c>
      <c r="I195" s="4">
        <v>0</v>
      </c>
      <c r="J195" s="4">
        <v>901292.13</v>
      </c>
      <c r="K195" s="4">
        <v>61518800.390000001</v>
      </c>
      <c r="L195" s="4" t="s">
        <v>369</v>
      </c>
      <c r="M195" s="4" t="s">
        <v>370</v>
      </c>
      <c r="N195" s="4" t="s">
        <v>20</v>
      </c>
      <c r="O195" s="4" t="s">
        <v>372</v>
      </c>
      <c r="P195" s="4" t="s">
        <v>372</v>
      </c>
      <c r="Q195" s="4" t="s">
        <v>28</v>
      </c>
      <c r="R195" s="9">
        <f t="shared" ref="R195:R258" si="3">E195/$E$2034</f>
        <v>1.0448768698755396E-3</v>
      </c>
    </row>
    <row r="196" spans="1:18" hidden="1" x14ac:dyDescent="0.2">
      <c r="A196" s="4">
        <v>1140</v>
      </c>
      <c r="B196" s="2">
        <v>52285007</v>
      </c>
      <c r="C196" s="2">
        <v>0</v>
      </c>
      <c r="D196" s="4" t="s">
        <v>665</v>
      </c>
      <c r="E196" s="2">
        <v>52285007</v>
      </c>
      <c r="F196" s="2">
        <v>9934151.3300000001</v>
      </c>
      <c r="G196" s="2">
        <v>1307125.19</v>
      </c>
      <c r="H196" s="4">
        <v>0</v>
      </c>
      <c r="I196" s="4">
        <v>0</v>
      </c>
      <c r="J196" s="4">
        <v>1307125.19</v>
      </c>
      <c r="K196" s="4">
        <v>60912033.140000001</v>
      </c>
      <c r="L196" s="4" t="s">
        <v>663</v>
      </c>
      <c r="M196" s="4" t="s">
        <v>664</v>
      </c>
      <c r="N196" s="4" t="s">
        <v>83</v>
      </c>
      <c r="O196" s="4" t="s">
        <v>84</v>
      </c>
      <c r="P196" s="4" t="s">
        <v>84</v>
      </c>
      <c r="Q196" s="4" t="s">
        <v>28</v>
      </c>
      <c r="R196" s="9">
        <f t="shared" si="3"/>
        <v>1.0415133457537834E-3</v>
      </c>
    </row>
    <row r="197" spans="1:18" hidden="1" x14ac:dyDescent="0.2">
      <c r="A197" s="4">
        <v>694</v>
      </c>
      <c r="B197" s="2">
        <v>51313303</v>
      </c>
      <c r="C197" s="2">
        <v>114288.03</v>
      </c>
      <c r="D197" s="4" t="s">
        <v>388</v>
      </c>
      <c r="E197" s="2">
        <v>51199014.969999999</v>
      </c>
      <c r="F197" s="2">
        <v>9727812.8399999999</v>
      </c>
      <c r="G197" s="2">
        <v>754490.3</v>
      </c>
      <c r="H197" s="4">
        <v>0</v>
      </c>
      <c r="I197" s="4">
        <v>0</v>
      </c>
      <c r="J197" s="4">
        <v>754490.3</v>
      </c>
      <c r="K197" s="4">
        <v>60172337.509999998</v>
      </c>
      <c r="L197" s="4" t="s">
        <v>387</v>
      </c>
      <c r="M197" s="4" t="s">
        <v>304</v>
      </c>
      <c r="N197" s="4" t="s">
        <v>389</v>
      </c>
      <c r="O197" s="4" t="s">
        <v>42</v>
      </c>
      <c r="P197" s="4" t="s">
        <v>42</v>
      </c>
      <c r="Q197" s="4" t="s">
        <v>28</v>
      </c>
      <c r="R197" s="9">
        <f t="shared" si="3"/>
        <v>1.0198804674675236E-3</v>
      </c>
    </row>
    <row r="198" spans="1:18" hidden="1" x14ac:dyDescent="0.2">
      <c r="A198" s="4">
        <v>1410</v>
      </c>
      <c r="B198" s="2">
        <v>51643643</v>
      </c>
      <c r="C198" s="2">
        <v>504418.02</v>
      </c>
      <c r="D198" s="4" t="s">
        <v>888</v>
      </c>
      <c r="E198" s="2">
        <v>51139224.979999997</v>
      </c>
      <c r="F198" s="2">
        <v>9716452.75</v>
      </c>
      <c r="G198" s="2">
        <v>1065837.52</v>
      </c>
      <c r="H198" s="4">
        <v>0</v>
      </c>
      <c r="I198" s="4">
        <v>0</v>
      </c>
      <c r="J198" s="4">
        <v>1065837.52</v>
      </c>
      <c r="K198" s="4">
        <v>59789840.210000001</v>
      </c>
      <c r="L198" s="4" t="s">
        <v>887</v>
      </c>
      <c r="M198" s="4" t="s">
        <v>417</v>
      </c>
      <c r="N198" s="4" t="s">
        <v>20</v>
      </c>
      <c r="O198" s="4" t="s">
        <v>257</v>
      </c>
      <c r="P198" s="4" t="s">
        <v>257</v>
      </c>
      <c r="Q198" s="4" t="s">
        <v>28</v>
      </c>
      <c r="R198" s="9">
        <f t="shared" si="3"/>
        <v>1.0186894554336629E-3</v>
      </c>
    </row>
    <row r="199" spans="1:18" hidden="1" x14ac:dyDescent="0.2">
      <c r="A199" s="4">
        <v>276</v>
      </c>
      <c r="B199" s="2">
        <v>51104099</v>
      </c>
      <c r="C199" s="2">
        <v>0</v>
      </c>
      <c r="D199" s="4" t="s">
        <v>606</v>
      </c>
      <c r="E199" s="2">
        <v>51104099</v>
      </c>
      <c r="F199" s="2">
        <v>9709778.8100000005</v>
      </c>
      <c r="G199" s="2">
        <v>0</v>
      </c>
      <c r="H199" s="4">
        <v>0</v>
      </c>
      <c r="I199" s="4">
        <v>0</v>
      </c>
      <c r="J199" s="4">
        <v>0</v>
      </c>
      <c r="K199" s="4">
        <v>60813877.810000002</v>
      </c>
      <c r="L199" s="4" t="s">
        <v>604</v>
      </c>
      <c r="M199" s="4" t="s">
        <v>605</v>
      </c>
      <c r="N199" s="4" t="s">
        <v>32</v>
      </c>
      <c r="O199" s="4" t="s">
        <v>33</v>
      </c>
      <c r="P199" s="4" t="s">
        <v>33</v>
      </c>
      <c r="Q199" s="4" t="s">
        <v>100</v>
      </c>
      <c r="R199" s="9">
        <f t="shared" si="3"/>
        <v>1.017989748595091E-3</v>
      </c>
    </row>
    <row r="200" spans="1:18" hidden="1" x14ac:dyDescent="0.2">
      <c r="A200" s="4">
        <v>1555</v>
      </c>
      <c r="B200" s="2">
        <v>51053044</v>
      </c>
      <c r="C200" s="2">
        <v>0</v>
      </c>
      <c r="D200" s="4" t="s">
        <v>767</v>
      </c>
      <c r="E200" s="2">
        <v>51053044</v>
      </c>
      <c r="F200" s="2">
        <v>9700078.3599999994</v>
      </c>
      <c r="G200" s="2">
        <v>0</v>
      </c>
      <c r="H200" s="4">
        <v>0</v>
      </c>
      <c r="I200" s="4">
        <v>0</v>
      </c>
      <c r="J200" s="4">
        <v>0</v>
      </c>
      <c r="K200" s="4">
        <v>60753122.359999999</v>
      </c>
      <c r="L200" s="4" t="s">
        <v>765</v>
      </c>
      <c r="M200" s="4" t="s">
        <v>766</v>
      </c>
      <c r="N200" s="4" t="s">
        <v>20</v>
      </c>
      <c r="O200" s="4" t="s">
        <v>768</v>
      </c>
      <c r="P200" s="4" t="s">
        <v>768</v>
      </c>
      <c r="Q200" s="4" t="s">
        <v>100</v>
      </c>
      <c r="R200" s="9">
        <f t="shared" si="3"/>
        <v>1.0169727368948256E-3</v>
      </c>
    </row>
    <row r="201" spans="1:18" hidden="1" x14ac:dyDescent="0.2">
      <c r="A201" s="4">
        <v>678</v>
      </c>
      <c r="B201" s="2">
        <v>50860872</v>
      </c>
      <c r="C201" s="2">
        <v>0</v>
      </c>
      <c r="D201" s="4" t="s">
        <v>878</v>
      </c>
      <c r="E201" s="2">
        <v>50860872</v>
      </c>
      <c r="F201" s="2">
        <v>9663565.6799999997</v>
      </c>
      <c r="G201" s="2">
        <v>795496.38</v>
      </c>
      <c r="H201" s="4">
        <v>0</v>
      </c>
      <c r="I201" s="4">
        <v>0</v>
      </c>
      <c r="J201" s="4">
        <v>795496.38</v>
      </c>
      <c r="K201" s="4">
        <v>59728941.299999997</v>
      </c>
      <c r="L201" s="4" t="s">
        <v>876</v>
      </c>
      <c r="M201" s="4" t="s">
        <v>877</v>
      </c>
      <c r="N201" s="4" t="s">
        <v>272</v>
      </c>
      <c r="O201" s="4" t="s">
        <v>89</v>
      </c>
      <c r="P201" s="4" t="s">
        <v>89</v>
      </c>
      <c r="Q201" s="4" t="s">
        <v>100</v>
      </c>
      <c r="R201" s="9">
        <f t="shared" si="3"/>
        <v>1.0131446853335014E-3</v>
      </c>
    </row>
    <row r="202" spans="1:18" hidden="1" x14ac:dyDescent="0.2">
      <c r="A202" s="4">
        <v>998</v>
      </c>
      <c r="B202" s="2">
        <v>50634413</v>
      </c>
      <c r="C202" s="2">
        <v>0</v>
      </c>
      <c r="D202" s="4" t="s">
        <v>508</v>
      </c>
      <c r="E202" s="2">
        <v>50634413</v>
      </c>
      <c r="F202" s="2">
        <v>9620538.4700000007</v>
      </c>
      <c r="G202" s="2">
        <v>1253865.44</v>
      </c>
      <c r="H202" s="4">
        <v>1429406.59</v>
      </c>
      <c r="I202" s="4">
        <v>0</v>
      </c>
      <c r="J202" s="4">
        <v>2683272.0299999998</v>
      </c>
      <c r="K202" s="4">
        <v>57571679.439999998</v>
      </c>
      <c r="L202" s="4" t="s">
        <v>507</v>
      </c>
      <c r="M202" s="4" t="s">
        <v>95</v>
      </c>
      <c r="N202" s="4" t="s">
        <v>58</v>
      </c>
      <c r="O202" s="4" t="s">
        <v>59</v>
      </c>
      <c r="P202" s="4" t="s">
        <v>59</v>
      </c>
      <c r="Q202" s="4" t="s">
        <v>28</v>
      </c>
      <c r="R202" s="9">
        <f t="shared" si="3"/>
        <v>1.0086336393511216E-3</v>
      </c>
    </row>
    <row r="203" spans="1:18" hidden="1" x14ac:dyDescent="0.2">
      <c r="A203" s="4">
        <v>1997</v>
      </c>
      <c r="B203" s="2">
        <v>50379711</v>
      </c>
      <c r="C203" s="2">
        <v>0</v>
      </c>
      <c r="D203" s="4" t="s">
        <v>753</v>
      </c>
      <c r="E203" s="2">
        <v>50379711</v>
      </c>
      <c r="F203" s="2">
        <v>9572145.0899999999</v>
      </c>
      <c r="G203" s="2">
        <v>0</v>
      </c>
      <c r="H203" s="4">
        <v>0</v>
      </c>
      <c r="I203" s="4">
        <v>0</v>
      </c>
      <c r="J203" s="4">
        <v>0</v>
      </c>
      <c r="K203" s="4">
        <v>59951856.090000004</v>
      </c>
      <c r="L203" s="4" t="s">
        <v>751</v>
      </c>
      <c r="M203" s="4" t="s">
        <v>752</v>
      </c>
      <c r="N203" s="4" t="s">
        <v>218</v>
      </c>
      <c r="O203" s="4" t="s">
        <v>196</v>
      </c>
      <c r="P203" s="4" t="s">
        <v>196</v>
      </c>
      <c r="Q203" s="4" t="s">
        <v>100</v>
      </c>
      <c r="R203" s="9">
        <f t="shared" si="3"/>
        <v>1.0035599949660269E-3</v>
      </c>
    </row>
    <row r="204" spans="1:18" hidden="1" x14ac:dyDescent="0.2">
      <c r="A204" s="4">
        <v>259</v>
      </c>
      <c r="B204" s="2">
        <v>50382379</v>
      </c>
      <c r="C204" s="2">
        <v>23709.24</v>
      </c>
      <c r="D204" s="4" t="s">
        <v>971</v>
      </c>
      <c r="E204" s="2">
        <v>50358669.759999998</v>
      </c>
      <c r="F204" s="2">
        <v>9568147.25</v>
      </c>
      <c r="G204" s="2">
        <v>0</v>
      </c>
      <c r="H204" s="4">
        <v>0</v>
      </c>
      <c r="I204" s="4">
        <v>0</v>
      </c>
      <c r="J204" s="4">
        <v>0</v>
      </c>
      <c r="K204" s="4">
        <v>59926817.009999998</v>
      </c>
      <c r="L204" s="4" t="s">
        <v>969</v>
      </c>
      <c r="M204" s="4" t="s">
        <v>970</v>
      </c>
      <c r="N204" s="4" t="s">
        <v>20</v>
      </c>
      <c r="O204" s="4" t="s">
        <v>372</v>
      </c>
      <c r="P204" s="4" t="s">
        <v>372</v>
      </c>
      <c r="Q204" s="4" t="s">
        <v>100</v>
      </c>
      <c r="R204" s="9">
        <f t="shared" si="3"/>
        <v>1.0031408550724202E-3</v>
      </c>
    </row>
    <row r="205" spans="1:18" hidden="1" x14ac:dyDescent="0.2">
      <c r="A205" s="4">
        <v>486</v>
      </c>
      <c r="B205" s="2">
        <v>49895824</v>
      </c>
      <c r="C205" s="2">
        <v>0</v>
      </c>
      <c r="D205" s="4" t="s">
        <v>657</v>
      </c>
      <c r="E205" s="2">
        <v>49895824</v>
      </c>
      <c r="F205" s="2">
        <v>9480206.5600000005</v>
      </c>
      <c r="G205" s="2">
        <v>1247395.6000000001</v>
      </c>
      <c r="H205" s="4">
        <v>0</v>
      </c>
      <c r="I205" s="4">
        <v>0</v>
      </c>
      <c r="J205" s="4">
        <v>1247395.6000000001</v>
      </c>
      <c r="K205" s="4">
        <v>58128634.960000001</v>
      </c>
      <c r="L205" s="4" t="s">
        <v>655</v>
      </c>
      <c r="M205" s="4" t="s">
        <v>656</v>
      </c>
      <c r="N205" s="4" t="s">
        <v>32</v>
      </c>
      <c r="O205" s="4" t="s">
        <v>33</v>
      </c>
      <c r="P205" s="4" t="s">
        <v>33</v>
      </c>
      <c r="Q205" s="4" t="s">
        <v>100</v>
      </c>
      <c r="R205" s="9">
        <f t="shared" si="3"/>
        <v>9.9392100288677268E-4</v>
      </c>
    </row>
    <row r="206" spans="1:18" hidden="1" x14ac:dyDescent="0.2">
      <c r="A206" s="4">
        <v>84</v>
      </c>
      <c r="B206" s="2">
        <v>49891476</v>
      </c>
      <c r="C206" s="2">
        <v>0</v>
      </c>
      <c r="D206" s="4" t="s">
        <v>4976</v>
      </c>
      <c r="E206" s="2">
        <v>49891476</v>
      </c>
      <c r="F206" s="2">
        <v>9479380.4399999995</v>
      </c>
      <c r="G206" s="2">
        <v>0</v>
      </c>
      <c r="H206" s="4">
        <v>0</v>
      </c>
      <c r="I206" s="4">
        <v>0</v>
      </c>
      <c r="J206" s="4">
        <v>0</v>
      </c>
      <c r="K206" s="4">
        <v>59370856.439999998</v>
      </c>
      <c r="L206" s="4" t="s">
        <v>4974</v>
      </c>
      <c r="M206" s="4" t="s">
        <v>4975</v>
      </c>
      <c r="N206" s="4" t="s">
        <v>221</v>
      </c>
      <c r="O206" s="4" t="s">
        <v>33</v>
      </c>
      <c r="P206" s="4" t="s">
        <v>33</v>
      </c>
      <c r="Q206" s="4" t="s">
        <v>100</v>
      </c>
      <c r="R206" s="9">
        <f t="shared" si="3"/>
        <v>9.9383439105888587E-4</v>
      </c>
    </row>
    <row r="207" spans="1:18" hidden="1" x14ac:dyDescent="0.2">
      <c r="A207" s="4">
        <v>273</v>
      </c>
      <c r="B207" s="2">
        <v>49807593</v>
      </c>
      <c r="C207" s="2">
        <v>0</v>
      </c>
      <c r="D207" s="4" t="s">
        <v>588</v>
      </c>
      <c r="E207" s="2">
        <v>49807593</v>
      </c>
      <c r="F207" s="2">
        <v>9463442.6699999999</v>
      </c>
      <c r="G207" s="2">
        <v>1109731.7</v>
      </c>
      <c r="H207" s="4">
        <v>0</v>
      </c>
      <c r="I207" s="4">
        <v>0</v>
      </c>
      <c r="J207" s="4">
        <v>1109731.7</v>
      </c>
      <c r="K207" s="4">
        <v>58161303.969999999</v>
      </c>
      <c r="L207" s="4" t="s">
        <v>586</v>
      </c>
      <c r="M207" s="4" t="s">
        <v>587</v>
      </c>
      <c r="N207" s="4" t="s">
        <v>589</v>
      </c>
      <c r="O207" s="4" t="s">
        <v>201</v>
      </c>
      <c r="P207" s="4" t="s">
        <v>201</v>
      </c>
      <c r="Q207" s="4" t="s">
        <v>100</v>
      </c>
      <c r="R207" s="9">
        <f t="shared" si="3"/>
        <v>9.9216344810612199E-4</v>
      </c>
    </row>
    <row r="208" spans="1:18" x14ac:dyDescent="0.2">
      <c r="A208" s="4">
        <v>820</v>
      </c>
      <c r="B208" s="2">
        <v>50013357</v>
      </c>
      <c r="C208" s="2">
        <v>212121.69</v>
      </c>
      <c r="D208" s="4" t="s">
        <v>1493</v>
      </c>
      <c r="E208" s="2">
        <v>49801235.310000002</v>
      </c>
      <c r="F208" s="2">
        <v>9462234.7100000009</v>
      </c>
      <c r="G208" s="2">
        <v>1232682.6000000001</v>
      </c>
      <c r="H208" s="4">
        <v>999215.54</v>
      </c>
      <c r="I208" s="4">
        <v>0</v>
      </c>
      <c r="J208" s="4">
        <v>2231898.14</v>
      </c>
      <c r="K208" s="4">
        <v>57031571.880000003</v>
      </c>
      <c r="L208" s="4" t="s">
        <v>1492</v>
      </c>
      <c r="M208" s="4" t="s">
        <v>81</v>
      </c>
      <c r="N208" s="4" t="s">
        <v>415</v>
      </c>
      <c r="O208" s="4" t="s">
        <v>382</v>
      </c>
      <c r="P208" s="4" t="s">
        <v>382</v>
      </c>
      <c r="Q208" s="4" t="s">
        <v>28</v>
      </c>
      <c r="R208" s="9">
        <f t="shared" si="3"/>
        <v>9.9203680340694141E-4</v>
      </c>
    </row>
    <row r="209" spans="1:18" hidden="1" x14ac:dyDescent="0.2">
      <c r="A209" s="4">
        <v>1762</v>
      </c>
      <c r="B209" s="2">
        <v>49075381</v>
      </c>
      <c r="C209" s="2">
        <v>0</v>
      </c>
      <c r="D209" s="4" t="s">
        <v>875</v>
      </c>
      <c r="E209" s="2">
        <v>49075381</v>
      </c>
      <c r="F209" s="2">
        <v>9324322.3900000006</v>
      </c>
      <c r="G209" s="2">
        <v>1163499.6399999999</v>
      </c>
      <c r="H209" s="4">
        <v>0</v>
      </c>
      <c r="I209" s="4">
        <v>0</v>
      </c>
      <c r="J209" s="4">
        <v>1163499.6399999999</v>
      </c>
      <c r="K209" s="4">
        <v>57236203.75</v>
      </c>
      <c r="L209" s="4" t="s">
        <v>873</v>
      </c>
      <c r="M209" s="4" t="s">
        <v>874</v>
      </c>
      <c r="N209" s="4" t="s">
        <v>714</v>
      </c>
      <c r="O209" s="4" t="s">
        <v>382</v>
      </c>
      <c r="P209" s="4" t="s">
        <v>382</v>
      </c>
      <c r="Q209" s="4" t="s">
        <v>100</v>
      </c>
      <c r="R209" s="9">
        <f t="shared" si="3"/>
        <v>9.775778409946785E-4</v>
      </c>
    </row>
    <row r="210" spans="1:18" hidden="1" x14ac:dyDescent="0.2">
      <c r="A210" s="4">
        <v>1075</v>
      </c>
      <c r="B210" s="2">
        <v>48991771</v>
      </c>
      <c r="C210" s="2">
        <v>0</v>
      </c>
      <c r="D210" s="4" t="s">
        <v>575</v>
      </c>
      <c r="E210" s="2">
        <v>48991771</v>
      </c>
      <c r="F210" s="2">
        <v>9308436.4900000002</v>
      </c>
      <c r="G210" s="2">
        <v>1181379.8500000001</v>
      </c>
      <c r="H210" s="4">
        <v>0</v>
      </c>
      <c r="I210" s="4">
        <v>0</v>
      </c>
      <c r="J210" s="4">
        <v>1181379.8500000001</v>
      </c>
      <c r="K210" s="4">
        <v>57118827.640000001</v>
      </c>
      <c r="L210" s="4" t="s">
        <v>573</v>
      </c>
      <c r="M210" s="4" t="s">
        <v>574</v>
      </c>
      <c r="N210" s="4" t="s">
        <v>20</v>
      </c>
      <c r="O210" s="4" t="s">
        <v>76</v>
      </c>
      <c r="P210" s="4" t="s">
        <v>76</v>
      </c>
      <c r="Q210" s="4" t="s">
        <v>100</v>
      </c>
      <c r="R210" s="9">
        <f t="shared" si="3"/>
        <v>9.7591233618106194E-4</v>
      </c>
    </row>
    <row r="211" spans="1:18" hidden="1" x14ac:dyDescent="0.2">
      <c r="A211" s="4">
        <v>1463</v>
      </c>
      <c r="B211" s="2">
        <v>48431931</v>
      </c>
      <c r="C211" s="2">
        <v>149226.21</v>
      </c>
      <c r="D211" s="4" t="s">
        <v>734</v>
      </c>
      <c r="E211" s="2">
        <v>48282704.789999999</v>
      </c>
      <c r="F211" s="2">
        <v>9173713.9100000001</v>
      </c>
      <c r="G211" s="2">
        <v>0</v>
      </c>
      <c r="H211" s="4">
        <v>0</v>
      </c>
      <c r="I211" s="4">
        <v>0</v>
      </c>
      <c r="J211" s="4">
        <v>0</v>
      </c>
      <c r="K211" s="4">
        <v>57456418.700000003</v>
      </c>
      <c r="L211" s="4" t="s">
        <v>732</v>
      </c>
      <c r="M211" s="4" t="s">
        <v>733</v>
      </c>
      <c r="N211" s="4" t="s">
        <v>735</v>
      </c>
      <c r="O211" s="4" t="s">
        <v>105</v>
      </c>
      <c r="P211" s="4" t="s">
        <v>105</v>
      </c>
      <c r="Q211" s="4" t="s">
        <v>100</v>
      </c>
      <c r="R211" s="9">
        <f t="shared" si="3"/>
        <v>9.6178779143847343E-4</v>
      </c>
    </row>
    <row r="212" spans="1:18" hidden="1" x14ac:dyDescent="0.2">
      <c r="A212" s="4">
        <v>987</v>
      </c>
      <c r="B212" s="2">
        <v>47752045</v>
      </c>
      <c r="C212" s="2">
        <v>194883.84</v>
      </c>
      <c r="D212" s="4" t="s">
        <v>630</v>
      </c>
      <c r="E212" s="2">
        <v>47557161.159999996</v>
      </c>
      <c r="F212" s="2">
        <v>9035860.6199999992</v>
      </c>
      <c r="G212" s="2">
        <v>160849.15</v>
      </c>
      <c r="H212" s="4">
        <v>0</v>
      </c>
      <c r="I212" s="4">
        <v>0</v>
      </c>
      <c r="J212" s="4">
        <v>160849.15</v>
      </c>
      <c r="K212" s="4">
        <v>56432172.630000003</v>
      </c>
      <c r="L212" s="4" t="s">
        <v>628</v>
      </c>
      <c r="M212" s="4" t="s">
        <v>629</v>
      </c>
      <c r="N212" s="4" t="s">
        <v>20</v>
      </c>
      <c r="O212" s="4" t="s">
        <v>631</v>
      </c>
      <c r="P212" s="4" t="s">
        <v>631</v>
      </c>
      <c r="Q212" s="4" t="s">
        <v>28</v>
      </c>
      <c r="R212" s="9">
        <f t="shared" si="3"/>
        <v>9.473350177480798E-4</v>
      </c>
    </row>
    <row r="213" spans="1:18" hidden="1" x14ac:dyDescent="0.2">
      <c r="A213" s="4">
        <v>1231</v>
      </c>
      <c r="B213" s="2">
        <v>46868742</v>
      </c>
      <c r="C213" s="2">
        <v>0</v>
      </c>
      <c r="D213" s="4" t="s">
        <v>1139</v>
      </c>
      <c r="E213" s="2">
        <v>46868742</v>
      </c>
      <c r="F213" s="2">
        <v>8905060.9800000004</v>
      </c>
      <c r="G213" s="2">
        <v>0</v>
      </c>
      <c r="H213" s="4">
        <v>0</v>
      </c>
      <c r="I213" s="4">
        <v>0</v>
      </c>
      <c r="J213" s="4">
        <v>0</v>
      </c>
      <c r="K213" s="4">
        <v>55773802.979999997</v>
      </c>
      <c r="L213" s="4" t="s">
        <v>1138</v>
      </c>
      <c r="M213" s="4" t="s">
        <v>1138</v>
      </c>
      <c r="N213" s="4" t="s">
        <v>272</v>
      </c>
      <c r="O213" s="4" t="s">
        <v>89</v>
      </c>
      <c r="P213" s="4" t="s">
        <v>89</v>
      </c>
      <c r="Q213" s="4" t="s">
        <v>100</v>
      </c>
      <c r="R213" s="9">
        <f t="shared" si="3"/>
        <v>9.3362176066440748E-4</v>
      </c>
    </row>
    <row r="214" spans="1:18" hidden="1" x14ac:dyDescent="0.2">
      <c r="A214" s="4">
        <v>1368</v>
      </c>
      <c r="B214" s="2">
        <v>47160612</v>
      </c>
      <c r="C214" s="2">
        <v>354321.15</v>
      </c>
      <c r="D214" s="4" t="s">
        <v>321</v>
      </c>
      <c r="E214" s="2">
        <v>46806290.850000001</v>
      </c>
      <c r="F214" s="2">
        <v>8893195.2599999998</v>
      </c>
      <c r="G214" s="2">
        <v>1167676.43</v>
      </c>
      <c r="H214" s="4">
        <v>0</v>
      </c>
      <c r="I214" s="4">
        <v>0</v>
      </c>
      <c r="J214" s="4">
        <v>1167676.43</v>
      </c>
      <c r="K214" s="4">
        <v>54531809.68</v>
      </c>
      <c r="L214" s="4" t="s">
        <v>319</v>
      </c>
      <c r="M214" s="4" t="s">
        <v>320</v>
      </c>
      <c r="N214" s="4" t="s">
        <v>322</v>
      </c>
      <c r="O214" s="4" t="s">
        <v>229</v>
      </c>
      <c r="P214" s="4" t="s">
        <v>229</v>
      </c>
      <c r="Q214" s="4" t="s">
        <v>28</v>
      </c>
      <c r="R214" s="9">
        <f t="shared" si="3"/>
        <v>9.323777385266144E-4</v>
      </c>
    </row>
    <row r="215" spans="1:18" hidden="1" x14ac:dyDescent="0.2">
      <c r="A215" s="4">
        <v>1379</v>
      </c>
      <c r="B215" s="2">
        <v>47052855</v>
      </c>
      <c r="C215" s="2">
        <v>380052.39</v>
      </c>
      <c r="D215" s="4" t="s">
        <v>1779</v>
      </c>
      <c r="E215" s="2">
        <v>46672802.609999999</v>
      </c>
      <c r="F215" s="2">
        <v>8867832.5</v>
      </c>
      <c r="G215" s="2">
        <v>1091851.1299999999</v>
      </c>
      <c r="H215" s="4">
        <v>1244710.26</v>
      </c>
      <c r="I215" s="4">
        <v>262044.25</v>
      </c>
      <c r="J215" s="4">
        <v>2598605.64</v>
      </c>
      <c r="K215" s="4">
        <v>52942029.469999999</v>
      </c>
      <c r="L215" s="4" t="s">
        <v>1778</v>
      </c>
      <c r="M215" s="4" t="s">
        <v>1006</v>
      </c>
      <c r="N215" s="4" t="s">
        <v>83</v>
      </c>
      <c r="O215" s="4" t="s">
        <v>84</v>
      </c>
      <c r="P215" s="4" t="s">
        <v>84</v>
      </c>
      <c r="Q215" s="4" t="s">
        <v>28</v>
      </c>
      <c r="R215" s="9">
        <f t="shared" si="3"/>
        <v>9.297186629820479E-4</v>
      </c>
    </row>
    <row r="216" spans="1:18" hidden="1" x14ac:dyDescent="0.2">
      <c r="A216" s="4">
        <v>746</v>
      </c>
      <c r="B216" s="2">
        <v>46464220</v>
      </c>
      <c r="C216" s="2">
        <v>0</v>
      </c>
      <c r="D216" s="4" t="s">
        <v>568</v>
      </c>
      <c r="E216" s="2">
        <v>46464220</v>
      </c>
      <c r="F216" s="2">
        <v>8828201.8000000007</v>
      </c>
      <c r="G216" s="2">
        <v>1119882.26</v>
      </c>
      <c r="H216" s="4">
        <v>0</v>
      </c>
      <c r="I216" s="4">
        <v>0</v>
      </c>
      <c r="J216" s="4">
        <v>1119882.26</v>
      </c>
      <c r="K216" s="4">
        <v>54172539.539999999</v>
      </c>
      <c r="L216" s="4" t="s">
        <v>566</v>
      </c>
      <c r="M216" s="4" t="s">
        <v>567</v>
      </c>
      <c r="N216" s="4" t="s">
        <v>124</v>
      </c>
      <c r="O216" s="4" t="s">
        <v>33</v>
      </c>
      <c r="P216" s="4" t="s">
        <v>33</v>
      </c>
      <c r="Q216" s="4" t="s">
        <v>28</v>
      </c>
      <c r="R216" s="9">
        <f t="shared" si="3"/>
        <v>9.2556371332301547E-4</v>
      </c>
    </row>
    <row r="217" spans="1:18" hidden="1" x14ac:dyDescent="0.2">
      <c r="A217" s="4">
        <v>681</v>
      </c>
      <c r="B217" s="2">
        <v>46517333</v>
      </c>
      <c r="C217" s="2">
        <v>92455.29</v>
      </c>
      <c r="D217" s="4" t="s">
        <v>691</v>
      </c>
      <c r="E217" s="2">
        <v>46424877.710000001</v>
      </c>
      <c r="F217" s="2">
        <v>8820726.7699999996</v>
      </c>
      <c r="G217" s="2">
        <v>709431.68</v>
      </c>
      <c r="H217" s="4">
        <v>0</v>
      </c>
      <c r="I217" s="4">
        <v>0</v>
      </c>
      <c r="J217" s="4">
        <v>709431.68</v>
      </c>
      <c r="K217" s="4">
        <v>54536172.799999997</v>
      </c>
      <c r="L217" s="4" t="s">
        <v>689</v>
      </c>
      <c r="M217" s="4" t="s">
        <v>690</v>
      </c>
      <c r="N217" s="4" t="s">
        <v>20</v>
      </c>
      <c r="O217" s="4" t="s">
        <v>692</v>
      </c>
      <c r="P217" s="4" t="s">
        <v>692</v>
      </c>
      <c r="Q217" s="4" t="s">
        <v>28</v>
      </c>
      <c r="R217" s="9">
        <f t="shared" si="3"/>
        <v>9.2478001791129803E-4</v>
      </c>
    </row>
    <row r="218" spans="1:18" hidden="1" x14ac:dyDescent="0.2">
      <c r="A218" s="4">
        <v>573</v>
      </c>
      <c r="B218" s="2">
        <v>46405763</v>
      </c>
      <c r="C218" s="2">
        <v>0</v>
      </c>
      <c r="D218" s="4" t="s">
        <v>825</v>
      </c>
      <c r="E218" s="2">
        <v>46405763</v>
      </c>
      <c r="F218" s="2">
        <v>8817094.9700000007</v>
      </c>
      <c r="G218" s="2">
        <v>784160.85</v>
      </c>
      <c r="H218" s="4">
        <v>0</v>
      </c>
      <c r="I218" s="4">
        <v>0</v>
      </c>
      <c r="J218" s="4">
        <v>784160.85</v>
      </c>
      <c r="K218" s="4">
        <v>54438697.119999997</v>
      </c>
      <c r="L218" s="4" t="s">
        <v>823</v>
      </c>
      <c r="M218" s="4" t="s">
        <v>824</v>
      </c>
      <c r="N218" s="4" t="s">
        <v>826</v>
      </c>
      <c r="O218" s="4" t="s">
        <v>89</v>
      </c>
      <c r="P218" s="4" t="s">
        <v>89</v>
      </c>
      <c r="Q218" s="4" t="s">
        <v>100</v>
      </c>
      <c r="R218" s="9">
        <f t="shared" si="3"/>
        <v>9.2439925434813707E-4</v>
      </c>
    </row>
    <row r="219" spans="1:18" hidden="1" x14ac:dyDescent="0.2">
      <c r="A219" s="4">
        <v>1839</v>
      </c>
      <c r="B219" s="2">
        <v>45913704</v>
      </c>
      <c r="C219" s="2">
        <v>9154.02</v>
      </c>
      <c r="D219" s="4" t="s">
        <v>676</v>
      </c>
      <c r="E219" s="2">
        <v>45904549.979999997</v>
      </c>
      <c r="F219" s="2">
        <v>8721864.5</v>
      </c>
      <c r="G219" s="2">
        <v>456780.13</v>
      </c>
      <c r="H219" s="4">
        <v>-12420.7</v>
      </c>
      <c r="I219" s="4">
        <v>0</v>
      </c>
      <c r="J219" s="4">
        <v>444359.43</v>
      </c>
      <c r="K219" s="4">
        <v>54182055.049999997</v>
      </c>
      <c r="L219" s="4" t="s">
        <v>675</v>
      </c>
      <c r="M219" s="4" t="s">
        <v>61</v>
      </c>
      <c r="N219" s="4" t="s">
        <v>32</v>
      </c>
      <c r="O219" s="4" t="s">
        <v>33</v>
      </c>
      <c r="P219" s="4" t="s">
        <v>33</v>
      </c>
      <c r="Q219" s="4" t="s">
        <v>28</v>
      </c>
      <c r="R219" s="9">
        <f t="shared" si="3"/>
        <v>9.1441512927389619E-4</v>
      </c>
    </row>
    <row r="220" spans="1:18" hidden="1" x14ac:dyDescent="0.2">
      <c r="A220" s="4">
        <v>214</v>
      </c>
      <c r="B220" s="2">
        <v>45862576.700000003</v>
      </c>
      <c r="C220" s="2">
        <v>0</v>
      </c>
      <c r="D220" s="4" t="s">
        <v>872</v>
      </c>
      <c r="E220" s="2">
        <v>45862576.700000003</v>
      </c>
      <c r="F220" s="2">
        <v>8713889.5700000003</v>
      </c>
      <c r="G220" s="2">
        <v>1020258.23</v>
      </c>
      <c r="H220" s="4">
        <v>0</v>
      </c>
      <c r="I220" s="4">
        <v>0</v>
      </c>
      <c r="J220" s="4">
        <v>1020258.23</v>
      </c>
      <c r="K220" s="4">
        <v>53556208.039999999</v>
      </c>
      <c r="L220" s="4" t="s">
        <v>870</v>
      </c>
      <c r="M220" s="4" t="s">
        <v>871</v>
      </c>
      <c r="N220" s="4" t="s">
        <v>88</v>
      </c>
      <c r="O220" s="4" t="s">
        <v>89</v>
      </c>
      <c r="P220" s="4" t="s">
        <v>89</v>
      </c>
      <c r="Q220" s="4" t="s">
        <v>100</v>
      </c>
      <c r="R220" s="9">
        <f t="shared" si="3"/>
        <v>9.1357902474234183E-4</v>
      </c>
    </row>
    <row r="221" spans="1:18" hidden="1" x14ac:dyDescent="0.2">
      <c r="A221" s="4">
        <v>1080</v>
      </c>
      <c r="B221" s="2">
        <v>45777190</v>
      </c>
      <c r="C221" s="2">
        <v>0</v>
      </c>
      <c r="D221" s="4" t="s">
        <v>1644</v>
      </c>
      <c r="E221" s="2">
        <v>45777190</v>
      </c>
      <c r="F221" s="2">
        <v>0</v>
      </c>
      <c r="G221" s="2">
        <v>1144429.75</v>
      </c>
      <c r="H221" s="4">
        <v>0</v>
      </c>
      <c r="I221" s="4">
        <v>0</v>
      </c>
      <c r="J221" s="4">
        <v>1144429.75</v>
      </c>
      <c r="K221" s="4">
        <v>44632760.25</v>
      </c>
      <c r="L221" s="4" t="s">
        <v>1642</v>
      </c>
      <c r="M221" s="4" t="s">
        <v>1643</v>
      </c>
      <c r="N221" s="4" t="s">
        <v>205</v>
      </c>
      <c r="O221" s="4" t="s">
        <v>206</v>
      </c>
      <c r="P221" s="4" t="s">
        <v>206</v>
      </c>
      <c r="Q221" s="4" t="s">
        <v>100</v>
      </c>
      <c r="R221" s="9">
        <f t="shared" si="3"/>
        <v>9.1187812820043494E-4</v>
      </c>
    </row>
    <row r="222" spans="1:18" hidden="1" x14ac:dyDescent="0.2">
      <c r="A222" s="4">
        <v>1603</v>
      </c>
      <c r="B222" s="2">
        <v>45735124</v>
      </c>
      <c r="C222" s="2">
        <v>0</v>
      </c>
      <c r="D222" s="4" t="s">
        <v>1377</v>
      </c>
      <c r="E222" s="2">
        <v>45735124</v>
      </c>
      <c r="F222" s="2">
        <v>8689673.5600000005</v>
      </c>
      <c r="G222" s="2">
        <v>1106773.52</v>
      </c>
      <c r="H222" s="4">
        <v>0</v>
      </c>
      <c r="I222" s="4">
        <v>0</v>
      </c>
      <c r="J222" s="4">
        <v>1106773.52</v>
      </c>
      <c r="K222" s="4">
        <v>53318024.039999999</v>
      </c>
      <c r="L222" s="4" t="s">
        <v>1375</v>
      </c>
      <c r="M222" s="4" t="s">
        <v>1376</v>
      </c>
      <c r="N222" s="4" t="s">
        <v>20</v>
      </c>
      <c r="O222" s="4" t="s">
        <v>372</v>
      </c>
      <c r="P222" s="4" t="s">
        <v>372</v>
      </c>
      <c r="Q222" s="4" t="s">
        <v>1378</v>
      </c>
      <c r="R222" s="9">
        <f t="shared" si="3"/>
        <v>9.1104017669356256E-4</v>
      </c>
    </row>
    <row r="223" spans="1:18" hidden="1" x14ac:dyDescent="0.2">
      <c r="A223" s="4">
        <v>320</v>
      </c>
      <c r="B223" s="2">
        <v>45680921</v>
      </c>
      <c r="C223" s="2">
        <v>177244.68</v>
      </c>
      <c r="D223" s="4" t="s">
        <v>849</v>
      </c>
      <c r="E223" s="2">
        <v>45503676.32</v>
      </c>
      <c r="F223" s="2">
        <v>8645698.5</v>
      </c>
      <c r="G223" s="2">
        <v>0</v>
      </c>
      <c r="H223" s="4">
        <v>0</v>
      </c>
      <c r="I223" s="4">
        <v>0</v>
      </c>
      <c r="J223" s="4">
        <v>0</v>
      </c>
      <c r="K223" s="4">
        <v>54149374.82</v>
      </c>
      <c r="L223" s="4" t="s">
        <v>847</v>
      </c>
      <c r="M223" s="4" t="s">
        <v>848</v>
      </c>
      <c r="N223" s="4" t="s">
        <v>482</v>
      </c>
      <c r="O223" s="4" t="s">
        <v>89</v>
      </c>
      <c r="P223" s="4" t="s">
        <v>89</v>
      </c>
      <c r="Q223" s="4" t="s">
        <v>100</v>
      </c>
      <c r="R223" s="9">
        <f t="shared" si="3"/>
        <v>9.0642975658663312E-4</v>
      </c>
    </row>
    <row r="224" spans="1:18" hidden="1" x14ac:dyDescent="0.2">
      <c r="A224" s="4">
        <v>222</v>
      </c>
      <c r="B224" s="2">
        <v>45494721</v>
      </c>
      <c r="C224" s="2">
        <v>0</v>
      </c>
      <c r="D224" s="4" t="s">
        <v>809</v>
      </c>
      <c r="E224" s="2">
        <v>45494721</v>
      </c>
      <c r="F224" s="2">
        <v>8643996.9900000002</v>
      </c>
      <c r="G224" s="2">
        <v>0</v>
      </c>
      <c r="H224" s="4">
        <v>0</v>
      </c>
      <c r="I224" s="4">
        <v>0</v>
      </c>
      <c r="J224" s="4">
        <v>0</v>
      </c>
      <c r="K224" s="4">
        <v>54138717.990000002</v>
      </c>
      <c r="L224" s="4" t="s">
        <v>807</v>
      </c>
      <c r="M224" s="4" t="s">
        <v>808</v>
      </c>
      <c r="N224" s="4" t="s">
        <v>810</v>
      </c>
      <c r="O224" s="4" t="s">
        <v>59</v>
      </c>
      <c r="P224" s="4" t="s">
        <v>59</v>
      </c>
      <c r="Q224" s="4" t="s">
        <v>100</v>
      </c>
      <c r="R224" s="9">
        <f t="shared" si="3"/>
        <v>9.0625136729626736E-4</v>
      </c>
    </row>
    <row r="225" spans="1:18" hidden="1" x14ac:dyDescent="0.2">
      <c r="A225" s="4">
        <v>1564</v>
      </c>
      <c r="B225" s="2">
        <v>44944854</v>
      </c>
      <c r="C225" s="2">
        <v>0</v>
      </c>
      <c r="D225" s="4" t="s">
        <v>539</v>
      </c>
      <c r="E225" s="2">
        <v>44944854</v>
      </c>
      <c r="F225" s="2">
        <v>8539522.2599999998</v>
      </c>
      <c r="G225" s="2">
        <v>1123621.3500000001</v>
      </c>
      <c r="H225" s="4">
        <v>0</v>
      </c>
      <c r="I225" s="4">
        <v>0</v>
      </c>
      <c r="J225" s="4">
        <v>1123621.3500000001</v>
      </c>
      <c r="K225" s="4">
        <v>52360754.909999996</v>
      </c>
      <c r="L225" s="4" t="s">
        <v>537</v>
      </c>
      <c r="M225" s="4" t="s">
        <v>538</v>
      </c>
      <c r="N225" s="4" t="s">
        <v>20</v>
      </c>
      <c r="O225" s="4" t="s">
        <v>540</v>
      </c>
      <c r="P225" s="4" t="s">
        <v>540</v>
      </c>
      <c r="Q225" s="4" t="s">
        <v>28</v>
      </c>
      <c r="R225" s="9">
        <f t="shared" si="3"/>
        <v>8.9529805865676401E-4</v>
      </c>
    </row>
    <row r="226" spans="1:18" x14ac:dyDescent="0.2">
      <c r="A226" s="4">
        <v>818</v>
      </c>
      <c r="B226" s="2">
        <v>45702127</v>
      </c>
      <c r="C226" s="2">
        <v>821214</v>
      </c>
      <c r="D226" s="4" t="s">
        <v>619</v>
      </c>
      <c r="E226" s="2">
        <v>44880913</v>
      </c>
      <c r="F226" s="2">
        <v>8527373.4700000007</v>
      </c>
      <c r="G226" s="2">
        <v>1122022.83</v>
      </c>
      <c r="H226" s="4">
        <v>1279106.02</v>
      </c>
      <c r="I226" s="4">
        <v>0</v>
      </c>
      <c r="J226" s="4">
        <v>2401128.85</v>
      </c>
      <c r="K226" s="4">
        <v>51007157.619999997</v>
      </c>
      <c r="L226" s="4" t="s">
        <v>618</v>
      </c>
      <c r="M226" s="4" t="s">
        <v>81</v>
      </c>
      <c r="N226" s="4" t="s">
        <v>472</v>
      </c>
      <c r="O226" s="4" t="s">
        <v>67</v>
      </c>
      <c r="P226" s="4" t="s">
        <v>67</v>
      </c>
      <c r="Q226" s="4" t="s">
        <v>28</v>
      </c>
      <c r="R226" s="9">
        <f t="shared" si="3"/>
        <v>8.9402435882077007E-4</v>
      </c>
    </row>
    <row r="227" spans="1:18" hidden="1" x14ac:dyDescent="0.2">
      <c r="A227" s="4">
        <v>1010</v>
      </c>
      <c r="B227" s="2">
        <v>44865389</v>
      </c>
      <c r="C227" s="2">
        <v>0</v>
      </c>
      <c r="D227" s="4" t="s">
        <v>5362</v>
      </c>
      <c r="E227" s="2">
        <v>44865389</v>
      </c>
      <c r="F227" s="2">
        <v>8524423.9100000001</v>
      </c>
      <c r="G227" s="2">
        <v>1109286.42</v>
      </c>
      <c r="H227" s="4">
        <v>0</v>
      </c>
      <c r="I227" s="4">
        <v>0</v>
      </c>
      <c r="J227" s="4">
        <v>1109286.42</v>
      </c>
      <c r="K227" s="4">
        <v>52280526.490000002</v>
      </c>
      <c r="L227" s="4" t="s">
        <v>5360</v>
      </c>
      <c r="M227" s="4" t="s">
        <v>5361</v>
      </c>
      <c r="N227" s="4" t="s">
        <v>58</v>
      </c>
      <c r="O227" s="4" t="s">
        <v>59</v>
      </c>
      <c r="P227" s="4" t="s">
        <v>1039</v>
      </c>
      <c r="Q227" s="4" t="s">
        <v>28</v>
      </c>
      <c r="R227" s="9">
        <f t="shared" si="3"/>
        <v>8.9371512192653983E-4</v>
      </c>
    </row>
    <row r="228" spans="1:18" hidden="1" x14ac:dyDescent="0.2">
      <c r="A228" s="4">
        <v>1568</v>
      </c>
      <c r="B228" s="2">
        <v>44766111</v>
      </c>
      <c r="C228" s="2">
        <v>0</v>
      </c>
      <c r="D228" s="4" t="s">
        <v>912</v>
      </c>
      <c r="E228" s="2">
        <v>44766111</v>
      </c>
      <c r="F228" s="2">
        <v>8505561.0899999999</v>
      </c>
      <c r="G228" s="2">
        <v>858696.36</v>
      </c>
      <c r="H228" s="4">
        <v>0</v>
      </c>
      <c r="I228" s="4">
        <v>0</v>
      </c>
      <c r="J228" s="4">
        <v>858696.36</v>
      </c>
      <c r="K228" s="4">
        <v>52412975.729999997</v>
      </c>
      <c r="L228" s="4" t="s">
        <v>910</v>
      </c>
      <c r="M228" s="4" t="s">
        <v>911</v>
      </c>
      <c r="N228" s="4" t="s">
        <v>20</v>
      </c>
      <c r="O228" s="4" t="s">
        <v>359</v>
      </c>
      <c r="P228" s="4" t="s">
        <v>359</v>
      </c>
      <c r="Q228" s="4" t="s">
        <v>100</v>
      </c>
      <c r="R228" s="9">
        <f t="shared" si="3"/>
        <v>8.917375117496924E-4</v>
      </c>
    </row>
    <row r="229" spans="1:18" hidden="1" x14ac:dyDescent="0.2">
      <c r="A229" s="4">
        <v>670</v>
      </c>
      <c r="B229" s="2">
        <v>44593934</v>
      </c>
      <c r="C229" s="2">
        <v>50515.8</v>
      </c>
      <c r="D229" s="4" t="s">
        <v>856</v>
      </c>
      <c r="E229" s="2">
        <v>44543418.200000003</v>
      </c>
      <c r="F229" s="2">
        <v>8463249.4600000009</v>
      </c>
      <c r="G229" s="2">
        <v>0</v>
      </c>
      <c r="H229" s="4">
        <v>0</v>
      </c>
      <c r="I229" s="4">
        <v>0</v>
      </c>
      <c r="J229" s="4">
        <v>0</v>
      </c>
      <c r="K229" s="4">
        <v>53006667.659999996</v>
      </c>
      <c r="L229" s="4" t="s">
        <v>854</v>
      </c>
      <c r="M229" s="4" t="s">
        <v>855</v>
      </c>
      <c r="N229" s="4" t="s">
        <v>32</v>
      </c>
      <c r="O229" s="4" t="s">
        <v>33</v>
      </c>
      <c r="P229" s="4" t="s">
        <v>33</v>
      </c>
      <c r="Q229" s="4" t="s">
        <v>100</v>
      </c>
      <c r="R229" s="9">
        <f t="shared" si="3"/>
        <v>8.8730148818363876E-4</v>
      </c>
    </row>
    <row r="230" spans="1:18" hidden="1" x14ac:dyDescent="0.2">
      <c r="A230" s="4">
        <v>10</v>
      </c>
      <c r="B230" s="2">
        <v>44540871</v>
      </c>
      <c r="C230" s="2">
        <v>0</v>
      </c>
      <c r="D230" s="4" t="s">
        <v>1789</v>
      </c>
      <c r="E230" s="2">
        <v>44540871</v>
      </c>
      <c r="F230" s="2">
        <v>8462765.4900000002</v>
      </c>
      <c r="G230" s="2">
        <v>959775.77</v>
      </c>
      <c r="H230" s="4">
        <v>0</v>
      </c>
      <c r="I230" s="4">
        <v>0</v>
      </c>
      <c r="J230" s="4">
        <v>959775.77</v>
      </c>
      <c r="K230" s="4">
        <v>52043860.719999999</v>
      </c>
      <c r="L230" s="4" t="s">
        <v>1787</v>
      </c>
      <c r="M230" s="4" t="s">
        <v>1788</v>
      </c>
      <c r="N230" s="4" t="s">
        <v>1269</v>
      </c>
      <c r="O230" s="4" t="s">
        <v>105</v>
      </c>
      <c r="P230" s="4" t="s">
        <v>105</v>
      </c>
      <c r="Q230" s="4" t="s">
        <v>100</v>
      </c>
      <c r="R230" s="9">
        <f t="shared" si="3"/>
        <v>8.8725074815420159E-4</v>
      </c>
    </row>
    <row r="231" spans="1:18" x14ac:dyDescent="0.2">
      <c r="A231" s="4">
        <v>824</v>
      </c>
      <c r="B231" s="2">
        <v>44464166</v>
      </c>
      <c r="C231" s="2">
        <v>0</v>
      </c>
      <c r="D231" s="4" t="s">
        <v>787</v>
      </c>
      <c r="E231" s="2">
        <v>44464166</v>
      </c>
      <c r="F231" s="2">
        <v>8448191.5399999991</v>
      </c>
      <c r="G231" s="2">
        <v>951047.8</v>
      </c>
      <c r="H231" s="4">
        <v>1084194.49</v>
      </c>
      <c r="I231" s="4">
        <v>0</v>
      </c>
      <c r="J231" s="4">
        <v>2035242.29</v>
      </c>
      <c r="K231" s="4">
        <v>50877115.25</v>
      </c>
      <c r="L231" s="4" t="s">
        <v>786</v>
      </c>
      <c r="M231" s="4" t="s">
        <v>81</v>
      </c>
      <c r="N231" s="4" t="s">
        <v>104</v>
      </c>
      <c r="O231" s="4" t="s">
        <v>105</v>
      </c>
      <c r="P231" s="4" t="s">
        <v>105</v>
      </c>
      <c r="Q231" s="4" t="s">
        <v>28</v>
      </c>
      <c r="R231" s="9">
        <f t="shared" si="3"/>
        <v>8.857227904131603E-4</v>
      </c>
    </row>
    <row r="232" spans="1:18" hidden="1" x14ac:dyDescent="0.2">
      <c r="A232" s="4">
        <v>1269</v>
      </c>
      <c r="B232" s="2">
        <v>44665072</v>
      </c>
      <c r="C232" s="2">
        <v>294454.95</v>
      </c>
      <c r="D232" s="4" t="s">
        <v>1061</v>
      </c>
      <c r="E232" s="2">
        <v>44370617.049999997</v>
      </c>
      <c r="F232" s="2">
        <v>8430417.2400000002</v>
      </c>
      <c r="G232" s="2">
        <v>1085167.43</v>
      </c>
      <c r="H232" s="4">
        <v>0</v>
      </c>
      <c r="I232" s="4">
        <v>0</v>
      </c>
      <c r="J232" s="4">
        <v>1085167.43</v>
      </c>
      <c r="K232" s="4">
        <v>51715866.859999999</v>
      </c>
      <c r="L232" s="4" t="s">
        <v>1059</v>
      </c>
      <c r="M232" s="4" t="s">
        <v>1060</v>
      </c>
      <c r="N232" s="4" t="s">
        <v>1062</v>
      </c>
      <c r="O232" s="4" t="s">
        <v>747</v>
      </c>
      <c r="P232" s="4" t="s">
        <v>747</v>
      </c>
      <c r="Q232" s="4" t="s">
        <v>28</v>
      </c>
      <c r="R232" s="9">
        <f t="shared" si="3"/>
        <v>8.8385930247471072E-4</v>
      </c>
    </row>
    <row r="233" spans="1:18" hidden="1" x14ac:dyDescent="0.2">
      <c r="A233" s="4">
        <v>881</v>
      </c>
      <c r="B233" s="2">
        <v>44307075</v>
      </c>
      <c r="C233" s="2">
        <v>0</v>
      </c>
      <c r="D233" s="4" t="s">
        <v>759</v>
      </c>
      <c r="E233" s="2">
        <v>44307075</v>
      </c>
      <c r="F233" s="2">
        <v>8418344.25</v>
      </c>
      <c r="G233" s="2">
        <v>0</v>
      </c>
      <c r="H233" s="4">
        <v>0</v>
      </c>
      <c r="I233" s="4">
        <v>0</v>
      </c>
      <c r="J233" s="4">
        <v>0</v>
      </c>
      <c r="K233" s="4">
        <v>52725419.25</v>
      </c>
      <c r="L233" s="4" t="s">
        <v>757</v>
      </c>
      <c r="M233" s="4" t="s">
        <v>758</v>
      </c>
      <c r="N233" s="4" t="s">
        <v>32</v>
      </c>
      <c r="O233" s="4" t="s">
        <v>33</v>
      </c>
      <c r="P233" s="4" t="s">
        <v>33</v>
      </c>
      <c r="Q233" s="4" t="s">
        <v>100</v>
      </c>
      <c r="R233" s="9">
        <f t="shared" si="3"/>
        <v>8.8259354969224375E-4</v>
      </c>
    </row>
    <row r="234" spans="1:18" hidden="1" x14ac:dyDescent="0.2">
      <c r="A234" s="4">
        <v>46</v>
      </c>
      <c r="B234" s="2">
        <v>43979366</v>
      </c>
      <c r="C234" s="2">
        <v>0</v>
      </c>
      <c r="D234" s="4" t="s">
        <v>862</v>
      </c>
      <c r="E234" s="2">
        <v>43979366</v>
      </c>
      <c r="F234" s="2">
        <v>8356079.54</v>
      </c>
      <c r="G234" s="2">
        <v>1025952.89</v>
      </c>
      <c r="H234" s="4">
        <v>0</v>
      </c>
      <c r="I234" s="4">
        <v>0</v>
      </c>
      <c r="J234" s="4">
        <v>1025952.89</v>
      </c>
      <c r="K234" s="4">
        <v>51309492.649999999</v>
      </c>
      <c r="L234" s="4" t="s">
        <v>860</v>
      </c>
      <c r="M234" s="4" t="s">
        <v>861</v>
      </c>
      <c r="N234" s="4" t="s">
        <v>863</v>
      </c>
      <c r="O234" s="4" t="s">
        <v>59</v>
      </c>
      <c r="P234" s="4" t="s">
        <v>59</v>
      </c>
      <c r="Q234" s="4" t="s">
        <v>100</v>
      </c>
      <c r="R234" s="9">
        <f t="shared" si="3"/>
        <v>8.7606561144364364E-4</v>
      </c>
    </row>
    <row r="235" spans="1:18" hidden="1" x14ac:dyDescent="0.2">
      <c r="A235" s="4">
        <v>384</v>
      </c>
      <c r="B235" s="2">
        <v>42945543</v>
      </c>
      <c r="C235" s="2">
        <v>0</v>
      </c>
      <c r="D235" s="4" t="s">
        <v>915</v>
      </c>
      <c r="E235" s="2">
        <v>42945543</v>
      </c>
      <c r="F235" s="2">
        <v>8159653.1699999999</v>
      </c>
      <c r="G235" s="2">
        <v>1073638.58</v>
      </c>
      <c r="H235" s="4">
        <v>0</v>
      </c>
      <c r="I235" s="4">
        <v>0</v>
      </c>
      <c r="J235" s="4">
        <v>1073638.58</v>
      </c>
      <c r="K235" s="4">
        <v>50031557.590000004</v>
      </c>
      <c r="L235" s="4" t="s">
        <v>913</v>
      </c>
      <c r="M235" s="4" t="s">
        <v>914</v>
      </c>
      <c r="N235" s="4" t="s">
        <v>58</v>
      </c>
      <c r="O235" s="4" t="s">
        <v>59</v>
      </c>
      <c r="P235" s="4" t="s">
        <v>59</v>
      </c>
      <c r="Q235" s="4" t="s">
        <v>100</v>
      </c>
      <c r="R235" s="9">
        <f t="shared" si="3"/>
        <v>8.554719362501563E-4</v>
      </c>
    </row>
    <row r="236" spans="1:18" hidden="1" x14ac:dyDescent="0.2">
      <c r="A236" s="4">
        <v>749</v>
      </c>
      <c r="B236" s="2">
        <v>42805592</v>
      </c>
      <c r="C236" s="2">
        <v>0</v>
      </c>
      <c r="D236" s="4" t="s">
        <v>834</v>
      </c>
      <c r="E236" s="2">
        <v>42805592</v>
      </c>
      <c r="F236" s="2">
        <v>8133062.4800000004</v>
      </c>
      <c r="G236" s="2">
        <v>865186.63</v>
      </c>
      <c r="H236" s="4">
        <v>0</v>
      </c>
      <c r="I236" s="4">
        <v>0</v>
      </c>
      <c r="J236" s="4">
        <v>865186.63</v>
      </c>
      <c r="K236" s="4">
        <v>50073467.850000001</v>
      </c>
      <c r="L236" s="4" t="s">
        <v>832</v>
      </c>
      <c r="M236" s="4" t="s">
        <v>833</v>
      </c>
      <c r="N236" s="4" t="s">
        <v>415</v>
      </c>
      <c r="O236" s="4" t="s">
        <v>382</v>
      </c>
      <c r="P236" s="4" t="s">
        <v>382</v>
      </c>
      <c r="Q236" s="4" t="s">
        <v>100</v>
      </c>
      <c r="R236" s="9">
        <f t="shared" si="3"/>
        <v>8.5268412302003484E-4</v>
      </c>
    </row>
    <row r="237" spans="1:18" hidden="1" x14ac:dyDescent="0.2">
      <c r="A237" s="4">
        <v>39</v>
      </c>
      <c r="B237" s="2">
        <v>42775432</v>
      </c>
      <c r="C237" s="2">
        <v>155986.20000000001</v>
      </c>
      <c r="D237" s="4" t="s">
        <v>557</v>
      </c>
      <c r="E237" s="2">
        <v>42619445.799999997</v>
      </c>
      <c r="F237" s="2">
        <v>8097694.7000000002</v>
      </c>
      <c r="G237" s="2">
        <v>960465.05</v>
      </c>
      <c r="H237" s="4">
        <v>1094930.1499999999</v>
      </c>
      <c r="I237" s="4">
        <v>0</v>
      </c>
      <c r="J237" s="4">
        <v>2055395.2</v>
      </c>
      <c r="K237" s="4">
        <v>48661745.299999997</v>
      </c>
      <c r="L237" s="4" t="s">
        <v>556</v>
      </c>
      <c r="M237" s="4" t="s">
        <v>146</v>
      </c>
      <c r="N237" s="4" t="s">
        <v>558</v>
      </c>
      <c r="O237" s="4" t="s">
        <v>559</v>
      </c>
      <c r="P237" s="4" t="s">
        <v>559</v>
      </c>
      <c r="Q237" s="4" t="s">
        <v>28</v>
      </c>
      <c r="R237" s="9">
        <f t="shared" si="3"/>
        <v>8.4897610493444187E-4</v>
      </c>
    </row>
    <row r="238" spans="1:18" hidden="1" x14ac:dyDescent="0.2">
      <c r="A238" s="4">
        <v>861</v>
      </c>
      <c r="B238" s="2">
        <v>42607379</v>
      </c>
      <c r="C238" s="2">
        <v>0</v>
      </c>
      <c r="D238" s="4" t="s">
        <v>1076</v>
      </c>
      <c r="E238" s="2">
        <v>42607379</v>
      </c>
      <c r="F238" s="2">
        <v>8095402.0099999998</v>
      </c>
      <c r="G238" s="2">
        <v>0</v>
      </c>
      <c r="H238" s="4">
        <v>0</v>
      </c>
      <c r="I238" s="4">
        <v>0</v>
      </c>
      <c r="J238" s="4">
        <v>0</v>
      </c>
      <c r="K238" s="4">
        <v>50702781.009999998</v>
      </c>
      <c r="L238" s="4" t="s">
        <v>1074</v>
      </c>
      <c r="M238" s="4" t="s">
        <v>1075</v>
      </c>
      <c r="N238" s="4" t="s">
        <v>1077</v>
      </c>
      <c r="O238" s="4" t="s">
        <v>105</v>
      </c>
      <c r="P238" s="4" t="s">
        <v>105</v>
      </c>
      <c r="Q238" s="4" t="s">
        <v>100</v>
      </c>
      <c r="R238" s="9">
        <f t="shared" si="3"/>
        <v>8.4873573520014044E-4</v>
      </c>
    </row>
    <row r="239" spans="1:18" hidden="1" x14ac:dyDescent="0.2">
      <c r="A239" s="4">
        <v>55</v>
      </c>
      <c r="B239" s="2">
        <v>42433544</v>
      </c>
      <c r="C239" s="2">
        <v>160802.88</v>
      </c>
      <c r="D239" s="4" t="s">
        <v>1622</v>
      </c>
      <c r="E239" s="2">
        <v>42272741.119999997</v>
      </c>
      <c r="F239" s="2">
        <v>8031820.8099999996</v>
      </c>
      <c r="G239" s="2">
        <v>0</v>
      </c>
      <c r="H239" s="4">
        <v>0</v>
      </c>
      <c r="I239" s="4">
        <v>0</v>
      </c>
      <c r="J239" s="4">
        <v>0</v>
      </c>
      <c r="K239" s="4">
        <v>50304561.93</v>
      </c>
      <c r="L239" s="4" t="s">
        <v>1620</v>
      </c>
      <c r="M239" s="4" t="s">
        <v>1621</v>
      </c>
      <c r="N239" s="4" t="s">
        <v>1623</v>
      </c>
      <c r="O239" s="4" t="s">
        <v>229</v>
      </c>
      <c r="P239" s="4" t="s">
        <v>229</v>
      </c>
      <c r="Q239" s="4" t="s">
        <v>100</v>
      </c>
      <c r="R239" s="9">
        <f t="shared" si="3"/>
        <v>8.42069774191189E-4</v>
      </c>
    </row>
    <row r="240" spans="1:18" hidden="1" x14ac:dyDescent="0.2">
      <c r="A240" s="4">
        <v>28</v>
      </c>
      <c r="B240" s="2">
        <v>42175684</v>
      </c>
      <c r="C240" s="2">
        <v>223654.74</v>
      </c>
      <c r="D240" s="4" t="s">
        <v>831</v>
      </c>
      <c r="E240" s="2">
        <v>41952029.259999998</v>
      </c>
      <c r="F240" s="2">
        <v>7970885.5599999996</v>
      </c>
      <c r="G240" s="2">
        <v>1048800.75</v>
      </c>
      <c r="H240" s="4">
        <v>1195632.8400000001</v>
      </c>
      <c r="I240" s="4">
        <v>0</v>
      </c>
      <c r="J240" s="4">
        <v>2244433.59</v>
      </c>
      <c r="K240" s="4">
        <v>47678481.229999997</v>
      </c>
      <c r="L240" s="4" t="s">
        <v>830</v>
      </c>
      <c r="M240" s="4" t="s">
        <v>146</v>
      </c>
      <c r="N240" s="4" t="s">
        <v>127</v>
      </c>
      <c r="O240" s="4" t="s">
        <v>67</v>
      </c>
      <c r="P240" s="4" t="s">
        <v>67</v>
      </c>
      <c r="Q240" s="4" t="s">
        <v>28</v>
      </c>
      <c r="R240" s="9">
        <f t="shared" si="3"/>
        <v>8.3568121843692622E-4</v>
      </c>
    </row>
    <row r="241" spans="1:18" hidden="1" x14ac:dyDescent="0.2">
      <c r="A241" s="4">
        <v>472</v>
      </c>
      <c r="B241" s="2">
        <v>41770620</v>
      </c>
      <c r="C241" s="2">
        <v>0</v>
      </c>
      <c r="D241" s="4" t="s">
        <v>1112</v>
      </c>
      <c r="E241" s="2">
        <v>41770620</v>
      </c>
      <c r="F241" s="2">
        <v>7936417.7999999998</v>
      </c>
      <c r="G241" s="2">
        <v>0</v>
      </c>
      <c r="H241" s="4">
        <v>0</v>
      </c>
      <c r="I241" s="4">
        <v>0</v>
      </c>
      <c r="J241" s="4">
        <v>0</v>
      </c>
      <c r="K241" s="4">
        <v>49707037.799999997</v>
      </c>
      <c r="L241" s="4" t="s">
        <v>1110</v>
      </c>
      <c r="M241" s="4" t="s">
        <v>1111</v>
      </c>
      <c r="N241" s="4" t="s">
        <v>88</v>
      </c>
      <c r="O241" s="4" t="s">
        <v>89</v>
      </c>
      <c r="P241" s="4" t="s">
        <v>89</v>
      </c>
      <c r="Q241" s="4" t="s">
        <v>100</v>
      </c>
      <c r="R241" s="9">
        <f t="shared" si="3"/>
        <v>8.3206755983431164E-4</v>
      </c>
    </row>
    <row r="242" spans="1:18" hidden="1" x14ac:dyDescent="0.2">
      <c r="A242" s="4">
        <v>2</v>
      </c>
      <c r="B242" s="2">
        <v>41760314</v>
      </c>
      <c r="C242" s="2">
        <v>0</v>
      </c>
      <c r="D242" s="4" t="s">
        <v>701</v>
      </c>
      <c r="E242" s="2">
        <v>41760314</v>
      </c>
      <c r="F242" s="2">
        <v>7934459.6600000001</v>
      </c>
      <c r="G242" s="2">
        <v>776270.6</v>
      </c>
      <c r="H242" s="4">
        <v>0</v>
      </c>
      <c r="I242" s="4">
        <v>0</v>
      </c>
      <c r="J242" s="4">
        <v>776270.6</v>
      </c>
      <c r="K242" s="4">
        <v>48918503.060000002</v>
      </c>
      <c r="L242" s="4" t="s">
        <v>699</v>
      </c>
      <c r="M242" s="4" t="s">
        <v>700</v>
      </c>
      <c r="N242" s="4" t="s">
        <v>20</v>
      </c>
      <c r="O242" s="4" t="s">
        <v>631</v>
      </c>
      <c r="P242" s="4" t="s">
        <v>631</v>
      </c>
      <c r="Q242" s="4" t="s">
        <v>100</v>
      </c>
      <c r="R242" s="9">
        <f t="shared" si="3"/>
        <v>8.318622651015149E-4</v>
      </c>
    </row>
    <row r="243" spans="1:18" hidden="1" x14ac:dyDescent="0.2">
      <c r="A243" s="4">
        <v>996</v>
      </c>
      <c r="B243" s="2">
        <v>41510523</v>
      </c>
      <c r="C243" s="2">
        <v>0</v>
      </c>
      <c r="D243" s="4" t="s">
        <v>650</v>
      </c>
      <c r="E243" s="2">
        <v>41510523</v>
      </c>
      <c r="F243" s="2">
        <v>7886999.3700000001</v>
      </c>
      <c r="G243" s="2">
        <v>1037763.11</v>
      </c>
      <c r="H243" s="4">
        <v>1183049.8999999999</v>
      </c>
      <c r="I243" s="4">
        <v>0</v>
      </c>
      <c r="J243" s="4">
        <v>2220813.0099999998</v>
      </c>
      <c r="K243" s="4">
        <v>47176709.359999999</v>
      </c>
      <c r="L243" s="4" t="s">
        <v>649</v>
      </c>
      <c r="M243" s="4" t="s">
        <v>95</v>
      </c>
      <c r="N243" s="4" t="s">
        <v>651</v>
      </c>
      <c r="O243" s="4" t="s">
        <v>196</v>
      </c>
      <c r="P243" s="4" t="s">
        <v>196</v>
      </c>
      <c r="Q243" s="4" t="s">
        <v>28</v>
      </c>
      <c r="R243" s="9">
        <f t="shared" si="3"/>
        <v>8.2688644746130335E-4</v>
      </c>
    </row>
    <row r="244" spans="1:18" hidden="1" x14ac:dyDescent="0.2">
      <c r="A244" s="4">
        <v>40</v>
      </c>
      <c r="B244" s="2">
        <v>41283463</v>
      </c>
      <c r="C244" s="2">
        <v>0</v>
      </c>
      <c r="D244" s="4" t="s">
        <v>1023</v>
      </c>
      <c r="E244" s="2">
        <v>41283463</v>
      </c>
      <c r="F244" s="2">
        <v>7843857.9699999997</v>
      </c>
      <c r="G244" s="2">
        <v>1032086.58</v>
      </c>
      <c r="H244" s="4">
        <v>1176578.7</v>
      </c>
      <c r="I244" s="4">
        <v>0</v>
      </c>
      <c r="J244" s="4">
        <v>2208665.2799999998</v>
      </c>
      <c r="K244" s="4">
        <v>46918655.689999998</v>
      </c>
      <c r="L244" s="4" t="s">
        <v>1022</v>
      </c>
      <c r="M244" s="4" t="s">
        <v>146</v>
      </c>
      <c r="N244" s="4" t="s">
        <v>58</v>
      </c>
      <c r="O244" s="4" t="s">
        <v>59</v>
      </c>
      <c r="P244" s="4" t="s">
        <v>59</v>
      </c>
      <c r="Q244" s="4" t="s">
        <v>28</v>
      </c>
      <c r="R244" s="9">
        <f t="shared" si="3"/>
        <v>8.2236342960482968E-4</v>
      </c>
    </row>
    <row r="245" spans="1:18" hidden="1" x14ac:dyDescent="0.2">
      <c r="A245" s="4">
        <v>323</v>
      </c>
      <c r="B245" s="2">
        <v>41112899</v>
      </c>
      <c r="C245" s="2">
        <v>31367.52</v>
      </c>
      <c r="D245" s="4" t="s">
        <v>5365</v>
      </c>
      <c r="E245" s="2">
        <v>41081531.479999997</v>
      </c>
      <c r="F245" s="2">
        <v>7805490.9800000004</v>
      </c>
      <c r="G245" s="2">
        <v>976941.52</v>
      </c>
      <c r="H245" s="4">
        <v>0</v>
      </c>
      <c r="I245" s="4">
        <v>0</v>
      </c>
      <c r="J245" s="4">
        <v>976941.52</v>
      </c>
      <c r="K245" s="4">
        <v>47910080.939999998</v>
      </c>
      <c r="L245" s="4" t="s">
        <v>5363</v>
      </c>
      <c r="M245" s="4" t="s">
        <v>5364</v>
      </c>
      <c r="N245" s="4" t="s">
        <v>186</v>
      </c>
      <c r="O245" s="4" t="s">
        <v>59</v>
      </c>
      <c r="P245" s="4" t="s">
        <v>1039</v>
      </c>
      <c r="Q245" s="4" t="s">
        <v>100</v>
      </c>
      <c r="R245" s="9">
        <f t="shared" si="3"/>
        <v>8.1834096915056685E-4</v>
      </c>
    </row>
    <row r="246" spans="1:18" hidden="1" x14ac:dyDescent="0.2">
      <c r="A246" s="4">
        <v>1806</v>
      </c>
      <c r="B246" s="2">
        <v>40865292</v>
      </c>
      <c r="C246" s="2">
        <v>0</v>
      </c>
      <c r="D246" s="4" t="s">
        <v>5368</v>
      </c>
      <c r="E246" s="2">
        <v>40865292</v>
      </c>
      <c r="F246" s="2">
        <v>0</v>
      </c>
      <c r="G246" s="2">
        <v>0</v>
      </c>
      <c r="H246" s="4">
        <v>0</v>
      </c>
      <c r="I246" s="4">
        <v>0</v>
      </c>
      <c r="J246" s="4">
        <v>0</v>
      </c>
      <c r="K246" s="4">
        <v>40865292</v>
      </c>
      <c r="L246" s="4" t="s">
        <v>5366</v>
      </c>
      <c r="M246" s="4" t="s">
        <v>5367</v>
      </c>
      <c r="N246" s="4" t="s">
        <v>205</v>
      </c>
      <c r="O246" s="4" t="s">
        <v>206</v>
      </c>
      <c r="P246" s="4" t="s">
        <v>206</v>
      </c>
      <c r="Q246" s="4" t="s">
        <v>100</v>
      </c>
      <c r="R246" s="9">
        <f t="shared" si="3"/>
        <v>8.1403349522598937E-4</v>
      </c>
    </row>
    <row r="247" spans="1:18" hidden="1" x14ac:dyDescent="0.2">
      <c r="A247" s="4">
        <v>262</v>
      </c>
      <c r="B247" s="2">
        <v>40450301</v>
      </c>
      <c r="C247" s="2">
        <v>0</v>
      </c>
      <c r="D247" s="4" t="s">
        <v>1208</v>
      </c>
      <c r="E247" s="2">
        <v>40450301</v>
      </c>
      <c r="F247" s="2">
        <v>7685557.1900000004</v>
      </c>
      <c r="G247" s="2">
        <v>995191.26</v>
      </c>
      <c r="H247" s="4">
        <v>0</v>
      </c>
      <c r="I247" s="4">
        <v>0</v>
      </c>
      <c r="J247" s="4">
        <v>995191.26</v>
      </c>
      <c r="K247" s="4">
        <v>47140666.93</v>
      </c>
      <c r="L247" s="4" t="s">
        <v>1206</v>
      </c>
      <c r="M247" s="4" t="s">
        <v>1207</v>
      </c>
      <c r="N247" s="4" t="s">
        <v>714</v>
      </c>
      <c r="O247" s="4" t="s">
        <v>382</v>
      </c>
      <c r="P247" s="4" t="s">
        <v>382</v>
      </c>
      <c r="Q247" s="4" t="s">
        <v>100</v>
      </c>
      <c r="R247" s="9">
        <f t="shared" si="3"/>
        <v>8.0576690620425104E-4</v>
      </c>
    </row>
    <row r="248" spans="1:18" hidden="1" x14ac:dyDescent="0.2">
      <c r="A248" s="4">
        <v>706</v>
      </c>
      <c r="B248" s="2">
        <v>40485124</v>
      </c>
      <c r="C248" s="2">
        <v>58643.58</v>
      </c>
      <c r="D248" s="4" t="s">
        <v>403</v>
      </c>
      <c r="E248" s="2">
        <v>40426480.420000002</v>
      </c>
      <c r="F248" s="2">
        <v>7681031.2800000003</v>
      </c>
      <c r="G248" s="2">
        <v>756982.08</v>
      </c>
      <c r="H248" s="4">
        <v>0</v>
      </c>
      <c r="I248" s="4">
        <v>0</v>
      </c>
      <c r="J248" s="4">
        <v>756982.08</v>
      </c>
      <c r="K248" s="4">
        <v>47350529.619999997</v>
      </c>
      <c r="L248" s="4" t="s">
        <v>402</v>
      </c>
      <c r="M248" s="4" t="s">
        <v>304</v>
      </c>
      <c r="N248" s="4" t="s">
        <v>404</v>
      </c>
      <c r="O248" s="4" t="s">
        <v>42</v>
      </c>
      <c r="P248" s="4" t="s">
        <v>42</v>
      </c>
      <c r="Q248" s="4" t="s">
        <v>28</v>
      </c>
      <c r="R248" s="9">
        <f t="shared" si="3"/>
        <v>8.0529240207013867E-4</v>
      </c>
    </row>
    <row r="249" spans="1:18" hidden="1" x14ac:dyDescent="0.2">
      <c r="A249" s="4">
        <v>1165</v>
      </c>
      <c r="B249" s="2">
        <v>40508468</v>
      </c>
      <c r="C249" s="2">
        <v>122046.36</v>
      </c>
      <c r="D249" s="4" t="s">
        <v>367</v>
      </c>
      <c r="E249" s="2">
        <v>40386421.640000001</v>
      </c>
      <c r="F249" s="2">
        <v>7673420.1100000003</v>
      </c>
      <c r="G249" s="2">
        <v>709799.79</v>
      </c>
      <c r="H249" s="4">
        <v>809171.77</v>
      </c>
      <c r="I249" s="4">
        <v>170351.95</v>
      </c>
      <c r="J249" s="4">
        <v>1689323.51</v>
      </c>
      <c r="K249" s="4">
        <v>46370518.240000002</v>
      </c>
      <c r="L249" s="4" t="s">
        <v>366</v>
      </c>
      <c r="M249" s="4" t="s">
        <v>178</v>
      </c>
      <c r="N249" s="4" t="s">
        <v>368</v>
      </c>
      <c r="O249" s="4" t="s">
        <v>89</v>
      </c>
      <c r="P249" s="4" t="s">
        <v>89</v>
      </c>
      <c r="Q249" s="4" t="s">
        <v>28</v>
      </c>
      <c r="R249" s="9">
        <f t="shared" si="3"/>
        <v>8.0449443423234886E-4</v>
      </c>
    </row>
    <row r="250" spans="1:18" hidden="1" x14ac:dyDescent="0.2">
      <c r="A250" s="4">
        <v>1857</v>
      </c>
      <c r="B250" s="2">
        <v>40205217</v>
      </c>
      <c r="C250" s="2">
        <v>0</v>
      </c>
      <c r="D250" s="4" t="s">
        <v>2722</v>
      </c>
      <c r="E250" s="2">
        <v>40205217</v>
      </c>
      <c r="F250" s="2">
        <v>7638991.2300000004</v>
      </c>
      <c r="G250" s="2">
        <v>939108.35</v>
      </c>
      <c r="H250" s="4">
        <v>0</v>
      </c>
      <c r="I250" s="4">
        <v>0</v>
      </c>
      <c r="J250" s="4">
        <v>939108.35</v>
      </c>
      <c r="K250" s="4">
        <v>46905099.880000003</v>
      </c>
      <c r="L250" s="4" t="s">
        <v>2720</v>
      </c>
      <c r="M250" s="4" t="s">
        <v>2721</v>
      </c>
      <c r="N250" s="4" t="s">
        <v>853</v>
      </c>
      <c r="O250" s="4" t="s">
        <v>196</v>
      </c>
      <c r="P250" s="4" t="s">
        <v>1039</v>
      </c>
      <c r="Q250" s="4" t="s">
        <v>100</v>
      </c>
      <c r="R250" s="9">
        <f t="shared" si="3"/>
        <v>8.0088485164450467E-4</v>
      </c>
    </row>
    <row r="251" spans="1:18" hidden="1" x14ac:dyDescent="0.2">
      <c r="A251" s="4">
        <v>524</v>
      </c>
      <c r="B251" s="2">
        <v>40086669</v>
      </c>
      <c r="C251" s="2">
        <v>97605.45</v>
      </c>
      <c r="D251" s="4" t="s">
        <v>685</v>
      </c>
      <c r="E251" s="2">
        <v>39989063.549999997</v>
      </c>
      <c r="F251" s="2">
        <v>7597922.0700000003</v>
      </c>
      <c r="G251" s="2">
        <v>877567.6</v>
      </c>
      <c r="H251" s="4">
        <v>0</v>
      </c>
      <c r="I251" s="4">
        <v>0</v>
      </c>
      <c r="J251" s="4">
        <v>877567.6</v>
      </c>
      <c r="K251" s="4">
        <v>46709418.020000003</v>
      </c>
      <c r="L251" s="4" t="s">
        <v>683</v>
      </c>
      <c r="M251" s="4" t="s">
        <v>684</v>
      </c>
      <c r="N251" s="4" t="s">
        <v>599</v>
      </c>
      <c r="O251" s="4" t="s">
        <v>559</v>
      </c>
      <c r="P251" s="4" t="s">
        <v>559</v>
      </c>
      <c r="Q251" s="4" t="s">
        <v>28</v>
      </c>
      <c r="R251" s="9">
        <f t="shared" si="3"/>
        <v>7.9657909143095586E-4</v>
      </c>
    </row>
    <row r="252" spans="1:18" hidden="1" x14ac:dyDescent="0.2">
      <c r="A252" s="4">
        <v>1373</v>
      </c>
      <c r="B252" s="2">
        <v>40120120</v>
      </c>
      <c r="C252" s="2">
        <v>148179.72</v>
      </c>
      <c r="D252" s="4" t="s">
        <v>859</v>
      </c>
      <c r="E252" s="2">
        <v>39971940.280000001</v>
      </c>
      <c r="F252" s="2">
        <v>7594668.6500000004</v>
      </c>
      <c r="G252" s="2">
        <v>978104.23</v>
      </c>
      <c r="H252" s="4">
        <v>0</v>
      </c>
      <c r="I252" s="4">
        <v>0</v>
      </c>
      <c r="J252" s="4">
        <v>978104.23</v>
      </c>
      <c r="K252" s="4">
        <v>46588504.700000003</v>
      </c>
      <c r="L252" s="4" t="s">
        <v>857</v>
      </c>
      <c r="M252" s="4" t="s">
        <v>858</v>
      </c>
      <c r="N252" s="4" t="s">
        <v>46</v>
      </c>
      <c r="O252" s="4" t="s">
        <v>27</v>
      </c>
      <c r="P252" s="4" t="s">
        <v>27</v>
      </c>
      <c r="Q252" s="4" t="s">
        <v>100</v>
      </c>
      <c r="R252" s="9">
        <f t="shared" si="3"/>
        <v>7.9623799720048277E-4</v>
      </c>
    </row>
    <row r="253" spans="1:18" x14ac:dyDescent="0.2">
      <c r="A253" s="4">
        <v>823</v>
      </c>
      <c r="B253" s="2">
        <v>39969424</v>
      </c>
      <c r="C253" s="2">
        <v>0</v>
      </c>
      <c r="D253" s="4" t="s">
        <v>374</v>
      </c>
      <c r="E253" s="2">
        <v>39969424</v>
      </c>
      <c r="F253" s="2">
        <v>7594190.5599999996</v>
      </c>
      <c r="G253" s="2">
        <v>993812.2</v>
      </c>
      <c r="H253" s="4">
        <v>1139128.5900000001</v>
      </c>
      <c r="I253" s="4">
        <v>0</v>
      </c>
      <c r="J253" s="4">
        <v>2132940.79</v>
      </c>
      <c r="K253" s="4">
        <v>45430673.770000003</v>
      </c>
      <c r="L253" s="4" t="s">
        <v>373</v>
      </c>
      <c r="M253" s="4" t="s">
        <v>81</v>
      </c>
      <c r="N253" s="4" t="s">
        <v>112</v>
      </c>
      <c r="O253" s="4" t="s">
        <v>113</v>
      </c>
      <c r="P253" s="4" t="s">
        <v>113</v>
      </c>
      <c r="Q253" s="4" t="s">
        <v>28</v>
      </c>
      <c r="R253" s="9">
        <f t="shared" si="3"/>
        <v>7.9618787309508382E-4</v>
      </c>
    </row>
    <row r="254" spans="1:18" hidden="1" x14ac:dyDescent="0.2">
      <c r="A254" s="4">
        <v>1291</v>
      </c>
      <c r="B254" s="2">
        <v>39953633</v>
      </c>
      <c r="C254" s="2">
        <v>212917.02</v>
      </c>
      <c r="D254" s="4" t="s">
        <v>1598</v>
      </c>
      <c r="E254" s="2">
        <v>39740715.979999997</v>
      </c>
      <c r="F254" s="2">
        <v>7550736.0300000003</v>
      </c>
      <c r="G254" s="2">
        <v>955144.52</v>
      </c>
      <c r="H254" s="4">
        <v>0</v>
      </c>
      <c r="I254" s="4">
        <v>0</v>
      </c>
      <c r="J254" s="4">
        <v>955144.52</v>
      </c>
      <c r="K254" s="4">
        <v>46336307.490000002</v>
      </c>
      <c r="L254" s="4" t="s">
        <v>1596</v>
      </c>
      <c r="M254" s="4" t="s">
        <v>1597</v>
      </c>
      <c r="N254" s="4" t="s">
        <v>20</v>
      </c>
      <c r="O254" s="4" t="s">
        <v>71</v>
      </c>
      <c r="P254" s="4" t="s">
        <v>71</v>
      </c>
      <c r="Q254" s="4" t="s">
        <v>100</v>
      </c>
      <c r="R254" s="9">
        <f t="shared" si="3"/>
        <v>7.9163202680609078E-4</v>
      </c>
    </row>
    <row r="255" spans="1:18" hidden="1" x14ac:dyDescent="0.2">
      <c r="A255" s="4">
        <v>1425</v>
      </c>
      <c r="B255" s="2">
        <v>39693173</v>
      </c>
      <c r="C255" s="2">
        <v>0</v>
      </c>
      <c r="D255" s="4" t="s">
        <v>764</v>
      </c>
      <c r="E255" s="2">
        <v>39693173</v>
      </c>
      <c r="F255" s="2">
        <v>7541702.8700000001</v>
      </c>
      <c r="G255" s="2">
        <v>884375.44</v>
      </c>
      <c r="H255" s="4">
        <v>0</v>
      </c>
      <c r="I255" s="4">
        <v>0</v>
      </c>
      <c r="J255" s="4">
        <v>884375.44</v>
      </c>
      <c r="K255" s="4">
        <v>46350500.43</v>
      </c>
      <c r="L255" s="4" t="s">
        <v>762</v>
      </c>
      <c r="M255" s="4" t="s">
        <v>763</v>
      </c>
      <c r="N255" s="4" t="s">
        <v>389</v>
      </c>
      <c r="O255" s="4" t="s">
        <v>42</v>
      </c>
      <c r="P255" s="4" t="s">
        <v>42</v>
      </c>
      <c r="Q255" s="4" t="s">
        <v>100</v>
      </c>
      <c r="R255" s="9">
        <f t="shared" si="3"/>
        <v>7.906849742759667E-4</v>
      </c>
    </row>
    <row r="256" spans="1:18" hidden="1" x14ac:dyDescent="0.2">
      <c r="A256" s="4">
        <v>555</v>
      </c>
      <c r="B256" s="2">
        <v>40347337</v>
      </c>
      <c r="C256" s="2">
        <v>778733.1</v>
      </c>
      <c r="D256" s="4" t="s">
        <v>1840</v>
      </c>
      <c r="E256" s="2">
        <v>39568603.899999999</v>
      </c>
      <c r="F256" s="2">
        <v>7518034.7400000002</v>
      </c>
      <c r="G256" s="2">
        <v>699328.97</v>
      </c>
      <c r="H256" s="4">
        <v>0</v>
      </c>
      <c r="I256" s="4">
        <v>0</v>
      </c>
      <c r="J256" s="4">
        <v>699328.97</v>
      </c>
      <c r="K256" s="4">
        <v>46387309.670000002</v>
      </c>
      <c r="L256" s="4" t="s">
        <v>1838</v>
      </c>
      <c r="M256" s="4" t="s">
        <v>1839</v>
      </c>
      <c r="N256" s="4" t="s">
        <v>20</v>
      </c>
      <c r="O256" s="4" t="s">
        <v>71</v>
      </c>
      <c r="P256" s="4" t="s">
        <v>71</v>
      </c>
      <c r="Q256" s="4" t="s">
        <v>100</v>
      </c>
      <c r="R256" s="9">
        <f t="shared" si="3"/>
        <v>7.8820356731892948E-4</v>
      </c>
    </row>
    <row r="257" spans="1:18" hidden="1" x14ac:dyDescent="0.2">
      <c r="A257" s="4">
        <v>1501</v>
      </c>
      <c r="B257" s="2">
        <v>39377354</v>
      </c>
      <c r="C257" s="2">
        <v>0</v>
      </c>
      <c r="D257" s="4" t="s">
        <v>906</v>
      </c>
      <c r="E257" s="2">
        <v>39377354</v>
      </c>
      <c r="F257" s="2">
        <v>7481697.2599999998</v>
      </c>
      <c r="G257" s="2">
        <v>959145.28</v>
      </c>
      <c r="H257" s="4">
        <v>0</v>
      </c>
      <c r="I257" s="4">
        <v>0</v>
      </c>
      <c r="J257" s="4">
        <v>959145.28</v>
      </c>
      <c r="K257" s="4">
        <v>45899905.979999997</v>
      </c>
      <c r="L257" s="4" t="s">
        <v>904</v>
      </c>
      <c r="M257" s="4" t="s">
        <v>905</v>
      </c>
      <c r="N257" s="4" t="s">
        <v>58</v>
      </c>
      <c r="O257" s="4" t="s">
        <v>59</v>
      </c>
      <c r="P257" s="4" t="s">
        <v>59</v>
      </c>
      <c r="Q257" s="4" t="s">
        <v>100</v>
      </c>
      <c r="R257" s="9">
        <f t="shared" si="3"/>
        <v>7.8439388391917265E-4</v>
      </c>
    </row>
    <row r="258" spans="1:18" hidden="1" x14ac:dyDescent="0.2">
      <c r="A258" s="4">
        <v>1366</v>
      </c>
      <c r="B258" s="2">
        <v>39270652</v>
      </c>
      <c r="C258" s="2">
        <v>0</v>
      </c>
      <c r="D258" s="4" t="s">
        <v>580</v>
      </c>
      <c r="E258" s="2">
        <v>39270652</v>
      </c>
      <c r="F258" s="2">
        <v>7461423.8799999999</v>
      </c>
      <c r="G258" s="2">
        <v>885722.37</v>
      </c>
      <c r="H258" s="4">
        <v>0</v>
      </c>
      <c r="I258" s="4">
        <v>0</v>
      </c>
      <c r="J258" s="4">
        <v>885722.37</v>
      </c>
      <c r="K258" s="4">
        <v>45846353.509999998</v>
      </c>
      <c r="L258" s="4" t="s">
        <v>578</v>
      </c>
      <c r="M258" s="4" t="s">
        <v>579</v>
      </c>
      <c r="N258" s="4" t="s">
        <v>581</v>
      </c>
      <c r="O258" s="4" t="s">
        <v>59</v>
      </c>
      <c r="P258" s="4" t="s">
        <v>59</v>
      </c>
      <c r="Q258" s="4" t="s">
        <v>100</v>
      </c>
      <c r="R258" s="9">
        <f t="shared" si="3"/>
        <v>7.8226838822939256E-4</v>
      </c>
    </row>
    <row r="259" spans="1:18" hidden="1" x14ac:dyDescent="0.2">
      <c r="A259" s="4">
        <v>1055</v>
      </c>
      <c r="B259" s="2">
        <v>39149062</v>
      </c>
      <c r="C259" s="2">
        <v>0</v>
      </c>
      <c r="D259" s="4" t="s">
        <v>1179</v>
      </c>
      <c r="E259" s="2">
        <v>39149062</v>
      </c>
      <c r="F259" s="2">
        <v>7438321.7800000003</v>
      </c>
      <c r="G259" s="2">
        <v>897173.29</v>
      </c>
      <c r="H259" s="4">
        <v>0</v>
      </c>
      <c r="I259" s="4">
        <v>0</v>
      </c>
      <c r="J259" s="4">
        <v>897173.29</v>
      </c>
      <c r="K259" s="4">
        <v>45690210.490000002</v>
      </c>
      <c r="L259" s="4" t="s">
        <v>1177</v>
      </c>
      <c r="M259" s="4" t="s">
        <v>1178</v>
      </c>
      <c r="N259" s="4" t="s">
        <v>200</v>
      </c>
      <c r="O259" s="4" t="s">
        <v>201</v>
      </c>
      <c r="P259" s="4" t="s">
        <v>201</v>
      </c>
      <c r="Q259" s="4" t="s">
        <v>28</v>
      </c>
      <c r="R259" s="9">
        <f t="shared" ref="R259:R322" si="4">E259/$E$2034</f>
        <v>7.7984632471680276E-4</v>
      </c>
    </row>
    <row r="260" spans="1:18" hidden="1" x14ac:dyDescent="0.2">
      <c r="A260" s="4">
        <v>1592</v>
      </c>
      <c r="B260" s="2">
        <v>39058428</v>
      </c>
      <c r="C260" s="2">
        <v>0</v>
      </c>
      <c r="D260" s="4" t="s">
        <v>943</v>
      </c>
      <c r="E260" s="2">
        <v>39058428</v>
      </c>
      <c r="F260" s="2">
        <v>7421101.3200000003</v>
      </c>
      <c r="G260" s="2">
        <v>727973.24</v>
      </c>
      <c r="H260" s="4">
        <v>0</v>
      </c>
      <c r="I260" s="4">
        <v>0</v>
      </c>
      <c r="J260" s="4">
        <v>727973.24</v>
      </c>
      <c r="K260" s="4">
        <v>45751556.079999998</v>
      </c>
      <c r="L260" s="4" t="s">
        <v>941</v>
      </c>
      <c r="M260" s="4" t="s">
        <v>942</v>
      </c>
      <c r="N260" s="4" t="s">
        <v>92</v>
      </c>
      <c r="O260" s="4" t="s">
        <v>93</v>
      </c>
      <c r="P260" s="4" t="s">
        <v>93</v>
      </c>
      <c r="Q260" s="4" t="s">
        <v>100</v>
      </c>
      <c r="R260" s="9">
        <f t="shared" si="4"/>
        <v>7.7804090235970044E-4</v>
      </c>
    </row>
    <row r="261" spans="1:18" hidden="1" x14ac:dyDescent="0.2">
      <c r="A261" s="4">
        <v>1081</v>
      </c>
      <c r="B261" s="2">
        <v>38908283</v>
      </c>
      <c r="C261" s="2">
        <v>24040.799999999999</v>
      </c>
      <c r="D261" s="4" t="s">
        <v>555</v>
      </c>
      <c r="E261" s="2">
        <v>38884242.200000003</v>
      </c>
      <c r="F261" s="2">
        <v>7388006.0199999996</v>
      </c>
      <c r="G261" s="2">
        <v>0</v>
      </c>
      <c r="H261" s="4">
        <v>0</v>
      </c>
      <c r="I261" s="4">
        <v>0</v>
      </c>
      <c r="J261" s="4">
        <v>0</v>
      </c>
      <c r="K261" s="4">
        <v>46272248.219999999</v>
      </c>
      <c r="L261" s="4" t="s">
        <v>553</v>
      </c>
      <c r="M261" s="4" t="s">
        <v>554</v>
      </c>
      <c r="N261" s="4" t="s">
        <v>20</v>
      </c>
      <c r="O261" s="4" t="s">
        <v>257</v>
      </c>
      <c r="P261" s="4" t="s">
        <v>257</v>
      </c>
      <c r="Q261" s="4" t="s">
        <v>100</v>
      </c>
      <c r="R261" s="9">
        <f t="shared" si="4"/>
        <v>7.7457113452853625E-4</v>
      </c>
    </row>
    <row r="262" spans="1:18" hidden="1" x14ac:dyDescent="0.2">
      <c r="A262" s="4">
        <v>641</v>
      </c>
      <c r="B262" s="2">
        <v>38980357</v>
      </c>
      <c r="C262" s="2">
        <v>246151.67999999999</v>
      </c>
      <c r="D262" s="4" t="s">
        <v>704</v>
      </c>
      <c r="E262" s="2">
        <v>38734205.32</v>
      </c>
      <c r="F262" s="2">
        <v>7359499.0099999998</v>
      </c>
      <c r="G262" s="2">
        <v>955313.54</v>
      </c>
      <c r="H262" s="4">
        <v>0</v>
      </c>
      <c r="I262" s="4">
        <v>0</v>
      </c>
      <c r="J262" s="4">
        <v>955313.54</v>
      </c>
      <c r="K262" s="4">
        <v>45138390.789999999</v>
      </c>
      <c r="L262" s="4" t="s">
        <v>702</v>
      </c>
      <c r="M262" s="4" t="s">
        <v>703</v>
      </c>
      <c r="N262" s="4" t="s">
        <v>705</v>
      </c>
      <c r="O262" s="4" t="s">
        <v>59</v>
      </c>
      <c r="P262" s="4" t="s">
        <v>59</v>
      </c>
      <c r="Q262" s="4" t="s">
        <v>100</v>
      </c>
      <c r="R262" s="9">
        <f t="shared" si="4"/>
        <v>7.7158241133920471E-4</v>
      </c>
    </row>
    <row r="263" spans="1:18" hidden="1" x14ac:dyDescent="0.2">
      <c r="A263" s="4">
        <v>1270</v>
      </c>
      <c r="B263" s="2">
        <v>38641396</v>
      </c>
      <c r="C263" s="2">
        <v>0</v>
      </c>
      <c r="D263" s="4" t="s">
        <v>668</v>
      </c>
      <c r="E263" s="2">
        <v>38641396</v>
      </c>
      <c r="F263" s="2">
        <v>7341865.2400000002</v>
      </c>
      <c r="G263" s="2">
        <v>900172.59</v>
      </c>
      <c r="H263" s="4">
        <v>0</v>
      </c>
      <c r="I263" s="4">
        <v>0</v>
      </c>
      <c r="J263" s="4">
        <v>900172.59</v>
      </c>
      <c r="K263" s="4">
        <v>45083088.649999999</v>
      </c>
      <c r="L263" s="4" t="s">
        <v>666</v>
      </c>
      <c r="M263" s="4" t="s">
        <v>667</v>
      </c>
      <c r="N263" s="4" t="s">
        <v>233</v>
      </c>
      <c r="O263" s="4" t="s">
        <v>229</v>
      </c>
      <c r="P263" s="4" t="s">
        <v>229</v>
      </c>
      <c r="Q263" s="4" t="s">
        <v>100</v>
      </c>
      <c r="R263" s="9">
        <f t="shared" si="4"/>
        <v>7.6973365677385989E-4</v>
      </c>
    </row>
    <row r="264" spans="1:18" x14ac:dyDescent="0.2">
      <c r="A264" s="4">
        <v>810</v>
      </c>
      <c r="B264" s="2">
        <v>38896453</v>
      </c>
      <c r="C264" s="2">
        <v>289076.96999999997</v>
      </c>
      <c r="D264" s="4" t="s">
        <v>1196</v>
      </c>
      <c r="E264" s="2">
        <v>38607376.030000001</v>
      </c>
      <c r="F264" s="2">
        <v>7335401.4500000002</v>
      </c>
      <c r="G264" s="2">
        <v>941248.81</v>
      </c>
      <c r="H264" s="4">
        <v>1100310.21</v>
      </c>
      <c r="I264" s="4">
        <v>0</v>
      </c>
      <c r="J264" s="4">
        <v>2041559.02</v>
      </c>
      <c r="K264" s="4">
        <v>43901218.460000001</v>
      </c>
      <c r="L264" s="4" t="s">
        <v>1195</v>
      </c>
      <c r="M264" s="4" t="s">
        <v>81</v>
      </c>
      <c r="N264" s="4" t="s">
        <v>212</v>
      </c>
      <c r="O264" s="4" t="s">
        <v>33</v>
      </c>
      <c r="P264" s="4" t="s">
        <v>33</v>
      </c>
      <c r="Q264" s="4" t="s">
        <v>28</v>
      </c>
      <c r="R264" s="9">
        <f t="shared" si="4"/>
        <v>7.6905598157000761E-4</v>
      </c>
    </row>
    <row r="265" spans="1:18" hidden="1" x14ac:dyDescent="0.2">
      <c r="A265" s="4">
        <v>2008</v>
      </c>
      <c r="B265" s="2">
        <v>38188803</v>
      </c>
      <c r="C265" s="2">
        <v>0</v>
      </c>
      <c r="D265" s="4" t="s">
        <v>935</v>
      </c>
      <c r="E265" s="2">
        <v>38188803</v>
      </c>
      <c r="F265" s="2">
        <v>7255872.5700000003</v>
      </c>
      <c r="G265" s="2">
        <v>0</v>
      </c>
      <c r="H265" s="4">
        <v>0</v>
      </c>
      <c r="I265" s="4">
        <v>0</v>
      </c>
      <c r="J265" s="4">
        <v>0</v>
      </c>
      <c r="K265" s="4">
        <v>45444675.57</v>
      </c>
      <c r="L265" s="4" t="s">
        <v>933</v>
      </c>
      <c r="M265" s="4" t="s">
        <v>934</v>
      </c>
      <c r="N265" s="4" t="s">
        <v>20</v>
      </c>
      <c r="O265" s="4" t="s">
        <v>316</v>
      </c>
      <c r="P265" s="4" t="s">
        <v>316</v>
      </c>
      <c r="Q265" s="4" t="s">
        <v>100</v>
      </c>
      <c r="R265" s="9">
        <f t="shared" si="4"/>
        <v>7.6071803878427556E-4</v>
      </c>
    </row>
    <row r="266" spans="1:18" hidden="1" x14ac:dyDescent="0.2">
      <c r="A266" s="4">
        <v>1011</v>
      </c>
      <c r="B266" s="2">
        <v>38123788</v>
      </c>
      <c r="C266" s="2">
        <v>0</v>
      </c>
      <c r="D266" s="4" t="s">
        <v>1018</v>
      </c>
      <c r="E266" s="2">
        <v>38123788</v>
      </c>
      <c r="F266" s="2">
        <v>7243519.7199999997</v>
      </c>
      <c r="G266" s="2">
        <v>852275.94</v>
      </c>
      <c r="H266" s="4">
        <v>0</v>
      </c>
      <c r="I266" s="4">
        <v>0</v>
      </c>
      <c r="J266" s="4">
        <v>852275.94</v>
      </c>
      <c r="K266" s="4">
        <v>44515031.780000001</v>
      </c>
      <c r="L266" s="4" t="s">
        <v>1016</v>
      </c>
      <c r="M266" s="4" t="s">
        <v>1017</v>
      </c>
      <c r="N266" s="4" t="s">
        <v>522</v>
      </c>
      <c r="O266" s="4" t="s">
        <v>105</v>
      </c>
      <c r="P266" s="4" t="s">
        <v>105</v>
      </c>
      <c r="Q266" s="4" t="s">
        <v>100</v>
      </c>
      <c r="R266" s="9">
        <f t="shared" si="4"/>
        <v>7.5942294495031704E-4</v>
      </c>
    </row>
    <row r="267" spans="1:18" hidden="1" x14ac:dyDescent="0.2">
      <c r="A267" s="4">
        <v>303</v>
      </c>
      <c r="B267" s="2">
        <v>37900900</v>
      </c>
      <c r="C267" s="2">
        <v>34436.699999999997</v>
      </c>
      <c r="D267" s="4" t="s">
        <v>711</v>
      </c>
      <c r="E267" s="2">
        <v>37866463.299999997</v>
      </c>
      <c r="F267" s="2">
        <v>7194628.0300000003</v>
      </c>
      <c r="G267" s="2">
        <v>573755.43999999994</v>
      </c>
      <c r="H267" s="4">
        <v>0</v>
      </c>
      <c r="I267" s="4">
        <v>137701.29999999999</v>
      </c>
      <c r="J267" s="4">
        <v>711456.74</v>
      </c>
      <c r="K267" s="4">
        <v>44349634.590000004</v>
      </c>
      <c r="L267" s="4" t="s">
        <v>709</v>
      </c>
      <c r="M267" s="4" t="s">
        <v>710</v>
      </c>
      <c r="N267" s="4" t="s">
        <v>368</v>
      </c>
      <c r="O267" s="4" t="s">
        <v>89</v>
      </c>
      <c r="P267" s="4" t="s">
        <v>89</v>
      </c>
      <c r="Q267" s="4" t="s">
        <v>100</v>
      </c>
      <c r="R267" s="9">
        <f t="shared" si="4"/>
        <v>7.5429705658155207E-4</v>
      </c>
    </row>
    <row r="268" spans="1:18" hidden="1" x14ac:dyDescent="0.2">
      <c r="A268" s="4">
        <v>1044</v>
      </c>
      <c r="B268" s="2">
        <v>37405731</v>
      </c>
      <c r="C268" s="2">
        <v>0</v>
      </c>
      <c r="D268" s="4" t="s">
        <v>5371</v>
      </c>
      <c r="E268" s="2">
        <v>37405731</v>
      </c>
      <c r="F268" s="2">
        <v>7107088.8899999997</v>
      </c>
      <c r="G268" s="2">
        <v>255039.08</v>
      </c>
      <c r="H268" s="4">
        <v>0</v>
      </c>
      <c r="I268" s="4">
        <v>0</v>
      </c>
      <c r="J268" s="4">
        <v>255039.08</v>
      </c>
      <c r="K268" s="4">
        <v>44257780.810000002</v>
      </c>
      <c r="L268" s="4" t="s">
        <v>5369</v>
      </c>
      <c r="M268" s="4" t="s">
        <v>5370</v>
      </c>
      <c r="N268" s="4" t="s">
        <v>142</v>
      </c>
      <c r="O268" s="4" t="s">
        <v>900</v>
      </c>
      <c r="P268" s="4" t="s">
        <v>900</v>
      </c>
      <c r="Q268" s="4" t="s">
        <v>1378</v>
      </c>
      <c r="R268" s="9">
        <f t="shared" si="4"/>
        <v>7.4511930435767202E-4</v>
      </c>
    </row>
    <row r="269" spans="1:18" hidden="1" x14ac:dyDescent="0.2">
      <c r="A269" s="4">
        <v>1335</v>
      </c>
      <c r="B269" s="2">
        <v>37324055.689999998</v>
      </c>
      <c r="C269" s="2">
        <v>40120.19</v>
      </c>
      <c r="D269" s="4" t="s">
        <v>731</v>
      </c>
      <c r="E269" s="2">
        <v>37283935.5</v>
      </c>
      <c r="F269" s="2">
        <v>7083947.75</v>
      </c>
      <c r="G269" s="2">
        <v>0</v>
      </c>
      <c r="H269" s="4">
        <v>0</v>
      </c>
      <c r="I269" s="4">
        <v>0</v>
      </c>
      <c r="J269" s="4">
        <v>0</v>
      </c>
      <c r="K269" s="4">
        <v>44367883.25</v>
      </c>
      <c r="L269" s="4" t="s">
        <v>729</v>
      </c>
      <c r="M269" s="4" t="s">
        <v>730</v>
      </c>
      <c r="N269" s="4" t="s">
        <v>482</v>
      </c>
      <c r="O269" s="4" t="s">
        <v>89</v>
      </c>
      <c r="P269" s="4" t="s">
        <v>89</v>
      </c>
      <c r="Q269" s="4" t="s">
        <v>100</v>
      </c>
      <c r="R269" s="9">
        <f t="shared" si="4"/>
        <v>7.42693147300779E-4</v>
      </c>
    </row>
    <row r="270" spans="1:18" hidden="1" x14ac:dyDescent="0.2">
      <c r="A270" s="4">
        <v>1288</v>
      </c>
      <c r="B270" s="2">
        <v>37353569</v>
      </c>
      <c r="C270" s="2">
        <v>198824.52</v>
      </c>
      <c r="D270" s="4" t="s">
        <v>1276</v>
      </c>
      <c r="E270" s="2">
        <v>37154744.479999997</v>
      </c>
      <c r="F270" s="2">
        <v>7059401.4500000002</v>
      </c>
      <c r="G270" s="2">
        <v>928868.62</v>
      </c>
      <c r="H270" s="4">
        <v>0</v>
      </c>
      <c r="I270" s="4">
        <v>0</v>
      </c>
      <c r="J270" s="4">
        <v>928868.62</v>
      </c>
      <c r="K270" s="4">
        <v>43285277.310000002</v>
      </c>
      <c r="L270" s="4" t="s">
        <v>1274</v>
      </c>
      <c r="M270" s="4" t="s">
        <v>1275</v>
      </c>
      <c r="N270" s="4" t="s">
        <v>302</v>
      </c>
      <c r="O270" s="4" t="s">
        <v>1277</v>
      </c>
      <c r="P270" s="4" t="s">
        <v>1277</v>
      </c>
      <c r="Q270" s="4" t="s">
        <v>28</v>
      </c>
      <c r="R270" s="9">
        <f t="shared" si="4"/>
        <v>7.4011967205037793E-4</v>
      </c>
    </row>
    <row r="271" spans="1:18" hidden="1" x14ac:dyDescent="0.2">
      <c r="A271" s="4">
        <v>32</v>
      </c>
      <c r="B271" s="2">
        <v>37005452</v>
      </c>
      <c r="C271" s="2">
        <v>146349.35999999999</v>
      </c>
      <c r="D271" s="4" t="s">
        <v>1824</v>
      </c>
      <c r="E271" s="2">
        <v>36859102.640000001</v>
      </c>
      <c r="F271" s="2">
        <v>7003229.5</v>
      </c>
      <c r="G271" s="2">
        <v>825080.03</v>
      </c>
      <c r="H271" s="4">
        <v>940591.22</v>
      </c>
      <c r="I271" s="4">
        <v>0</v>
      </c>
      <c r="J271" s="4">
        <v>1765671.25</v>
      </c>
      <c r="K271" s="4">
        <v>42096660.890000001</v>
      </c>
      <c r="L271" s="4" t="s">
        <v>1823</v>
      </c>
      <c r="M271" s="4" t="s">
        <v>146</v>
      </c>
      <c r="N271" s="4" t="s">
        <v>32</v>
      </c>
      <c r="O271" s="4" t="s">
        <v>33</v>
      </c>
      <c r="P271" s="4" t="s">
        <v>33</v>
      </c>
      <c r="Q271" s="4" t="s">
        <v>28</v>
      </c>
      <c r="R271" s="9">
        <f t="shared" si="4"/>
        <v>7.3423050917959161E-4</v>
      </c>
    </row>
    <row r="272" spans="1:18" hidden="1" x14ac:dyDescent="0.2">
      <c r="A272" s="4">
        <v>652</v>
      </c>
      <c r="B272" s="2">
        <v>36692880</v>
      </c>
      <c r="C272" s="2">
        <v>48118.32</v>
      </c>
      <c r="D272" s="4" t="s">
        <v>924</v>
      </c>
      <c r="E272" s="2">
        <v>36644761.68</v>
      </c>
      <c r="F272" s="2">
        <v>6962504.7199999997</v>
      </c>
      <c r="G272" s="2">
        <v>394383.19</v>
      </c>
      <c r="H272" s="4">
        <v>0</v>
      </c>
      <c r="I272" s="4">
        <v>0</v>
      </c>
      <c r="J272" s="4">
        <v>394383.19</v>
      </c>
      <c r="K272" s="4">
        <v>43212883.210000001</v>
      </c>
      <c r="L272" s="4" t="s">
        <v>922</v>
      </c>
      <c r="M272" s="4" t="s">
        <v>923</v>
      </c>
      <c r="N272" s="4" t="s">
        <v>20</v>
      </c>
      <c r="O272" s="4" t="s">
        <v>925</v>
      </c>
      <c r="P272" s="4" t="s">
        <v>925</v>
      </c>
      <c r="Q272" s="4" t="s">
        <v>100</v>
      </c>
      <c r="R272" s="9">
        <f t="shared" si="4"/>
        <v>7.2996085362839929E-4</v>
      </c>
    </row>
    <row r="273" spans="1:18" hidden="1" x14ac:dyDescent="0.2">
      <c r="A273" s="4">
        <v>1058</v>
      </c>
      <c r="B273" s="2">
        <v>36734961</v>
      </c>
      <c r="C273" s="2">
        <v>116058.96</v>
      </c>
      <c r="D273" s="4" t="s">
        <v>1513</v>
      </c>
      <c r="E273" s="2">
        <v>36618902.039999999</v>
      </c>
      <c r="F273" s="2">
        <v>6957591.3899999997</v>
      </c>
      <c r="G273" s="2">
        <v>854971.76</v>
      </c>
      <c r="H273" s="4">
        <v>0</v>
      </c>
      <c r="I273" s="4">
        <v>0</v>
      </c>
      <c r="J273" s="4">
        <v>854971.76</v>
      </c>
      <c r="K273" s="4">
        <v>42721521.670000002</v>
      </c>
      <c r="L273" s="4" t="s">
        <v>1511</v>
      </c>
      <c r="M273" s="4" t="s">
        <v>1512</v>
      </c>
      <c r="N273" s="4" t="s">
        <v>20</v>
      </c>
      <c r="O273" s="4" t="s">
        <v>386</v>
      </c>
      <c r="P273" s="4" t="s">
        <v>386</v>
      </c>
      <c r="Q273" s="4" t="s">
        <v>1378</v>
      </c>
      <c r="R273" s="9">
        <f t="shared" si="4"/>
        <v>7.2944573157483642E-4</v>
      </c>
    </row>
    <row r="274" spans="1:18" hidden="1" x14ac:dyDescent="0.2">
      <c r="A274" s="4">
        <v>1795</v>
      </c>
      <c r="B274" s="2">
        <v>36535801.390000001</v>
      </c>
      <c r="C274" s="2">
        <v>0</v>
      </c>
      <c r="D274" s="4" t="s">
        <v>1068</v>
      </c>
      <c r="E274" s="2">
        <v>36535801.390000001</v>
      </c>
      <c r="F274" s="2">
        <v>6941802.2599999998</v>
      </c>
      <c r="G274" s="2">
        <v>0</v>
      </c>
      <c r="H274" s="4">
        <v>0</v>
      </c>
      <c r="I274" s="4">
        <v>0</v>
      </c>
      <c r="J274" s="4">
        <v>0</v>
      </c>
      <c r="K274" s="4">
        <v>43477603.649999999</v>
      </c>
      <c r="L274" s="4" t="s">
        <v>1066</v>
      </c>
      <c r="M274" s="4" t="s">
        <v>1067</v>
      </c>
      <c r="N274" s="4" t="s">
        <v>195</v>
      </c>
      <c r="O274" s="4" t="s">
        <v>196</v>
      </c>
      <c r="P274" s="4" t="s">
        <v>196</v>
      </c>
      <c r="Q274" s="4" t="s">
        <v>100</v>
      </c>
      <c r="R274" s="9">
        <f t="shared" si="4"/>
        <v>7.2779037297431427E-4</v>
      </c>
    </row>
    <row r="275" spans="1:18" hidden="1" x14ac:dyDescent="0.2">
      <c r="A275" s="4">
        <v>887</v>
      </c>
      <c r="B275" s="2">
        <v>36519072</v>
      </c>
      <c r="C275" s="2">
        <v>0</v>
      </c>
      <c r="D275" s="4" t="s">
        <v>1720</v>
      </c>
      <c r="E275" s="2">
        <v>36519072</v>
      </c>
      <c r="F275" s="2">
        <v>6938623.6799999997</v>
      </c>
      <c r="G275" s="2">
        <v>761044.92</v>
      </c>
      <c r="H275" s="4">
        <v>0</v>
      </c>
      <c r="I275" s="4">
        <v>0</v>
      </c>
      <c r="J275" s="4">
        <v>761044.92</v>
      </c>
      <c r="K275" s="4">
        <v>42696650.759999998</v>
      </c>
      <c r="L275" s="4" t="s">
        <v>1718</v>
      </c>
      <c r="M275" s="4" t="s">
        <v>1719</v>
      </c>
      <c r="N275" s="4" t="s">
        <v>1721</v>
      </c>
      <c r="O275" s="4" t="s">
        <v>105</v>
      </c>
      <c r="P275" s="4" t="s">
        <v>105</v>
      </c>
      <c r="Q275" s="4" t="s">
        <v>28</v>
      </c>
      <c r="R275" s="9">
        <f t="shared" si="4"/>
        <v>7.2745712480335541E-4</v>
      </c>
    </row>
    <row r="276" spans="1:18" hidden="1" x14ac:dyDescent="0.2">
      <c r="A276" s="4">
        <v>723</v>
      </c>
      <c r="B276" s="2">
        <v>36212977</v>
      </c>
      <c r="C276" s="2">
        <v>0</v>
      </c>
      <c r="D276" s="4" t="s">
        <v>622</v>
      </c>
      <c r="E276" s="2">
        <v>36212977</v>
      </c>
      <c r="F276" s="2">
        <v>6880465.6299999999</v>
      </c>
      <c r="G276" s="2">
        <v>905324.43</v>
      </c>
      <c r="H276" s="4">
        <v>0</v>
      </c>
      <c r="I276" s="4">
        <v>0</v>
      </c>
      <c r="J276" s="4">
        <v>905324.43</v>
      </c>
      <c r="K276" s="4">
        <v>42188118.200000003</v>
      </c>
      <c r="L276" s="4" t="s">
        <v>620</v>
      </c>
      <c r="M276" s="4" t="s">
        <v>621</v>
      </c>
      <c r="N276" s="4" t="s">
        <v>623</v>
      </c>
      <c r="O276" s="4" t="s">
        <v>173</v>
      </c>
      <c r="P276" s="4" t="s">
        <v>173</v>
      </c>
      <c r="Q276" s="4" t="s">
        <v>100</v>
      </c>
      <c r="R276" s="9">
        <f t="shared" si="4"/>
        <v>7.2135973578381287E-4</v>
      </c>
    </row>
    <row r="277" spans="1:18" hidden="1" x14ac:dyDescent="0.2">
      <c r="A277" s="4">
        <v>1453</v>
      </c>
      <c r="B277" s="2">
        <v>35556508</v>
      </c>
      <c r="C277" s="2">
        <v>0</v>
      </c>
      <c r="D277" s="4" t="s">
        <v>99</v>
      </c>
      <c r="E277" s="2">
        <v>35556508</v>
      </c>
      <c r="F277" s="2">
        <v>6755736.5199999996</v>
      </c>
      <c r="G277" s="2">
        <v>888912.7</v>
      </c>
      <c r="H277" s="4">
        <v>1013360.48</v>
      </c>
      <c r="I277" s="4">
        <v>0</v>
      </c>
      <c r="J277" s="4">
        <v>1902273.18</v>
      </c>
      <c r="K277" s="4">
        <v>40409971.340000004</v>
      </c>
      <c r="L277" s="4" t="s">
        <v>97</v>
      </c>
      <c r="M277" s="4" t="s">
        <v>98</v>
      </c>
      <c r="N277" s="4" t="s">
        <v>20</v>
      </c>
      <c r="O277" s="4" t="s">
        <v>76</v>
      </c>
      <c r="P277" s="4" t="s">
        <v>76</v>
      </c>
      <c r="Q277" s="4" t="s">
        <v>100</v>
      </c>
      <c r="R277" s="9">
        <f t="shared" si="4"/>
        <v>7.0828292344689108E-4</v>
      </c>
    </row>
    <row r="278" spans="1:18" hidden="1" x14ac:dyDescent="0.2">
      <c r="A278" s="4">
        <v>265</v>
      </c>
      <c r="B278" s="2">
        <v>35538456</v>
      </c>
      <c r="C278" s="2">
        <v>0</v>
      </c>
      <c r="D278" s="4" t="s">
        <v>1042</v>
      </c>
      <c r="E278" s="2">
        <v>35538456</v>
      </c>
      <c r="F278" s="2">
        <v>6752306.6399999997</v>
      </c>
      <c r="G278" s="2">
        <v>0</v>
      </c>
      <c r="H278" s="4">
        <v>0</v>
      </c>
      <c r="I278" s="4">
        <v>0</v>
      </c>
      <c r="J278" s="4">
        <v>0</v>
      </c>
      <c r="K278" s="4">
        <v>42290762.640000001</v>
      </c>
      <c r="L278" s="4" t="s">
        <v>1040</v>
      </c>
      <c r="M278" s="4" t="s">
        <v>1041</v>
      </c>
      <c r="N278" s="4" t="s">
        <v>20</v>
      </c>
      <c r="O278" s="4" t="s">
        <v>1043</v>
      </c>
      <c r="P278" s="4" t="s">
        <v>1043</v>
      </c>
      <c r="Q278" s="4" t="s">
        <v>100</v>
      </c>
      <c r="R278" s="9">
        <f t="shared" si="4"/>
        <v>7.0792332898575721E-4</v>
      </c>
    </row>
    <row r="279" spans="1:18" hidden="1" x14ac:dyDescent="0.2">
      <c r="A279" s="4">
        <v>1539</v>
      </c>
      <c r="B279" s="2">
        <v>35287636</v>
      </c>
      <c r="C279" s="2">
        <v>0</v>
      </c>
      <c r="D279" s="4" t="s">
        <v>1065</v>
      </c>
      <c r="E279" s="2">
        <v>35287636</v>
      </c>
      <c r="F279" s="2">
        <v>6704650.8399999999</v>
      </c>
      <c r="G279" s="2">
        <v>0</v>
      </c>
      <c r="H279" s="4">
        <v>0</v>
      </c>
      <c r="I279" s="4">
        <v>0</v>
      </c>
      <c r="J279" s="4">
        <v>0</v>
      </c>
      <c r="K279" s="4">
        <v>41992286.840000004</v>
      </c>
      <c r="L279" s="4" t="s">
        <v>1063</v>
      </c>
      <c r="M279" s="4" t="s">
        <v>1064</v>
      </c>
      <c r="N279" s="4" t="s">
        <v>104</v>
      </c>
      <c r="O279" s="4" t="s">
        <v>105</v>
      </c>
      <c r="P279" s="4" t="s">
        <v>105</v>
      </c>
      <c r="Q279" s="4" t="s">
        <v>100</v>
      </c>
      <c r="R279" s="9">
        <f t="shared" si="4"/>
        <v>7.0292701374414384E-4</v>
      </c>
    </row>
    <row r="280" spans="1:18" hidden="1" x14ac:dyDescent="0.2">
      <c r="A280" s="4">
        <v>959</v>
      </c>
      <c r="B280" s="2">
        <v>35272142</v>
      </c>
      <c r="C280" s="2">
        <v>0</v>
      </c>
      <c r="D280" s="4" t="s">
        <v>1594</v>
      </c>
      <c r="E280" s="2">
        <v>35272142</v>
      </c>
      <c r="F280" s="2">
        <v>6701706.9800000004</v>
      </c>
      <c r="G280" s="2">
        <v>582891.38</v>
      </c>
      <c r="H280" s="4">
        <v>0</v>
      </c>
      <c r="I280" s="4">
        <v>0</v>
      </c>
      <c r="J280" s="4">
        <v>582891.38</v>
      </c>
      <c r="K280" s="4">
        <v>41390957.600000001</v>
      </c>
      <c r="L280" s="4" t="s">
        <v>1592</v>
      </c>
      <c r="M280" s="4" t="s">
        <v>1593</v>
      </c>
      <c r="N280" s="4" t="s">
        <v>1595</v>
      </c>
      <c r="O280" s="4" t="s">
        <v>105</v>
      </c>
      <c r="P280" s="4" t="s">
        <v>105</v>
      </c>
      <c r="Q280" s="4" t="s">
        <v>28</v>
      </c>
      <c r="R280" s="9">
        <f t="shared" si="4"/>
        <v>7.0261837444762212E-4</v>
      </c>
    </row>
    <row r="281" spans="1:18" hidden="1" x14ac:dyDescent="0.2">
      <c r="A281" s="4">
        <v>111</v>
      </c>
      <c r="B281" s="2">
        <v>35078935</v>
      </c>
      <c r="C281" s="2">
        <v>0</v>
      </c>
      <c r="D281" s="4" t="s">
        <v>1199</v>
      </c>
      <c r="E281" s="2">
        <v>35078935</v>
      </c>
      <c r="F281" s="2">
        <v>6664997.6500000004</v>
      </c>
      <c r="G281" s="2">
        <v>0</v>
      </c>
      <c r="H281" s="4">
        <v>0</v>
      </c>
      <c r="I281" s="4">
        <v>0</v>
      </c>
      <c r="J281" s="4">
        <v>0</v>
      </c>
      <c r="K281" s="4">
        <v>41743932.649999999</v>
      </c>
      <c r="L281" s="4" t="s">
        <v>1197</v>
      </c>
      <c r="M281" s="4" t="s">
        <v>1198</v>
      </c>
      <c r="N281" s="4" t="s">
        <v>468</v>
      </c>
      <c r="O281" s="4" t="s">
        <v>105</v>
      </c>
      <c r="P281" s="4" t="s">
        <v>105</v>
      </c>
      <c r="Q281" s="4" t="s">
        <v>100</v>
      </c>
      <c r="R281" s="9">
        <f t="shared" si="4"/>
        <v>6.9876970576535438E-4</v>
      </c>
    </row>
    <row r="282" spans="1:18" hidden="1" x14ac:dyDescent="0.2">
      <c r="A282" s="4">
        <v>1684</v>
      </c>
      <c r="B282" s="2">
        <v>35224268</v>
      </c>
      <c r="C282" s="2">
        <v>209188.35</v>
      </c>
      <c r="D282" s="4" t="s">
        <v>846</v>
      </c>
      <c r="E282" s="2">
        <v>35015079.649999999</v>
      </c>
      <c r="F282" s="2">
        <v>6652865.1299999999</v>
      </c>
      <c r="G282" s="2">
        <v>0</v>
      </c>
      <c r="H282" s="4">
        <v>0</v>
      </c>
      <c r="I282" s="4">
        <v>0</v>
      </c>
      <c r="J282" s="4">
        <v>0</v>
      </c>
      <c r="K282" s="4">
        <v>41667944.780000001</v>
      </c>
      <c r="L282" s="4" t="s">
        <v>844</v>
      </c>
      <c r="M282" s="4" t="s">
        <v>845</v>
      </c>
      <c r="N282" s="4" t="s">
        <v>627</v>
      </c>
      <c r="O282" s="4" t="s">
        <v>27</v>
      </c>
      <c r="P282" s="4" t="s">
        <v>27</v>
      </c>
      <c r="Q282" s="4" t="s">
        <v>100</v>
      </c>
      <c r="R282" s="9">
        <f t="shared" si="4"/>
        <v>6.9749771207081816E-4</v>
      </c>
    </row>
    <row r="283" spans="1:18" hidden="1" x14ac:dyDescent="0.2">
      <c r="A283" s="4">
        <v>463</v>
      </c>
      <c r="B283" s="2">
        <v>34960963</v>
      </c>
      <c r="C283" s="2">
        <v>0</v>
      </c>
      <c r="D283" s="4" t="s">
        <v>1010</v>
      </c>
      <c r="E283" s="2">
        <v>34960963</v>
      </c>
      <c r="F283" s="2">
        <v>6642582.9699999997</v>
      </c>
      <c r="G283" s="2">
        <v>459274.37</v>
      </c>
      <c r="H283" s="4">
        <v>0</v>
      </c>
      <c r="I283" s="4">
        <v>0</v>
      </c>
      <c r="J283" s="4">
        <v>459274.37</v>
      </c>
      <c r="K283" s="4">
        <v>41144271.600000001</v>
      </c>
      <c r="L283" s="4" t="s">
        <v>1008</v>
      </c>
      <c r="M283" s="4" t="s">
        <v>1009</v>
      </c>
      <c r="N283" s="4" t="s">
        <v>20</v>
      </c>
      <c r="O283" s="4" t="s">
        <v>1011</v>
      </c>
      <c r="P283" s="4" t="s">
        <v>1011</v>
      </c>
      <c r="Q283" s="4" t="s">
        <v>100</v>
      </c>
      <c r="R283" s="9">
        <f t="shared" si="4"/>
        <v>6.9641971253641083E-4</v>
      </c>
    </row>
    <row r="284" spans="1:18" hidden="1" x14ac:dyDescent="0.2">
      <c r="A284" s="4">
        <v>183</v>
      </c>
      <c r="B284" s="2">
        <v>35539057</v>
      </c>
      <c r="C284" s="2">
        <v>794996.82</v>
      </c>
      <c r="D284" s="4" t="s">
        <v>1981</v>
      </c>
      <c r="E284" s="2">
        <v>34744060.18</v>
      </c>
      <c r="F284" s="2">
        <v>6601371.4299999997</v>
      </c>
      <c r="G284" s="2">
        <v>868601.51</v>
      </c>
      <c r="H284" s="4">
        <v>0</v>
      </c>
      <c r="I284" s="4">
        <v>0</v>
      </c>
      <c r="J284" s="4">
        <v>868601.51</v>
      </c>
      <c r="K284" s="4">
        <v>40476830.100000001</v>
      </c>
      <c r="L284" s="4" t="s">
        <v>1979</v>
      </c>
      <c r="M284" s="4" t="s">
        <v>1980</v>
      </c>
      <c r="N284" s="4" t="s">
        <v>20</v>
      </c>
      <c r="O284" s="4" t="s">
        <v>71</v>
      </c>
      <c r="P284" s="4" t="s">
        <v>71</v>
      </c>
      <c r="Q284" s="4" t="s">
        <v>100</v>
      </c>
      <c r="R284" s="9">
        <f t="shared" si="4"/>
        <v>6.9209902492970115E-4</v>
      </c>
    </row>
    <row r="285" spans="1:18" hidden="1" x14ac:dyDescent="0.2">
      <c r="A285" s="4">
        <v>78</v>
      </c>
      <c r="B285" s="2">
        <v>34648339</v>
      </c>
      <c r="C285" s="2">
        <v>0</v>
      </c>
      <c r="D285" s="4" t="s">
        <v>884</v>
      </c>
      <c r="E285" s="2">
        <v>34648339</v>
      </c>
      <c r="F285" s="2">
        <v>6583184.4100000001</v>
      </c>
      <c r="G285" s="2">
        <v>866208.48</v>
      </c>
      <c r="H285" s="4">
        <v>0</v>
      </c>
      <c r="I285" s="4">
        <v>0</v>
      </c>
      <c r="J285" s="4">
        <v>866208.48</v>
      </c>
      <c r="K285" s="4">
        <v>40365314.93</v>
      </c>
      <c r="L285" s="4" t="s">
        <v>882</v>
      </c>
      <c r="M285" s="4" t="s">
        <v>883</v>
      </c>
      <c r="N285" s="4" t="s">
        <v>172</v>
      </c>
      <c r="O285" s="4" t="s">
        <v>173</v>
      </c>
      <c r="P285" s="4" t="s">
        <v>173</v>
      </c>
      <c r="Q285" s="4" t="s">
        <v>100</v>
      </c>
      <c r="R285" s="9">
        <f t="shared" si="4"/>
        <v>6.9019226633557302E-4</v>
      </c>
    </row>
    <row r="286" spans="1:18" hidden="1" x14ac:dyDescent="0.2">
      <c r="A286" s="4">
        <v>1168</v>
      </c>
      <c r="B286" s="2">
        <v>34857362</v>
      </c>
      <c r="C286" s="2">
        <v>224577.39</v>
      </c>
      <c r="D286" s="4" t="s">
        <v>932</v>
      </c>
      <c r="E286" s="2">
        <v>34632784.609999999</v>
      </c>
      <c r="F286" s="2">
        <v>6580229.0800000001</v>
      </c>
      <c r="G286" s="2">
        <v>616562.68999999994</v>
      </c>
      <c r="H286" s="4">
        <v>702881.48</v>
      </c>
      <c r="I286" s="4">
        <v>147975.04999999999</v>
      </c>
      <c r="J286" s="4">
        <v>1467419.22</v>
      </c>
      <c r="K286" s="4">
        <v>39745594.469999999</v>
      </c>
      <c r="L286" s="4" t="s">
        <v>931</v>
      </c>
      <c r="M286" s="4" t="s">
        <v>178</v>
      </c>
      <c r="N286" s="4" t="s">
        <v>20</v>
      </c>
      <c r="O286" s="4" t="s">
        <v>71</v>
      </c>
      <c r="P286" s="4" t="s">
        <v>71</v>
      </c>
      <c r="Q286" s="4" t="s">
        <v>28</v>
      </c>
      <c r="R286" s="9">
        <f t="shared" si="4"/>
        <v>6.8988242407486415E-4</v>
      </c>
    </row>
    <row r="287" spans="1:18" hidden="1" x14ac:dyDescent="0.2">
      <c r="A287" s="4">
        <v>2006</v>
      </c>
      <c r="B287" s="2">
        <v>34696887</v>
      </c>
      <c r="C287" s="2">
        <v>72490.92</v>
      </c>
      <c r="D287" s="4" t="s">
        <v>959</v>
      </c>
      <c r="E287" s="2">
        <v>34624396.079999998</v>
      </c>
      <c r="F287" s="2">
        <v>6578635.2599999998</v>
      </c>
      <c r="G287" s="2">
        <v>0</v>
      </c>
      <c r="H287" s="4">
        <v>0</v>
      </c>
      <c r="I287" s="4">
        <v>0</v>
      </c>
      <c r="J287" s="4">
        <v>0</v>
      </c>
      <c r="K287" s="4">
        <v>41203031.340000004</v>
      </c>
      <c r="L287" s="4" t="s">
        <v>957</v>
      </c>
      <c r="M287" s="4" t="s">
        <v>958</v>
      </c>
      <c r="N287" s="4" t="s">
        <v>401</v>
      </c>
      <c r="O287" s="4" t="s">
        <v>27</v>
      </c>
      <c r="P287" s="4" t="s">
        <v>27</v>
      </c>
      <c r="Q287" s="4" t="s">
        <v>28</v>
      </c>
      <c r="R287" s="9">
        <f t="shared" si="4"/>
        <v>6.8971532519800528E-4</v>
      </c>
    </row>
    <row r="288" spans="1:18" hidden="1" x14ac:dyDescent="0.2">
      <c r="A288" s="4">
        <v>1545</v>
      </c>
      <c r="B288" s="2">
        <v>34580194</v>
      </c>
      <c r="C288" s="2">
        <v>203261.16</v>
      </c>
      <c r="D288" s="4" t="s">
        <v>454</v>
      </c>
      <c r="E288" s="2">
        <v>34376932.840000004</v>
      </c>
      <c r="F288" s="2">
        <v>6531617.2400000002</v>
      </c>
      <c r="G288" s="2">
        <v>859423.32</v>
      </c>
      <c r="H288" s="4">
        <v>0</v>
      </c>
      <c r="I288" s="4">
        <v>0</v>
      </c>
      <c r="J288" s="4">
        <v>859423.32</v>
      </c>
      <c r="K288" s="4">
        <v>40049126.759999998</v>
      </c>
      <c r="L288" s="4" t="s">
        <v>452</v>
      </c>
      <c r="M288" s="4" t="s">
        <v>453</v>
      </c>
      <c r="N288" s="4" t="s">
        <v>112</v>
      </c>
      <c r="O288" s="4" t="s">
        <v>113</v>
      </c>
      <c r="P288" s="4" t="s">
        <v>113</v>
      </c>
      <c r="Q288" s="4" t="s">
        <v>100</v>
      </c>
      <c r="R288" s="9">
        <f t="shared" si="4"/>
        <v>6.847858763591925E-4</v>
      </c>
    </row>
    <row r="289" spans="1:18" hidden="1" x14ac:dyDescent="0.2">
      <c r="A289" s="4">
        <v>644</v>
      </c>
      <c r="B289" s="2">
        <v>34364480</v>
      </c>
      <c r="C289" s="2">
        <v>0</v>
      </c>
      <c r="D289" s="4" t="s">
        <v>1990</v>
      </c>
      <c r="E289" s="2">
        <v>34364480</v>
      </c>
      <c r="F289" s="2">
        <v>6529251.2000000002</v>
      </c>
      <c r="G289" s="2">
        <v>0</v>
      </c>
      <c r="H289" s="4">
        <v>0</v>
      </c>
      <c r="I289" s="4">
        <v>0</v>
      </c>
      <c r="J289" s="4">
        <v>0</v>
      </c>
      <c r="K289" s="4">
        <v>40893731.200000003</v>
      </c>
      <c r="L289" s="4" t="s">
        <v>1988</v>
      </c>
      <c r="M289" s="4" t="s">
        <v>1989</v>
      </c>
      <c r="N289" s="4" t="s">
        <v>1991</v>
      </c>
      <c r="O289" s="4" t="s">
        <v>21</v>
      </c>
      <c r="P289" s="4" t="s">
        <v>21</v>
      </c>
      <c r="Q289" s="4" t="s">
        <v>28</v>
      </c>
      <c r="R289" s="9">
        <f t="shared" si="4"/>
        <v>6.8453781673757789E-4</v>
      </c>
    </row>
    <row r="290" spans="1:18" hidden="1" x14ac:dyDescent="0.2">
      <c r="A290" s="4">
        <v>1025</v>
      </c>
      <c r="B290" s="2">
        <v>34296627</v>
      </c>
      <c r="C290" s="2">
        <v>0</v>
      </c>
      <c r="D290" s="4" t="s">
        <v>928</v>
      </c>
      <c r="E290" s="2">
        <v>34296627</v>
      </c>
      <c r="F290" s="2">
        <v>6516359.1299999999</v>
      </c>
      <c r="G290" s="2">
        <v>800156.68</v>
      </c>
      <c r="H290" s="4">
        <v>0</v>
      </c>
      <c r="I290" s="4">
        <v>0</v>
      </c>
      <c r="J290" s="4">
        <v>800156.68</v>
      </c>
      <c r="K290" s="4">
        <v>40012829.450000003</v>
      </c>
      <c r="L290" s="4" t="s">
        <v>926</v>
      </c>
      <c r="M290" s="4" t="s">
        <v>927</v>
      </c>
      <c r="N290" s="4" t="s">
        <v>124</v>
      </c>
      <c r="O290" s="4" t="s">
        <v>33</v>
      </c>
      <c r="P290" s="4" t="s">
        <v>33</v>
      </c>
      <c r="Q290" s="4" t="s">
        <v>100</v>
      </c>
      <c r="R290" s="9">
        <f t="shared" si="4"/>
        <v>6.8318619016039428E-4</v>
      </c>
    </row>
    <row r="291" spans="1:18" hidden="1" x14ac:dyDescent="0.2">
      <c r="A291" s="4">
        <v>468</v>
      </c>
      <c r="B291" s="2">
        <v>34276610</v>
      </c>
      <c r="C291" s="2">
        <v>0</v>
      </c>
      <c r="D291" s="4" t="s">
        <v>1014</v>
      </c>
      <c r="E291" s="2">
        <v>34276610</v>
      </c>
      <c r="F291" s="2">
        <v>6512555.9000000004</v>
      </c>
      <c r="G291" s="2">
        <v>729123.56</v>
      </c>
      <c r="H291" s="4">
        <v>0</v>
      </c>
      <c r="I291" s="4">
        <v>0</v>
      </c>
      <c r="J291" s="4">
        <v>729123.56</v>
      </c>
      <c r="K291" s="4">
        <v>40060042.340000004</v>
      </c>
      <c r="L291" s="4" t="s">
        <v>1012</v>
      </c>
      <c r="M291" s="4" t="s">
        <v>1013</v>
      </c>
      <c r="N291" s="4" t="s">
        <v>1015</v>
      </c>
      <c r="O291" s="4" t="s">
        <v>89</v>
      </c>
      <c r="P291" s="4" t="s">
        <v>89</v>
      </c>
      <c r="Q291" s="4" t="s">
        <v>100</v>
      </c>
      <c r="R291" s="9">
        <f t="shared" si="4"/>
        <v>6.8278745304935294E-4</v>
      </c>
    </row>
    <row r="292" spans="1:18" hidden="1" x14ac:dyDescent="0.2">
      <c r="A292" s="4">
        <v>919</v>
      </c>
      <c r="B292" s="2">
        <v>34261384</v>
      </c>
      <c r="C292" s="2">
        <v>0</v>
      </c>
      <c r="D292" s="4" t="s">
        <v>1211</v>
      </c>
      <c r="E292" s="2">
        <v>34261384</v>
      </c>
      <c r="F292" s="2">
        <v>6509662.96</v>
      </c>
      <c r="G292" s="2">
        <v>0</v>
      </c>
      <c r="H292" s="4">
        <v>0</v>
      </c>
      <c r="I292" s="4">
        <v>0</v>
      </c>
      <c r="J292" s="4">
        <v>0</v>
      </c>
      <c r="K292" s="4">
        <v>40771046.960000001</v>
      </c>
      <c r="L292" s="4" t="s">
        <v>1209</v>
      </c>
      <c r="M292" s="4" t="s">
        <v>1210</v>
      </c>
      <c r="N292" s="4" t="s">
        <v>26</v>
      </c>
      <c r="O292" s="4" t="s">
        <v>27</v>
      </c>
      <c r="P292" s="4" t="s">
        <v>27</v>
      </c>
      <c r="Q292" s="4" t="s">
        <v>100</v>
      </c>
      <c r="R292" s="9">
        <f t="shared" si="4"/>
        <v>6.8248415229236071E-4</v>
      </c>
    </row>
    <row r="293" spans="1:18" hidden="1" x14ac:dyDescent="0.2">
      <c r="A293" s="4">
        <v>13</v>
      </c>
      <c r="B293" s="2">
        <v>34271148</v>
      </c>
      <c r="C293" s="2">
        <v>24577.68</v>
      </c>
      <c r="D293" s="4" t="s">
        <v>3614</v>
      </c>
      <c r="E293" s="2">
        <v>34246570.32</v>
      </c>
      <c r="F293" s="2">
        <v>6506848.3600000003</v>
      </c>
      <c r="G293" s="2">
        <v>518205.95</v>
      </c>
      <c r="H293" s="4">
        <v>0</v>
      </c>
      <c r="I293" s="4">
        <v>0</v>
      </c>
      <c r="J293" s="4">
        <v>518205.95</v>
      </c>
      <c r="K293" s="4">
        <v>40235212.729999997</v>
      </c>
      <c r="L293" s="4" t="s">
        <v>3612</v>
      </c>
      <c r="M293" s="4" t="s">
        <v>3613</v>
      </c>
      <c r="N293" s="4" t="s">
        <v>20</v>
      </c>
      <c r="O293" s="4" t="s">
        <v>631</v>
      </c>
      <c r="P293" s="4" t="s">
        <v>631</v>
      </c>
      <c r="Q293" s="4" t="s">
        <v>100</v>
      </c>
      <c r="R293" s="9">
        <f t="shared" si="4"/>
        <v>6.8218906491827414E-4</v>
      </c>
    </row>
    <row r="294" spans="1:18" hidden="1" x14ac:dyDescent="0.2">
      <c r="A294" s="4">
        <v>703</v>
      </c>
      <c r="B294" s="2">
        <v>34282217</v>
      </c>
      <c r="C294" s="2">
        <v>91067.28</v>
      </c>
      <c r="D294" s="4" t="s">
        <v>633</v>
      </c>
      <c r="E294" s="2">
        <v>34191149.719999999</v>
      </c>
      <c r="F294" s="2">
        <v>6496318.4500000002</v>
      </c>
      <c r="G294" s="2">
        <v>679426.8</v>
      </c>
      <c r="H294" s="4">
        <v>0</v>
      </c>
      <c r="I294" s="4">
        <v>0</v>
      </c>
      <c r="J294" s="4">
        <v>679426.8</v>
      </c>
      <c r="K294" s="4">
        <v>40008041.369999997</v>
      </c>
      <c r="L294" s="4" t="s">
        <v>632</v>
      </c>
      <c r="M294" s="4" t="s">
        <v>304</v>
      </c>
      <c r="N294" s="4" t="s">
        <v>306</v>
      </c>
      <c r="O294" s="4" t="s">
        <v>42</v>
      </c>
      <c r="P294" s="4" t="s">
        <v>42</v>
      </c>
      <c r="Q294" s="4" t="s">
        <v>28</v>
      </c>
      <c r="R294" s="9">
        <f t="shared" si="4"/>
        <v>6.8108509079946636E-4</v>
      </c>
    </row>
    <row r="295" spans="1:18" hidden="1" x14ac:dyDescent="0.2">
      <c r="A295" s="4">
        <v>999</v>
      </c>
      <c r="B295" s="2">
        <v>33985061</v>
      </c>
      <c r="C295" s="2">
        <v>35774.1</v>
      </c>
      <c r="D295" s="4" t="s">
        <v>716</v>
      </c>
      <c r="E295" s="2">
        <v>33949286.899999999</v>
      </c>
      <c r="F295" s="2">
        <v>6450364.5099999998</v>
      </c>
      <c r="G295" s="2">
        <v>771484.48</v>
      </c>
      <c r="H295" s="4">
        <v>879492.28</v>
      </c>
      <c r="I295" s="4">
        <v>0</v>
      </c>
      <c r="J295" s="4">
        <v>1650976.76</v>
      </c>
      <c r="K295" s="4">
        <v>38748674.649999999</v>
      </c>
      <c r="L295" s="4" t="s">
        <v>715</v>
      </c>
      <c r="M295" s="4" t="s">
        <v>95</v>
      </c>
      <c r="N295" s="4" t="s">
        <v>472</v>
      </c>
      <c r="O295" s="4" t="s">
        <v>67</v>
      </c>
      <c r="P295" s="4" t="s">
        <v>67</v>
      </c>
      <c r="Q295" s="4" t="s">
        <v>28</v>
      </c>
      <c r="R295" s="9">
        <f t="shared" si="4"/>
        <v>6.7626720189927652E-4</v>
      </c>
    </row>
    <row r="296" spans="1:18" hidden="1" x14ac:dyDescent="0.2">
      <c r="A296" s="4">
        <v>1821</v>
      </c>
      <c r="B296" s="2">
        <v>33808764</v>
      </c>
      <c r="C296" s="2">
        <v>48488.7</v>
      </c>
      <c r="D296" s="4" t="s">
        <v>571</v>
      </c>
      <c r="E296" s="2">
        <v>33760275.299999997</v>
      </c>
      <c r="F296" s="2">
        <v>6414452.3099999996</v>
      </c>
      <c r="G296" s="2">
        <v>566822.52</v>
      </c>
      <c r="H296" s="4">
        <v>0</v>
      </c>
      <c r="I296" s="4">
        <v>0</v>
      </c>
      <c r="J296" s="4">
        <v>566822.52</v>
      </c>
      <c r="K296" s="4">
        <v>39607905.090000004</v>
      </c>
      <c r="L296" s="4" t="s">
        <v>569</v>
      </c>
      <c r="M296" s="4" t="s">
        <v>570</v>
      </c>
      <c r="N296" s="4" t="s">
        <v>572</v>
      </c>
      <c r="O296" s="4" t="s">
        <v>105</v>
      </c>
      <c r="P296" s="4" t="s">
        <v>105</v>
      </c>
      <c r="Q296" s="4" t="s">
        <v>100</v>
      </c>
      <c r="R296" s="9">
        <f t="shared" si="4"/>
        <v>6.7250210526455148E-4</v>
      </c>
    </row>
    <row r="297" spans="1:18" hidden="1" x14ac:dyDescent="0.2">
      <c r="A297" s="4">
        <v>1725</v>
      </c>
      <c r="B297" s="2">
        <v>33629844</v>
      </c>
      <c r="C297" s="2">
        <v>0</v>
      </c>
      <c r="D297" s="4" t="s">
        <v>1237</v>
      </c>
      <c r="E297" s="2">
        <v>33629844</v>
      </c>
      <c r="F297" s="2">
        <v>6389670.3600000003</v>
      </c>
      <c r="G297" s="2">
        <v>840746.11</v>
      </c>
      <c r="H297" s="4">
        <v>0</v>
      </c>
      <c r="I297" s="4">
        <v>0</v>
      </c>
      <c r="J297" s="4">
        <v>840746.11</v>
      </c>
      <c r="K297" s="4">
        <v>39178768.25</v>
      </c>
      <c r="L297" s="4" t="s">
        <v>1235</v>
      </c>
      <c r="M297" s="4" t="s">
        <v>1236</v>
      </c>
      <c r="N297" s="4" t="s">
        <v>1238</v>
      </c>
      <c r="O297" s="4" t="s">
        <v>105</v>
      </c>
      <c r="P297" s="4" t="s">
        <v>105</v>
      </c>
      <c r="Q297" s="4" t="s">
        <v>100</v>
      </c>
      <c r="R297" s="9">
        <f t="shared" si="4"/>
        <v>6.699039237312869E-4</v>
      </c>
    </row>
    <row r="298" spans="1:18" hidden="1" x14ac:dyDescent="0.2">
      <c r="A298" s="4">
        <v>1624</v>
      </c>
      <c r="B298" s="2">
        <v>33569205</v>
      </c>
      <c r="C298" s="2">
        <v>0</v>
      </c>
      <c r="D298" s="4" t="s">
        <v>1393</v>
      </c>
      <c r="E298" s="2">
        <v>33569205</v>
      </c>
      <c r="F298" s="2">
        <v>6378148.9500000002</v>
      </c>
      <c r="G298" s="2">
        <v>0</v>
      </c>
      <c r="H298" s="4">
        <v>0</v>
      </c>
      <c r="I298" s="4">
        <v>0</v>
      </c>
      <c r="J298" s="4">
        <v>0</v>
      </c>
      <c r="K298" s="4">
        <v>39947353.950000003</v>
      </c>
      <c r="L298" s="4" t="s">
        <v>1391</v>
      </c>
      <c r="M298" s="4" t="s">
        <v>1392</v>
      </c>
      <c r="N298" s="4" t="s">
        <v>20</v>
      </c>
      <c r="O298" s="4" t="s">
        <v>257</v>
      </c>
      <c r="P298" s="4" t="s">
        <v>257</v>
      </c>
      <c r="Q298" s="4" t="s">
        <v>100</v>
      </c>
      <c r="R298" s="9">
        <f t="shared" si="4"/>
        <v>6.6869599948307624E-4</v>
      </c>
    </row>
    <row r="299" spans="1:18" hidden="1" x14ac:dyDescent="0.2">
      <c r="A299" s="4">
        <v>1378</v>
      </c>
      <c r="B299" s="2">
        <v>33596537</v>
      </c>
      <c r="C299" s="2">
        <v>173158.83</v>
      </c>
      <c r="D299" s="4" t="s">
        <v>1070</v>
      </c>
      <c r="E299" s="2">
        <v>33423378.170000002</v>
      </c>
      <c r="F299" s="2">
        <v>6350441.8499999996</v>
      </c>
      <c r="G299" s="2">
        <v>659117.62</v>
      </c>
      <c r="H299" s="4">
        <v>751394.07</v>
      </c>
      <c r="I299" s="4">
        <v>145167.96</v>
      </c>
      <c r="J299" s="4">
        <v>1555679.65</v>
      </c>
      <c r="K299" s="4">
        <v>38218140.369999997</v>
      </c>
      <c r="L299" s="4" t="s">
        <v>1069</v>
      </c>
      <c r="M299" s="4" t="s">
        <v>1006</v>
      </c>
      <c r="N299" s="4" t="s">
        <v>20</v>
      </c>
      <c r="O299" s="4" t="s">
        <v>71</v>
      </c>
      <c r="P299" s="4" t="s">
        <v>71</v>
      </c>
      <c r="Q299" s="4" t="s">
        <v>28</v>
      </c>
      <c r="R299" s="9">
        <f t="shared" si="4"/>
        <v>6.6579114016816841E-4</v>
      </c>
    </row>
    <row r="300" spans="1:18" hidden="1" x14ac:dyDescent="0.2">
      <c r="A300" s="4">
        <v>770</v>
      </c>
      <c r="B300" s="2">
        <v>33422297</v>
      </c>
      <c r="C300" s="2">
        <v>22707.75</v>
      </c>
      <c r="D300" s="4" t="s">
        <v>1306</v>
      </c>
      <c r="E300" s="2">
        <v>33399589.25</v>
      </c>
      <c r="F300" s="2">
        <v>6345921.96</v>
      </c>
      <c r="G300" s="2">
        <v>737178.28</v>
      </c>
      <c r="H300" s="4">
        <v>0</v>
      </c>
      <c r="I300" s="4">
        <v>0</v>
      </c>
      <c r="J300" s="4">
        <v>737178.28</v>
      </c>
      <c r="K300" s="4">
        <v>39008332.93</v>
      </c>
      <c r="L300" s="4" t="s">
        <v>1304</v>
      </c>
      <c r="M300" s="4" t="s">
        <v>1305</v>
      </c>
      <c r="N300" s="4" t="s">
        <v>651</v>
      </c>
      <c r="O300" s="4" t="s">
        <v>196</v>
      </c>
      <c r="P300" s="4" t="s">
        <v>196</v>
      </c>
      <c r="Q300" s="4" t="s">
        <v>100</v>
      </c>
      <c r="R300" s="9">
        <f t="shared" si="4"/>
        <v>6.6531726669883772E-4</v>
      </c>
    </row>
    <row r="301" spans="1:18" hidden="1" x14ac:dyDescent="0.2">
      <c r="A301" s="4">
        <v>208</v>
      </c>
      <c r="B301" s="2">
        <v>33390502</v>
      </c>
      <c r="C301" s="2">
        <v>0</v>
      </c>
      <c r="D301" s="4" t="s">
        <v>815</v>
      </c>
      <c r="E301" s="2">
        <v>33390502</v>
      </c>
      <c r="F301" s="2">
        <v>6344195.3799999999</v>
      </c>
      <c r="G301" s="2">
        <v>0</v>
      </c>
      <c r="H301" s="4">
        <v>0</v>
      </c>
      <c r="I301" s="4">
        <v>0</v>
      </c>
      <c r="J301" s="4">
        <v>0</v>
      </c>
      <c r="K301" s="4">
        <v>39734697.380000003</v>
      </c>
      <c r="L301" s="4" t="s">
        <v>813</v>
      </c>
      <c r="M301" s="4" t="s">
        <v>814</v>
      </c>
      <c r="N301" s="4" t="s">
        <v>186</v>
      </c>
      <c r="O301" s="4" t="s">
        <v>59</v>
      </c>
      <c r="P301" s="4" t="s">
        <v>59</v>
      </c>
      <c r="Q301" s="4" t="s">
        <v>100</v>
      </c>
      <c r="R301" s="9">
        <f t="shared" si="4"/>
        <v>6.6513624937294925E-4</v>
      </c>
    </row>
    <row r="302" spans="1:18" hidden="1" x14ac:dyDescent="0.2">
      <c r="A302" s="4">
        <v>1012</v>
      </c>
      <c r="B302" s="2">
        <v>33305142</v>
      </c>
      <c r="C302" s="2">
        <v>0</v>
      </c>
      <c r="D302" s="4" t="s">
        <v>881</v>
      </c>
      <c r="E302" s="2">
        <v>33305142</v>
      </c>
      <c r="F302" s="2">
        <v>6327976.9800000004</v>
      </c>
      <c r="G302" s="2">
        <v>648142.06999999995</v>
      </c>
      <c r="H302" s="4">
        <v>0</v>
      </c>
      <c r="I302" s="4">
        <v>0</v>
      </c>
      <c r="J302" s="4">
        <v>648142.06999999995</v>
      </c>
      <c r="K302" s="4">
        <v>38984976.909999996</v>
      </c>
      <c r="L302" s="4" t="s">
        <v>879</v>
      </c>
      <c r="M302" s="4" t="s">
        <v>880</v>
      </c>
      <c r="N302" s="4" t="s">
        <v>464</v>
      </c>
      <c r="O302" s="4" t="s">
        <v>105</v>
      </c>
      <c r="P302" s="4" t="s">
        <v>105</v>
      </c>
      <c r="Q302" s="4" t="s">
        <v>100</v>
      </c>
      <c r="R302" s="9">
        <f t="shared" si="4"/>
        <v>6.6343588469300297E-4</v>
      </c>
    </row>
    <row r="303" spans="1:18" hidden="1" x14ac:dyDescent="0.2">
      <c r="A303" s="4">
        <v>1380</v>
      </c>
      <c r="B303" s="2">
        <v>33189490</v>
      </c>
      <c r="C303" s="2">
        <v>83830.59</v>
      </c>
      <c r="D303" s="4" t="s">
        <v>1007</v>
      </c>
      <c r="E303" s="2">
        <v>33105659.41</v>
      </c>
      <c r="F303" s="2">
        <v>6290075.29</v>
      </c>
      <c r="G303" s="2">
        <v>696895.92</v>
      </c>
      <c r="H303" s="4">
        <v>794461.34</v>
      </c>
      <c r="I303" s="4">
        <v>167255.01</v>
      </c>
      <c r="J303" s="4">
        <v>1658612.27</v>
      </c>
      <c r="K303" s="4">
        <v>37737122.43</v>
      </c>
      <c r="L303" s="4" t="s">
        <v>1005</v>
      </c>
      <c r="M303" s="4" t="s">
        <v>1006</v>
      </c>
      <c r="N303" s="4" t="s">
        <v>92</v>
      </c>
      <c r="O303" s="4" t="s">
        <v>93</v>
      </c>
      <c r="P303" s="4" t="s">
        <v>93</v>
      </c>
      <c r="Q303" s="4" t="s">
        <v>28</v>
      </c>
      <c r="R303" s="9">
        <f t="shared" si="4"/>
        <v>6.5946220673728363E-4</v>
      </c>
    </row>
    <row r="304" spans="1:18" hidden="1" x14ac:dyDescent="0.2">
      <c r="A304" s="4">
        <v>836</v>
      </c>
      <c r="B304" s="2">
        <v>33041761</v>
      </c>
      <c r="C304" s="2">
        <v>273428.76</v>
      </c>
      <c r="D304" s="4" t="s">
        <v>771</v>
      </c>
      <c r="E304" s="2">
        <v>32768332.239999998</v>
      </c>
      <c r="F304" s="2">
        <v>6225983.1299999999</v>
      </c>
      <c r="G304" s="2">
        <v>674392.18</v>
      </c>
      <c r="H304" s="4">
        <v>0</v>
      </c>
      <c r="I304" s="4">
        <v>0</v>
      </c>
      <c r="J304" s="4">
        <v>674392.18</v>
      </c>
      <c r="K304" s="4">
        <v>38319923.189999998</v>
      </c>
      <c r="L304" s="4" t="s">
        <v>769</v>
      </c>
      <c r="M304" s="4" t="s">
        <v>770</v>
      </c>
      <c r="N304" s="4" t="s">
        <v>302</v>
      </c>
      <c r="O304" s="4" t="s">
        <v>27</v>
      </c>
      <c r="P304" s="4" t="s">
        <v>27</v>
      </c>
      <c r="Q304" s="4" t="s">
        <v>28</v>
      </c>
      <c r="R304" s="9">
        <f t="shared" si="4"/>
        <v>6.5274267527694828E-4</v>
      </c>
    </row>
    <row r="305" spans="1:18" hidden="1" x14ac:dyDescent="0.2">
      <c r="A305" s="4">
        <v>1206</v>
      </c>
      <c r="B305" s="2">
        <v>32689103</v>
      </c>
      <c r="C305" s="2">
        <v>0</v>
      </c>
      <c r="D305" s="4" t="s">
        <v>1146</v>
      </c>
      <c r="E305" s="2">
        <v>32689103</v>
      </c>
      <c r="F305" s="2">
        <v>6210929.5700000003</v>
      </c>
      <c r="G305" s="2">
        <v>0</v>
      </c>
      <c r="H305" s="4">
        <v>0</v>
      </c>
      <c r="I305" s="4">
        <v>0</v>
      </c>
      <c r="J305" s="4">
        <v>0</v>
      </c>
      <c r="K305" s="4">
        <v>38900032.57</v>
      </c>
      <c r="L305" s="4" t="s">
        <v>1144</v>
      </c>
      <c r="M305" s="4" t="s">
        <v>1145</v>
      </c>
      <c r="N305" s="4" t="s">
        <v>20</v>
      </c>
      <c r="O305" s="4" t="s">
        <v>316</v>
      </c>
      <c r="P305" s="4" t="s">
        <v>316</v>
      </c>
      <c r="Q305" s="4" t="s">
        <v>100</v>
      </c>
      <c r="R305" s="9">
        <f t="shared" si="4"/>
        <v>6.5116443486791617E-4</v>
      </c>
    </row>
    <row r="306" spans="1:18" hidden="1" x14ac:dyDescent="0.2">
      <c r="A306" s="4">
        <v>1121</v>
      </c>
      <c r="B306" s="2">
        <v>32328948</v>
      </c>
      <c r="C306" s="2">
        <v>0</v>
      </c>
      <c r="D306" s="4" t="s">
        <v>1004</v>
      </c>
      <c r="E306" s="2">
        <v>32328948</v>
      </c>
      <c r="F306" s="2">
        <v>6142500.1200000001</v>
      </c>
      <c r="G306" s="2">
        <v>717259.54</v>
      </c>
      <c r="H306" s="4">
        <v>0</v>
      </c>
      <c r="I306" s="4">
        <v>0</v>
      </c>
      <c r="J306" s="4">
        <v>717259.54</v>
      </c>
      <c r="K306" s="4">
        <v>37754188.579999998</v>
      </c>
      <c r="L306" s="4" t="s">
        <v>1002</v>
      </c>
      <c r="M306" s="4" t="s">
        <v>1003</v>
      </c>
      <c r="N306" s="4" t="s">
        <v>368</v>
      </c>
      <c r="O306" s="4" t="s">
        <v>89</v>
      </c>
      <c r="P306" s="4" t="s">
        <v>89</v>
      </c>
      <c r="Q306" s="4" t="s">
        <v>100</v>
      </c>
      <c r="R306" s="9">
        <f t="shared" si="4"/>
        <v>6.4399017477763908E-4</v>
      </c>
    </row>
    <row r="307" spans="1:18" hidden="1" x14ac:dyDescent="0.2">
      <c r="A307" s="4">
        <v>886</v>
      </c>
      <c r="B307" s="2">
        <v>32194783</v>
      </c>
      <c r="C307" s="2">
        <v>0</v>
      </c>
      <c r="D307" s="4" t="s">
        <v>978</v>
      </c>
      <c r="E307" s="2">
        <v>32194783</v>
      </c>
      <c r="F307" s="2">
        <v>6117008.7699999996</v>
      </c>
      <c r="G307" s="2">
        <v>0</v>
      </c>
      <c r="H307" s="4">
        <v>0</v>
      </c>
      <c r="I307" s="4">
        <v>0</v>
      </c>
      <c r="J307" s="4">
        <v>0</v>
      </c>
      <c r="K307" s="4">
        <v>38311791.770000003</v>
      </c>
      <c r="L307" s="4" t="s">
        <v>976</v>
      </c>
      <c r="M307" s="4" t="s">
        <v>977</v>
      </c>
      <c r="N307" s="4" t="s">
        <v>979</v>
      </c>
      <c r="O307" s="4" t="s">
        <v>105</v>
      </c>
      <c r="P307" s="4" t="s">
        <v>105</v>
      </c>
      <c r="Q307" s="4" t="s">
        <v>100</v>
      </c>
      <c r="R307" s="9">
        <f t="shared" si="4"/>
        <v>6.4131761822556566E-4</v>
      </c>
    </row>
    <row r="308" spans="1:18" hidden="1" x14ac:dyDescent="0.2">
      <c r="A308" s="4">
        <v>642</v>
      </c>
      <c r="B308" s="2">
        <v>32180910</v>
      </c>
      <c r="C308" s="2">
        <v>0</v>
      </c>
      <c r="D308" s="4" t="s">
        <v>997</v>
      </c>
      <c r="E308" s="2">
        <v>32180910</v>
      </c>
      <c r="F308" s="2">
        <v>6114372.9000000004</v>
      </c>
      <c r="G308" s="2">
        <v>0</v>
      </c>
      <c r="H308" s="4">
        <v>0</v>
      </c>
      <c r="I308" s="4">
        <v>0</v>
      </c>
      <c r="J308" s="4">
        <v>0</v>
      </c>
      <c r="K308" s="4">
        <v>38295282.899999999</v>
      </c>
      <c r="L308" s="4" t="s">
        <v>995</v>
      </c>
      <c r="M308" s="4" t="s">
        <v>996</v>
      </c>
      <c r="N308" s="4" t="s">
        <v>998</v>
      </c>
      <c r="O308" s="4" t="s">
        <v>27</v>
      </c>
      <c r="P308" s="4" t="s">
        <v>27</v>
      </c>
      <c r="Q308" s="4" t="s">
        <v>100</v>
      </c>
      <c r="R308" s="9">
        <f t="shared" si="4"/>
        <v>6.4104126912522717E-4</v>
      </c>
    </row>
    <row r="309" spans="1:18" hidden="1" x14ac:dyDescent="0.2">
      <c r="A309" s="4">
        <v>59</v>
      </c>
      <c r="B309" s="2">
        <v>32179119</v>
      </c>
      <c r="C309" s="2">
        <v>0</v>
      </c>
      <c r="D309" s="4" t="s">
        <v>818</v>
      </c>
      <c r="E309" s="2">
        <v>32179119</v>
      </c>
      <c r="F309" s="2">
        <v>6114032.6100000003</v>
      </c>
      <c r="G309" s="2">
        <v>0</v>
      </c>
      <c r="H309" s="4">
        <v>0</v>
      </c>
      <c r="I309" s="4">
        <v>0</v>
      </c>
      <c r="J309" s="4">
        <v>0</v>
      </c>
      <c r="K309" s="4">
        <v>38293151.609999999</v>
      </c>
      <c r="L309" s="4" t="s">
        <v>816</v>
      </c>
      <c r="M309" s="4" t="s">
        <v>817</v>
      </c>
      <c r="N309" s="4" t="s">
        <v>819</v>
      </c>
      <c r="O309" s="4" t="s">
        <v>93</v>
      </c>
      <c r="P309" s="4" t="s">
        <v>93</v>
      </c>
      <c r="Q309" s="4" t="s">
        <v>100</v>
      </c>
      <c r="R309" s="9">
        <f t="shared" si="4"/>
        <v>6.4100559254202916E-4</v>
      </c>
    </row>
    <row r="310" spans="1:18" hidden="1" x14ac:dyDescent="0.2">
      <c r="A310" s="4">
        <v>700</v>
      </c>
      <c r="B310" s="2">
        <v>32209448</v>
      </c>
      <c r="C310" s="2">
        <v>41955.39</v>
      </c>
      <c r="D310" s="4" t="s">
        <v>546</v>
      </c>
      <c r="E310" s="2">
        <v>32167492.609999999</v>
      </c>
      <c r="F310" s="2">
        <v>6111823.5999999996</v>
      </c>
      <c r="G310" s="2">
        <v>521003.04</v>
      </c>
      <c r="H310" s="4">
        <v>0</v>
      </c>
      <c r="I310" s="4">
        <v>0</v>
      </c>
      <c r="J310" s="4">
        <v>521003.04</v>
      </c>
      <c r="K310" s="4">
        <v>37758313.170000002</v>
      </c>
      <c r="L310" s="4" t="s">
        <v>545</v>
      </c>
      <c r="M310" s="4" t="s">
        <v>304</v>
      </c>
      <c r="N310" s="4" t="s">
        <v>41</v>
      </c>
      <c r="O310" s="4" t="s">
        <v>42</v>
      </c>
      <c r="P310" s="4" t="s">
        <v>42</v>
      </c>
      <c r="Q310" s="4" t="s">
        <v>28</v>
      </c>
      <c r="R310" s="9">
        <f t="shared" si="4"/>
        <v>6.4077399574128779E-4</v>
      </c>
    </row>
    <row r="311" spans="1:18" hidden="1" x14ac:dyDescent="0.2">
      <c r="A311" s="4">
        <v>1401</v>
      </c>
      <c r="B311" s="2">
        <v>32058907</v>
      </c>
      <c r="C311" s="2">
        <v>137352.66</v>
      </c>
      <c r="D311" s="4" t="s">
        <v>1859</v>
      </c>
      <c r="E311" s="2">
        <v>31921554.34</v>
      </c>
      <c r="F311" s="2">
        <v>6065095.3200000003</v>
      </c>
      <c r="G311" s="2">
        <v>798038.87</v>
      </c>
      <c r="H311" s="4">
        <v>0</v>
      </c>
      <c r="I311" s="4">
        <v>0</v>
      </c>
      <c r="J311" s="4">
        <v>798038.87</v>
      </c>
      <c r="K311" s="4">
        <v>37188610.789999999</v>
      </c>
      <c r="L311" s="4" t="s">
        <v>1857</v>
      </c>
      <c r="M311" s="4" t="s">
        <v>1858</v>
      </c>
      <c r="N311" s="4" t="s">
        <v>200</v>
      </c>
      <c r="O311" s="4" t="s">
        <v>201</v>
      </c>
      <c r="P311" s="4" t="s">
        <v>201</v>
      </c>
      <c r="Q311" s="4" t="s">
        <v>100</v>
      </c>
      <c r="R311" s="9">
        <f t="shared" si="4"/>
        <v>6.3587492418839316E-4</v>
      </c>
    </row>
    <row r="312" spans="1:18" hidden="1" x14ac:dyDescent="0.2">
      <c r="A312" s="4">
        <v>735</v>
      </c>
      <c r="B312" s="2">
        <v>31591618</v>
      </c>
      <c r="C312" s="2">
        <v>0</v>
      </c>
      <c r="D312" s="4" t="s">
        <v>2071</v>
      </c>
      <c r="E312" s="2">
        <v>31591618</v>
      </c>
      <c r="F312" s="2">
        <v>6002407.4199999999</v>
      </c>
      <c r="G312" s="2">
        <v>0</v>
      </c>
      <c r="H312" s="4">
        <v>0</v>
      </c>
      <c r="I312" s="4">
        <v>0</v>
      </c>
      <c r="J312" s="4">
        <v>0</v>
      </c>
      <c r="K312" s="4">
        <v>37594025.420000002</v>
      </c>
      <c r="L312" s="4" t="s">
        <v>2070</v>
      </c>
      <c r="M312" s="4" t="s">
        <v>1930</v>
      </c>
      <c r="N312" s="4" t="s">
        <v>2072</v>
      </c>
      <c r="O312" s="4" t="s">
        <v>89</v>
      </c>
      <c r="P312" s="4" t="s">
        <v>89</v>
      </c>
      <c r="Q312" s="4" t="s">
        <v>28</v>
      </c>
      <c r="R312" s="9">
        <f t="shared" si="4"/>
        <v>6.2930261749712395E-4</v>
      </c>
    </row>
    <row r="313" spans="1:18" hidden="1" x14ac:dyDescent="0.2">
      <c r="A313" s="4">
        <v>465</v>
      </c>
      <c r="B313" s="2">
        <v>31586092</v>
      </c>
      <c r="C313" s="2">
        <v>0</v>
      </c>
      <c r="D313" s="4" t="s">
        <v>5374</v>
      </c>
      <c r="E313" s="2">
        <v>31586092</v>
      </c>
      <c r="F313" s="2">
        <v>6001357.4800000004</v>
      </c>
      <c r="G313" s="2">
        <v>487639.49</v>
      </c>
      <c r="H313" s="4">
        <v>0</v>
      </c>
      <c r="I313" s="4">
        <v>0</v>
      </c>
      <c r="J313" s="4">
        <v>487639.49</v>
      </c>
      <c r="K313" s="4">
        <v>37099809.990000002</v>
      </c>
      <c r="L313" s="4" t="s">
        <v>5372</v>
      </c>
      <c r="M313" s="4" t="s">
        <v>5373</v>
      </c>
      <c r="N313" s="4" t="s">
        <v>522</v>
      </c>
      <c r="O313" s="4" t="s">
        <v>105</v>
      </c>
      <c r="P313" s="4" t="s">
        <v>105</v>
      </c>
      <c r="Q313" s="4" t="s">
        <v>100</v>
      </c>
      <c r="R313" s="9">
        <f t="shared" si="4"/>
        <v>6.2919253999921645E-4</v>
      </c>
    </row>
    <row r="314" spans="1:18" hidden="1" x14ac:dyDescent="0.2">
      <c r="A314" s="4">
        <v>1375</v>
      </c>
      <c r="B314" s="2">
        <v>31661505</v>
      </c>
      <c r="C314" s="2">
        <v>103791.69</v>
      </c>
      <c r="D314" s="4" t="s">
        <v>1224</v>
      </c>
      <c r="E314" s="2">
        <v>31557713.309999999</v>
      </c>
      <c r="F314" s="2">
        <v>5995965.5300000003</v>
      </c>
      <c r="G314" s="2">
        <v>678289.8</v>
      </c>
      <c r="H314" s="4">
        <v>773250.36</v>
      </c>
      <c r="I314" s="4">
        <v>137055.71</v>
      </c>
      <c r="J314" s="4">
        <v>1588595.87</v>
      </c>
      <c r="K314" s="4">
        <v>35965082.969999999</v>
      </c>
      <c r="L314" s="4" t="s">
        <v>1223</v>
      </c>
      <c r="M314" s="4" t="s">
        <v>1006</v>
      </c>
      <c r="N314" s="4" t="s">
        <v>368</v>
      </c>
      <c r="O314" s="4" t="s">
        <v>89</v>
      </c>
      <c r="P314" s="4" t="s">
        <v>89</v>
      </c>
      <c r="Q314" s="4" t="s">
        <v>28</v>
      </c>
      <c r="R314" s="9">
        <f t="shared" si="4"/>
        <v>6.2862723866206622E-4</v>
      </c>
    </row>
    <row r="315" spans="1:18" hidden="1" x14ac:dyDescent="0.2">
      <c r="A315" s="4">
        <v>904</v>
      </c>
      <c r="B315" s="2">
        <v>31305412</v>
      </c>
      <c r="C315" s="2">
        <v>174405.66</v>
      </c>
      <c r="D315" s="4" t="s">
        <v>782</v>
      </c>
      <c r="E315" s="2">
        <v>31131006.34</v>
      </c>
      <c r="F315" s="2">
        <v>5914891.2000000002</v>
      </c>
      <c r="G315" s="2">
        <v>668971.38</v>
      </c>
      <c r="H315" s="4">
        <v>0</v>
      </c>
      <c r="I315" s="4">
        <v>0</v>
      </c>
      <c r="J315" s="4">
        <v>668971.38</v>
      </c>
      <c r="K315" s="4">
        <v>36376926.159999996</v>
      </c>
      <c r="L315" s="4" t="s">
        <v>780</v>
      </c>
      <c r="M315" s="4" t="s">
        <v>781</v>
      </c>
      <c r="N315" s="4" t="s">
        <v>293</v>
      </c>
      <c r="O315" s="4" t="s">
        <v>229</v>
      </c>
      <c r="P315" s="4" t="s">
        <v>229</v>
      </c>
      <c r="Q315" s="4" t="s">
        <v>100</v>
      </c>
      <c r="R315" s="9">
        <f t="shared" si="4"/>
        <v>6.2012726841282901E-4</v>
      </c>
    </row>
    <row r="316" spans="1:18" hidden="1" x14ac:dyDescent="0.2">
      <c r="A316" s="4">
        <v>29</v>
      </c>
      <c r="B316" s="2">
        <v>31165517</v>
      </c>
      <c r="C316" s="2">
        <v>53057.22</v>
      </c>
      <c r="D316" s="4" t="s">
        <v>506</v>
      </c>
      <c r="E316" s="2">
        <v>31112459.780000001</v>
      </c>
      <c r="F316" s="2">
        <v>5911367.3600000003</v>
      </c>
      <c r="G316" s="2">
        <v>490479.22</v>
      </c>
      <c r="H316" s="4">
        <v>163641.29999999999</v>
      </c>
      <c r="I316" s="4">
        <v>0</v>
      </c>
      <c r="J316" s="4">
        <v>654120.52</v>
      </c>
      <c r="K316" s="4">
        <v>36369706.619999997</v>
      </c>
      <c r="L316" s="4" t="s">
        <v>505</v>
      </c>
      <c r="M316" s="4" t="s">
        <v>146</v>
      </c>
      <c r="N316" s="4" t="s">
        <v>245</v>
      </c>
      <c r="O316" s="4" t="s">
        <v>237</v>
      </c>
      <c r="P316" s="4" t="s">
        <v>237</v>
      </c>
      <c r="Q316" s="4" t="s">
        <v>28</v>
      </c>
      <c r="R316" s="9">
        <f t="shared" si="4"/>
        <v>6.1975782235427113E-4</v>
      </c>
    </row>
    <row r="317" spans="1:18" hidden="1" x14ac:dyDescent="0.2">
      <c r="A317" s="4">
        <v>695</v>
      </c>
      <c r="B317" s="2">
        <v>31087287.309999999</v>
      </c>
      <c r="C317" s="2">
        <v>39561.75</v>
      </c>
      <c r="D317" s="4" t="s">
        <v>564</v>
      </c>
      <c r="E317" s="2">
        <v>31047725.559999999</v>
      </c>
      <c r="F317" s="2">
        <v>5899067.8600000003</v>
      </c>
      <c r="G317" s="2">
        <v>483541.67</v>
      </c>
      <c r="H317" s="4">
        <v>0</v>
      </c>
      <c r="I317" s="4">
        <v>0</v>
      </c>
      <c r="J317" s="4">
        <v>483541.67</v>
      </c>
      <c r="K317" s="4">
        <v>36463251.75</v>
      </c>
      <c r="L317" s="4" t="s">
        <v>563</v>
      </c>
      <c r="M317" s="4" t="s">
        <v>304</v>
      </c>
      <c r="N317" s="4" t="s">
        <v>565</v>
      </c>
      <c r="O317" s="4" t="s">
        <v>42</v>
      </c>
      <c r="P317" s="4" t="s">
        <v>42</v>
      </c>
      <c r="Q317" s="4" t="s">
        <v>28</v>
      </c>
      <c r="R317" s="9">
        <f t="shared" si="4"/>
        <v>6.1846832163646567E-4</v>
      </c>
    </row>
    <row r="318" spans="1:18" hidden="1" x14ac:dyDescent="0.2">
      <c r="A318" s="4">
        <v>630</v>
      </c>
      <c r="B318" s="2">
        <v>30998934</v>
      </c>
      <c r="C318" s="2">
        <v>0</v>
      </c>
      <c r="D318" s="4" t="s">
        <v>745</v>
      </c>
      <c r="E318" s="2">
        <v>30998934</v>
      </c>
      <c r="F318" s="2">
        <v>5889797.46</v>
      </c>
      <c r="G318" s="2">
        <v>730920.67</v>
      </c>
      <c r="H318" s="4">
        <v>0</v>
      </c>
      <c r="I318" s="4">
        <v>0</v>
      </c>
      <c r="J318" s="4">
        <v>730920.67</v>
      </c>
      <c r="K318" s="4">
        <v>36157810.789999999</v>
      </c>
      <c r="L318" s="4" t="s">
        <v>743</v>
      </c>
      <c r="M318" s="4" t="s">
        <v>744</v>
      </c>
      <c r="N318" s="4" t="s">
        <v>746</v>
      </c>
      <c r="O318" s="4" t="s">
        <v>747</v>
      </c>
      <c r="P318" s="4" t="s">
        <v>747</v>
      </c>
      <c r="Q318" s="4" t="s">
        <v>100</v>
      </c>
      <c r="R318" s="9">
        <f t="shared" si="4"/>
        <v>6.1749639748811191E-4</v>
      </c>
    </row>
    <row r="319" spans="1:18" hidden="1" x14ac:dyDescent="0.2">
      <c r="A319" s="4">
        <v>1294</v>
      </c>
      <c r="B319" s="2">
        <v>30728463</v>
      </c>
      <c r="C319" s="2">
        <v>0</v>
      </c>
      <c r="D319" s="4" t="s">
        <v>5377</v>
      </c>
      <c r="E319" s="2">
        <v>30728463</v>
      </c>
      <c r="F319" s="2">
        <v>5838407.9699999997</v>
      </c>
      <c r="G319" s="2">
        <v>616526.21</v>
      </c>
      <c r="H319" s="4">
        <v>0</v>
      </c>
      <c r="I319" s="4">
        <v>0</v>
      </c>
      <c r="J319" s="4">
        <v>616526.21</v>
      </c>
      <c r="K319" s="4">
        <v>35950344.759999998</v>
      </c>
      <c r="L319" s="4" t="s">
        <v>5375</v>
      </c>
      <c r="M319" s="4" t="s">
        <v>5376</v>
      </c>
      <c r="N319" s="4" t="s">
        <v>104</v>
      </c>
      <c r="O319" s="4" t="s">
        <v>105</v>
      </c>
      <c r="P319" s="4" t="s">
        <v>105</v>
      </c>
      <c r="Q319" s="4" t="s">
        <v>28</v>
      </c>
      <c r="R319" s="9">
        <f t="shared" si="4"/>
        <v>6.1210863582750099E-4</v>
      </c>
    </row>
    <row r="320" spans="1:18" hidden="1" x14ac:dyDescent="0.2">
      <c r="A320" s="4">
        <v>671</v>
      </c>
      <c r="B320" s="2">
        <v>30589992</v>
      </c>
      <c r="C320" s="2">
        <v>56754.239999999998</v>
      </c>
      <c r="D320" s="4" t="s">
        <v>891</v>
      </c>
      <c r="E320" s="2">
        <v>30533237.760000002</v>
      </c>
      <c r="F320" s="2">
        <v>5801315.1699999999</v>
      </c>
      <c r="G320" s="2">
        <v>695046.95</v>
      </c>
      <c r="H320" s="4">
        <v>0</v>
      </c>
      <c r="I320" s="4">
        <v>0</v>
      </c>
      <c r="J320" s="4">
        <v>695046.95</v>
      </c>
      <c r="K320" s="4">
        <v>35639505.979999997</v>
      </c>
      <c r="L320" s="4" t="s">
        <v>889</v>
      </c>
      <c r="M320" s="4" t="s">
        <v>890</v>
      </c>
      <c r="N320" s="4" t="s">
        <v>819</v>
      </c>
      <c r="O320" s="4" t="s">
        <v>93</v>
      </c>
      <c r="P320" s="4" t="s">
        <v>93</v>
      </c>
      <c r="Q320" s="4" t="s">
        <v>100</v>
      </c>
      <c r="R320" s="9">
        <f t="shared" si="4"/>
        <v>6.0821976395859247E-4</v>
      </c>
    </row>
    <row r="321" spans="1:18" hidden="1" x14ac:dyDescent="0.2">
      <c r="A321" s="4">
        <v>976</v>
      </c>
      <c r="B321" s="2">
        <v>30439717</v>
      </c>
      <c r="C321" s="2">
        <v>0</v>
      </c>
      <c r="D321" s="4" t="s">
        <v>988</v>
      </c>
      <c r="E321" s="2">
        <v>30439717</v>
      </c>
      <c r="F321" s="2">
        <v>5783546.2300000004</v>
      </c>
      <c r="G321" s="2">
        <v>642372.81000000006</v>
      </c>
      <c r="H321" s="4">
        <v>0</v>
      </c>
      <c r="I321" s="4">
        <v>0</v>
      </c>
      <c r="J321" s="4">
        <v>642372.81000000006</v>
      </c>
      <c r="K321" s="4">
        <v>35580890.420000002</v>
      </c>
      <c r="L321" s="4" t="s">
        <v>986</v>
      </c>
      <c r="M321" s="4" t="s">
        <v>987</v>
      </c>
      <c r="N321" s="4" t="s">
        <v>221</v>
      </c>
      <c r="O321" s="4" t="s">
        <v>33</v>
      </c>
      <c r="P321" s="4" t="s">
        <v>33</v>
      </c>
      <c r="Q321" s="4" t="s">
        <v>100</v>
      </c>
      <c r="R321" s="9">
        <f t="shared" si="4"/>
        <v>6.0635683756278958E-4</v>
      </c>
    </row>
    <row r="322" spans="1:18" hidden="1" x14ac:dyDescent="0.2">
      <c r="A322" s="4">
        <v>1173</v>
      </c>
      <c r="B322" s="2">
        <v>30530278</v>
      </c>
      <c r="C322" s="2">
        <v>92809.26</v>
      </c>
      <c r="D322" s="4" t="s">
        <v>1109</v>
      </c>
      <c r="E322" s="2">
        <v>30437468.739999998</v>
      </c>
      <c r="F322" s="2">
        <v>5783119.0599999996</v>
      </c>
      <c r="G322" s="2">
        <v>451404.42</v>
      </c>
      <c r="H322" s="4">
        <v>514601.03</v>
      </c>
      <c r="I322" s="4">
        <v>108337.06</v>
      </c>
      <c r="J322" s="4">
        <v>1074342.51</v>
      </c>
      <c r="K322" s="4">
        <v>35146245.289999999</v>
      </c>
      <c r="L322" s="4" t="s">
        <v>1108</v>
      </c>
      <c r="M322" s="4" t="s">
        <v>178</v>
      </c>
      <c r="N322" s="4" t="s">
        <v>293</v>
      </c>
      <c r="O322" s="4" t="s">
        <v>59</v>
      </c>
      <c r="P322" s="4" t="s">
        <v>229</v>
      </c>
      <c r="Q322" s="4" t="s">
        <v>28</v>
      </c>
      <c r="R322" s="9">
        <f t="shared" si="4"/>
        <v>6.0631205239531846E-4</v>
      </c>
    </row>
    <row r="323" spans="1:18" hidden="1" x14ac:dyDescent="0.2">
      <c r="A323" s="4">
        <v>35</v>
      </c>
      <c r="B323" s="2">
        <v>30422431</v>
      </c>
      <c r="C323" s="2">
        <v>0</v>
      </c>
      <c r="D323" s="4" t="s">
        <v>1308</v>
      </c>
      <c r="E323" s="2">
        <v>30422431</v>
      </c>
      <c r="F323" s="2">
        <v>5780261.8899999997</v>
      </c>
      <c r="G323" s="2">
        <v>470488.33</v>
      </c>
      <c r="H323" s="4">
        <v>536356.68999999994</v>
      </c>
      <c r="I323" s="4">
        <v>0</v>
      </c>
      <c r="J323" s="4">
        <v>1006845.02</v>
      </c>
      <c r="K323" s="4">
        <v>35195847.869999997</v>
      </c>
      <c r="L323" s="4" t="s">
        <v>1307</v>
      </c>
      <c r="M323" s="4" t="s">
        <v>146</v>
      </c>
      <c r="N323" s="4" t="s">
        <v>200</v>
      </c>
      <c r="O323" s="4" t="s">
        <v>201</v>
      </c>
      <c r="P323" s="4" t="s">
        <v>201</v>
      </c>
      <c r="Q323" s="4" t="s">
        <v>28</v>
      </c>
      <c r="R323" s="9">
        <f t="shared" ref="R323:R386" si="5">E323/$E$2034</f>
        <v>6.060125017631464E-4</v>
      </c>
    </row>
    <row r="324" spans="1:18" hidden="1" x14ac:dyDescent="0.2">
      <c r="A324" s="4">
        <v>2014</v>
      </c>
      <c r="B324" s="2">
        <v>30277875</v>
      </c>
      <c r="C324" s="2">
        <v>0</v>
      </c>
      <c r="D324" s="4" t="s">
        <v>800</v>
      </c>
      <c r="E324" s="2">
        <v>30277875</v>
      </c>
      <c r="F324" s="2">
        <v>5752796.25</v>
      </c>
      <c r="G324" s="2">
        <v>0</v>
      </c>
      <c r="H324" s="4">
        <v>0</v>
      </c>
      <c r="I324" s="4">
        <v>0</v>
      </c>
      <c r="J324" s="4">
        <v>0</v>
      </c>
      <c r="K324" s="4">
        <v>36030671.25</v>
      </c>
      <c r="L324" s="4" t="s">
        <v>798</v>
      </c>
      <c r="M324" s="4" t="s">
        <v>799</v>
      </c>
      <c r="N324" s="4" t="s">
        <v>801</v>
      </c>
      <c r="O324" s="4" t="s">
        <v>27</v>
      </c>
      <c r="P324" s="4" t="s">
        <v>27</v>
      </c>
      <c r="Q324" s="4" t="s">
        <v>100</v>
      </c>
      <c r="R324" s="9">
        <f t="shared" si="5"/>
        <v>6.0313295728476875E-4</v>
      </c>
    </row>
    <row r="325" spans="1:18" hidden="1" x14ac:dyDescent="0.2">
      <c r="A325" s="4">
        <v>875</v>
      </c>
      <c r="B325" s="2">
        <v>30273611</v>
      </c>
      <c r="C325" s="2">
        <v>0</v>
      </c>
      <c r="D325" s="4" t="s">
        <v>994</v>
      </c>
      <c r="E325" s="2">
        <v>30273611</v>
      </c>
      <c r="F325" s="2">
        <v>5751986.0899999999</v>
      </c>
      <c r="G325" s="2">
        <v>0</v>
      </c>
      <c r="H325" s="4">
        <v>0</v>
      </c>
      <c r="I325" s="4">
        <v>0</v>
      </c>
      <c r="J325" s="4">
        <v>0</v>
      </c>
      <c r="K325" s="4">
        <v>36025597.090000004</v>
      </c>
      <c r="L325" s="4" t="s">
        <v>992</v>
      </c>
      <c r="M325" s="4" t="s">
        <v>993</v>
      </c>
      <c r="N325" s="4" t="s">
        <v>66</v>
      </c>
      <c r="O325" s="4" t="s">
        <v>67</v>
      </c>
      <c r="P325" s="4" t="s">
        <v>67</v>
      </c>
      <c r="Q325" s="4" t="s">
        <v>100</v>
      </c>
      <c r="R325" s="9">
        <f t="shared" si="5"/>
        <v>6.0304801873046587E-4</v>
      </c>
    </row>
    <row r="326" spans="1:18" hidden="1" x14ac:dyDescent="0.2">
      <c r="A326" s="4">
        <v>1911</v>
      </c>
      <c r="B326" s="2">
        <v>30213718</v>
      </c>
      <c r="C326" s="2">
        <v>0</v>
      </c>
      <c r="D326" s="4" t="s">
        <v>1115</v>
      </c>
      <c r="E326" s="2">
        <v>30213718</v>
      </c>
      <c r="F326" s="2">
        <v>5740606.4199999999</v>
      </c>
      <c r="G326" s="2">
        <v>514716.51</v>
      </c>
      <c r="H326" s="4">
        <v>0</v>
      </c>
      <c r="I326" s="4">
        <v>0</v>
      </c>
      <c r="J326" s="4">
        <v>514716.51</v>
      </c>
      <c r="K326" s="4">
        <v>35439607.909999996</v>
      </c>
      <c r="L326" s="4" t="s">
        <v>1113</v>
      </c>
      <c r="M326" s="4" t="s">
        <v>1114</v>
      </c>
      <c r="N326" s="4" t="s">
        <v>20</v>
      </c>
      <c r="O326" s="4" t="s">
        <v>89</v>
      </c>
      <c r="P326" s="4" t="s">
        <v>89</v>
      </c>
      <c r="Q326" s="4" t="s">
        <v>100</v>
      </c>
      <c r="R326" s="9">
        <f t="shared" si="5"/>
        <v>6.0185495474527348E-4</v>
      </c>
    </row>
    <row r="327" spans="1:18" hidden="1" x14ac:dyDescent="0.2">
      <c r="A327" s="4">
        <v>38</v>
      </c>
      <c r="B327" s="2">
        <v>30159568</v>
      </c>
      <c r="C327" s="2">
        <v>0</v>
      </c>
      <c r="D327" s="4" t="s">
        <v>1459</v>
      </c>
      <c r="E327" s="2">
        <v>30159568</v>
      </c>
      <c r="F327" s="2">
        <v>5730317.9199999999</v>
      </c>
      <c r="G327" s="2">
        <v>716726.05</v>
      </c>
      <c r="H327" s="4">
        <v>817067.71</v>
      </c>
      <c r="I327" s="4">
        <v>0</v>
      </c>
      <c r="J327" s="4">
        <v>1533793.76</v>
      </c>
      <c r="K327" s="4">
        <v>34356092.159999996</v>
      </c>
      <c r="L327" s="4" t="s">
        <v>1458</v>
      </c>
      <c r="M327" s="4" t="s">
        <v>146</v>
      </c>
      <c r="N327" s="4" t="s">
        <v>20</v>
      </c>
      <c r="O327" s="4" t="s">
        <v>71</v>
      </c>
      <c r="P327" s="4" t="s">
        <v>71</v>
      </c>
      <c r="Q327" s="4" t="s">
        <v>28</v>
      </c>
      <c r="R327" s="9">
        <f t="shared" si="5"/>
        <v>6.0077629088141349E-4</v>
      </c>
    </row>
    <row r="328" spans="1:18" hidden="1" x14ac:dyDescent="0.2">
      <c r="A328" s="4">
        <v>267</v>
      </c>
      <c r="B328" s="2">
        <v>30225828</v>
      </c>
      <c r="C328" s="2">
        <v>79650.720000000001</v>
      </c>
      <c r="D328" s="4" t="s">
        <v>2252</v>
      </c>
      <c r="E328" s="2">
        <v>30146177.280000001</v>
      </c>
      <c r="F328" s="2">
        <v>5727773.6900000004</v>
      </c>
      <c r="G328" s="2">
        <v>0</v>
      </c>
      <c r="H328" s="4">
        <v>0</v>
      </c>
      <c r="I328" s="4">
        <v>0</v>
      </c>
      <c r="J328" s="4">
        <v>0</v>
      </c>
      <c r="K328" s="4">
        <v>35873950.969999999</v>
      </c>
      <c r="L328" s="4" t="s">
        <v>2250</v>
      </c>
      <c r="M328" s="4" t="s">
        <v>2251</v>
      </c>
      <c r="N328" s="4" t="s">
        <v>20</v>
      </c>
      <c r="O328" s="4" t="s">
        <v>71</v>
      </c>
      <c r="P328" s="4" t="s">
        <v>71</v>
      </c>
      <c r="Q328" s="4" t="s">
        <v>100</v>
      </c>
      <c r="R328" s="9">
        <f t="shared" si="5"/>
        <v>6.0050954876183702E-4</v>
      </c>
    </row>
    <row r="329" spans="1:18" x14ac:dyDescent="0.2">
      <c r="A329" s="4">
        <v>807</v>
      </c>
      <c r="B329" s="2">
        <v>30120444</v>
      </c>
      <c r="C329" s="2">
        <v>0</v>
      </c>
      <c r="D329" s="4" t="s">
        <v>1092</v>
      </c>
      <c r="E329" s="2">
        <v>30120444</v>
      </c>
      <c r="F329" s="2">
        <v>5722884.3600000003</v>
      </c>
      <c r="G329" s="2">
        <v>735623.11</v>
      </c>
      <c r="H329" s="4">
        <v>858432.66</v>
      </c>
      <c r="I329" s="4">
        <v>0</v>
      </c>
      <c r="J329" s="4">
        <v>1594055.77</v>
      </c>
      <c r="K329" s="4">
        <v>34249272.590000004</v>
      </c>
      <c r="L329" s="4" t="s">
        <v>1091</v>
      </c>
      <c r="M329" s="4" t="s">
        <v>81</v>
      </c>
      <c r="N329" s="4" t="s">
        <v>565</v>
      </c>
      <c r="O329" s="4" t="s">
        <v>42</v>
      </c>
      <c r="P329" s="4" t="s">
        <v>42</v>
      </c>
      <c r="Q329" s="4" t="s">
        <v>28</v>
      </c>
      <c r="R329" s="9">
        <f t="shared" si="5"/>
        <v>5.9999694378982244E-4</v>
      </c>
    </row>
    <row r="330" spans="1:18" hidden="1" x14ac:dyDescent="0.2">
      <c r="A330" s="4">
        <v>1443</v>
      </c>
      <c r="B330" s="2">
        <v>29550581</v>
      </c>
      <c r="C330" s="2">
        <v>0</v>
      </c>
      <c r="D330" s="4" t="s">
        <v>1202</v>
      </c>
      <c r="E330" s="2">
        <v>29550581</v>
      </c>
      <c r="F330" s="2">
        <v>5614610.3899999997</v>
      </c>
      <c r="G330" s="2">
        <v>601359.56000000006</v>
      </c>
      <c r="H330" s="4">
        <v>0</v>
      </c>
      <c r="I330" s="4">
        <v>0</v>
      </c>
      <c r="J330" s="4">
        <v>601359.56000000006</v>
      </c>
      <c r="K330" s="4">
        <v>34563831.829999998</v>
      </c>
      <c r="L330" s="4" t="s">
        <v>1200</v>
      </c>
      <c r="M330" s="4" t="s">
        <v>1201</v>
      </c>
      <c r="N330" s="4" t="s">
        <v>599</v>
      </c>
      <c r="O330" s="4" t="s">
        <v>559</v>
      </c>
      <c r="P330" s="4" t="s">
        <v>559</v>
      </c>
      <c r="Q330" s="4" t="s">
        <v>100</v>
      </c>
      <c r="R330" s="9">
        <f t="shared" si="5"/>
        <v>5.8864531635767373E-4</v>
      </c>
    </row>
    <row r="331" spans="1:18" hidden="1" x14ac:dyDescent="0.2">
      <c r="A331" s="4">
        <v>381</v>
      </c>
      <c r="B331" s="2">
        <v>29354267</v>
      </c>
      <c r="C331" s="2">
        <v>0</v>
      </c>
      <c r="D331" s="4" t="s">
        <v>896</v>
      </c>
      <c r="E331" s="2">
        <v>29354267</v>
      </c>
      <c r="F331" s="2">
        <v>5577310.7300000004</v>
      </c>
      <c r="G331" s="2">
        <v>614874.26</v>
      </c>
      <c r="H331" s="4">
        <v>0</v>
      </c>
      <c r="I331" s="4">
        <v>0</v>
      </c>
      <c r="J331" s="4">
        <v>614874.26</v>
      </c>
      <c r="K331" s="4">
        <v>34316703.469999999</v>
      </c>
      <c r="L331" s="4" t="s">
        <v>894</v>
      </c>
      <c r="M331" s="4" t="s">
        <v>895</v>
      </c>
      <c r="N331" s="4" t="s">
        <v>20</v>
      </c>
      <c r="O331" s="4" t="s">
        <v>386</v>
      </c>
      <c r="P331" s="4" t="s">
        <v>386</v>
      </c>
      <c r="Q331" s="4" t="s">
        <v>585</v>
      </c>
      <c r="R331" s="9">
        <f t="shared" si="5"/>
        <v>5.8473475647272794E-4</v>
      </c>
    </row>
    <row r="332" spans="1:18" hidden="1" x14ac:dyDescent="0.2">
      <c r="A332" s="4">
        <v>1670</v>
      </c>
      <c r="B332" s="2">
        <v>29330118</v>
      </c>
      <c r="C332" s="2">
        <v>0</v>
      </c>
      <c r="D332" s="4" t="s">
        <v>1265</v>
      </c>
      <c r="E332" s="2">
        <v>29330118</v>
      </c>
      <c r="F332" s="2">
        <v>5572722.4199999999</v>
      </c>
      <c r="G332" s="2">
        <v>0</v>
      </c>
      <c r="H332" s="4">
        <v>0</v>
      </c>
      <c r="I332" s="4">
        <v>0</v>
      </c>
      <c r="J332" s="4">
        <v>0</v>
      </c>
      <c r="K332" s="4">
        <v>34902840.420000002</v>
      </c>
      <c r="L332" s="4" t="s">
        <v>1263</v>
      </c>
      <c r="M332" s="4" t="s">
        <v>1264</v>
      </c>
      <c r="N332" s="4" t="s">
        <v>233</v>
      </c>
      <c r="O332" s="4" t="s">
        <v>229</v>
      </c>
      <c r="P332" s="4" t="s">
        <v>229</v>
      </c>
      <c r="Q332" s="4" t="s">
        <v>100</v>
      </c>
      <c r="R332" s="9">
        <f t="shared" si="5"/>
        <v>5.8425371023730123E-4</v>
      </c>
    </row>
    <row r="333" spans="1:18" hidden="1" x14ac:dyDescent="0.2">
      <c r="A333" s="4">
        <v>758</v>
      </c>
      <c r="B333" s="2">
        <v>29234999</v>
      </c>
      <c r="C333" s="2">
        <v>0</v>
      </c>
      <c r="D333" s="4" t="s">
        <v>1083</v>
      </c>
      <c r="E333" s="2">
        <v>29234999</v>
      </c>
      <c r="F333" s="2">
        <v>5554649.8099999996</v>
      </c>
      <c r="G333" s="2">
        <v>0</v>
      </c>
      <c r="H333" s="4">
        <v>0</v>
      </c>
      <c r="I333" s="4">
        <v>0</v>
      </c>
      <c r="J333" s="4">
        <v>0</v>
      </c>
      <c r="K333" s="4">
        <v>34789648.810000002</v>
      </c>
      <c r="L333" s="4" t="s">
        <v>1081</v>
      </c>
      <c r="M333" s="4" t="s">
        <v>1082</v>
      </c>
      <c r="N333" s="4" t="s">
        <v>112</v>
      </c>
      <c r="O333" s="4" t="s">
        <v>113</v>
      </c>
      <c r="P333" s="4" t="s">
        <v>113</v>
      </c>
      <c r="Q333" s="4" t="s">
        <v>100</v>
      </c>
      <c r="R333" s="9">
        <f t="shared" si="5"/>
        <v>5.8235894702277676E-4</v>
      </c>
    </row>
    <row r="334" spans="1:18" hidden="1" x14ac:dyDescent="0.2">
      <c r="A334" s="4">
        <v>1513</v>
      </c>
      <c r="B334" s="2">
        <v>29217434</v>
      </c>
      <c r="C334" s="2">
        <v>0</v>
      </c>
      <c r="D334" s="4" t="s">
        <v>1262</v>
      </c>
      <c r="E334" s="2">
        <v>29217434</v>
      </c>
      <c r="F334" s="2">
        <v>5551312.46</v>
      </c>
      <c r="G334" s="2">
        <v>0</v>
      </c>
      <c r="H334" s="4">
        <v>0</v>
      </c>
      <c r="I334" s="4">
        <v>0</v>
      </c>
      <c r="J334" s="4">
        <v>0</v>
      </c>
      <c r="K334" s="4">
        <v>34768746.460000001</v>
      </c>
      <c r="L334" s="4" t="s">
        <v>1260</v>
      </c>
      <c r="M334" s="4" t="s">
        <v>1261</v>
      </c>
      <c r="N334" s="4" t="s">
        <v>58</v>
      </c>
      <c r="O334" s="4" t="s">
        <v>59</v>
      </c>
      <c r="P334" s="4" t="s">
        <v>59</v>
      </c>
      <c r="Q334" s="4" t="s">
        <v>100</v>
      </c>
      <c r="R334" s="9">
        <f t="shared" si="5"/>
        <v>5.8200905356444431E-4</v>
      </c>
    </row>
    <row r="335" spans="1:18" hidden="1" x14ac:dyDescent="0.2">
      <c r="A335" s="4">
        <v>1462</v>
      </c>
      <c r="B335" s="2">
        <v>29179121</v>
      </c>
      <c r="C335" s="2">
        <v>66202.89</v>
      </c>
      <c r="D335" s="4" t="s">
        <v>903</v>
      </c>
      <c r="E335" s="2">
        <v>29112918.109999999</v>
      </c>
      <c r="F335" s="2">
        <v>5531454.4400000004</v>
      </c>
      <c r="G335" s="2">
        <v>0</v>
      </c>
      <c r="H335" s="4">
        <v>0</v>
      </c>
      <c r="I335" s="4">
        <v>0</v>
      </c>
      <c r="J335" s="4">
        <v>0</v>
      </c>
      <c r="K335" s="4">
        <v>34644372.549999997</v>
      </c>
      <c r="L335" s="4" t="s">
        <v>901</v>
      </c>
      <c r="M335" s="4" t="s">
        <v>902</v>
      </c>
      <c r="N335" s="4" t="s">
        <v>58</v>
      </c>
      <c r="O335" s="4" t="s">
        <v>59</v>
      </c>
      <c r="P335" s="4" t="s">
        <v>59</v>
      </c>
      <c r="Q335" s="4" t="s">
        <v>100</v>
      </c>
      <c r="R335" s="9">
        <f t="shared" si="5"/>
        <v>5.7992710501888263E-4</v>
      </c>
    </row>
    <row r="336" spans="1:18" hidden="1" x14ac:dyDescent="0.2">
      <c r="A336" s="4">
        <v>1832</v>
      </c>
      <c r="B336" s="2">
        <v>29122740</v>
      </c>
      <c r="C336" s="2">
        <v>64717.2</v>
      </c>
      <c r="D336" s="4" t="s">
        <v>407</v>
      </c>
      <c r="E336" s="2">
        <v>29058022.800000001</v>
      </c>
      <c r="F336" s="2">
        <v>5521024.3300000001</v>
      </c>
      <c r="G336" s="2">
        <v>712967.82</v>
      </c>
      <c r="H336" s="4">
        <v>0</v>
      </c>
      <c r="I336" s="4">
        <v>0</v>
      </c>
      <c r="J336" s="4">
        <v>712967.82</v>
      </c>
      <c r="K336" s="4">
        <v>33866079.310000002</v>
      </c>
      <c r="L336" s="4" t="s">
        <v>405</v>
      </c>
      <c r="M336" s="4" t="s">
        <v>406</v>
      </c>
      <c r="N336" s="4" t="s">
        <v>20</v>
      </c>
      <c r="O336" s="4" t="s">
        <v>76</v>
      </c>
      <c r="P336" s="4" t="s">
        <v>76</v>
      </c>
      <c r="Q336" s="4" t="s">
        <v>408</v>
      </c>
      <c r="R336" s="9">
        <f t="shared" si="5"/>
        <v>5.7883359463675168E-4</v>
      </c>
    </row>
    <row r="337" spans="1:18" hidden="1" x14ac:dyDescent="0.2">
      <c r="A337" s="4">
        <v>1095</v>
      </c>
      <c r="B337" s="2">
        <v>29026744</v>
      </c>
      <c r="C337" s="2">
        <v>0</v>
      </c>
      <c r="D337" s="4" t="s">
        <v>1080</v>
      </c>
      <c r="E337" s="2">
        <v>29026744</v>
      </c>
      <c r="F337" s="2">
        <v>5515081.3600000003</v>
      </c>
      <c r="G337" s="2">
        <v>0</v>
      </c>
      <c r="H337" s="4">
        <v>0</v>
      </c>
      <c r="I337" s="4">
        <v>0</v>
      </c>
      <c r="J337" s="4">
        <v>0</v>
      </c>
      <c r="K337" s="4">
        <v>34541825.359999999</v>
      </c>
      <c r="L337" s="4" t="s">
        <v>1078</v>
      </c>
      <c r="M337" s="4" t="s">
        <v>1079</v>
      </c>
      <c r="N337" s="4" t="s">
        <v>233</v>
      </c>
      <c r="O337" s="4" t="s">
        <v>229</v>
      </c>
      <c r="P337" s="4" t="s">
        <v>229</v>
      </c>
      <c r="Q337" s="4" t="s">
        <v>100</v>
      </c>
      <c r="R337" s="9">
        <f t="shared" si="5"/>
        <v>5.7821052332992053E-4</v>
      </c>
    </row>
    <row r="338" spans="1:18" hidden="1" x14ac:dyDescent="0.2">
      <c r="A338" s="4">
        <v>1845</v>
      </c>
      <c r="B338" s="2">
        <v>29075109</v>
      </c>
      <c r="C338" s="2">
        <v>90175.32</v>
      </c>
      <c r="D338" s="4" t="s">
        <v>721</v>
      </c>
      <c r="E338" s="2">
        <v>28984933.68</v>
      </c>
      <c r="F338" s="2">
        <v>5507137.4000000004</v>
      </c>
      <c r="G338" s="2">
        <v>408562.5</v>
      </c>
      <c r="H338" s="4">
        <v>0</v>
      </c>
      <c r="I338" s="4">
        <v>0</v>
      </c>
      <c r="J338" s="4">
        <v>408562.5</v>
      </c>
      <c r="K338" s="4">
        <v>34083508.579999998</v>
      </c>
      <c r="L338" s="4" t="s">
        <v>720</v>
      </c>
      <c r="M338" s="4" t="s">
        <v>61</v>
      </c>
      <c r="N338" s="4" t="s">
        <v>32</v>
      </c>
      <c r="O338" s="4" t="s">
        <v>33</v>
      </c>
      <c r="P338" s="4" t="s">
        <v>33</v>
      </c>
      <c r="Q338" s="4" t="s">
        <v>28</v>
      </c>
      <c r="R338" s="9">
        <f t="shared" si="5"/>
        <v>5.7737766494911867E-4</v>
      </c>
    </row>
    <row r="339" spans="1:18" x14ac:dyDescent="0.2">
      <c r="A339" s="4">
        <v>828</v>
      </c>
      <c r="B339" s="2">
        <v>28878079</v>
      </c>
      <c r="C339" s="2">
        <v>0</v>
      </c>
      <c r="D339" s="4" t="s">
        <v>1303</v>
      </c>
      <c r="E339" s="2">
        <v>28878079</v>
      </c>
      <c r="F339" s="2">
        <v>5486835.0099999998</v>
      </c>
      <c r="G339" s="2">
        <v>721951.98</v>
      </c>
      <c r="H339" s="4">
        <v>823025.24</v>
      </c>
      <c r="I339" s="4">
        <v>0</v>
      </c>
      <c r="J339" s="4">
        <v>1544977.22</v>
      </c>
      <c r="K339" s="4">
        <v>32819936.789999999</v>
      </c>
      <c r="L339" s="4" t="s">
        <v>1302</v>
      </c>
      <c r="M339" s="4" t="s">
        <v>81</v>
      </c>
      <c r="N339" s="4" t="s">
        <v>104</v>
      </c>
      <c r="O339" s="4" t="s">
        <v>105</v>
      </c>
      <c r="P339" s="4" t="s">
        <v>105</v>
      </c>
      <c r="Q339" s="4" t="s">
        <v>28</v>
      </c>
      <c r="R339" s="9">
        <f t="shared" si="5"/>
        <v>5.7524912788540074E-4</v>
      </c>
    </row>
    <row r="340" spans="1:18" hidden="1" x14ac:dyDescent="0.2">
      <c r="A340" s="4">
        <v>675</v>
      </c>
      <c r="B340" s="2">
        <v>28732811</v>
      </c>
      <c r="C340" s="2">
        <v>0</v>
      </c>
      <c r="D340" s="4" t="s">
        <v>1095</v>
      </c>
      <c r="E340" s="2">
        <v>28732811</v>
      </c>
      <c r="F340" s="2">
        <v>5459234.0899999999</v>
      </c>
      <c r="G340" s="2">
        <v>698555.77</v>
      </c>
      <c r="H340" s="4">
        <v>0</v>
      </c>
      <c r="I340" s="4">
        <v>0</v>
      </c>
      <c r="J340" s="4">
        <v>698555.77</v>
      </c>
      <c r="K340" s="4">
        <v>33493489.32</v>
      </c>
      <c r="L340" s="4" t="s">
        <v>1093</v>
      </c>
      <c r="M340" s="4" t="s">
        <v>1094</v>
      </c>
      <c r="N340" s="4" t="s">
        <v>1096</v>
      </c>
      <c r="O340" s="4" t="s">
        <v>89</v>
      </c>
      <c r="P340" s="4" t="s">
        <v>89</v>
      </c>
      <c r="Q340" s="4" t="s">
        <v>100</v>
      </c>
      <c r="R340" s="9">
        <f t="shared" si="5"/>
        <v>5.7235540042140781E-4</v>
      </c>
    </row>
    <row r="341" spans="1:18" hidden="1" x14ac:dyDescent="0.2">
      <c r="A341" s="4">
        <v>662</v>
      </c>
      <c r="B341" s="2">
        <v>28677534</v>
      </c>
      <c r="C341" s="2">
        <v>0</v>
      </c>
      <c r="D341" s="4" t="s">
        <v>1294</v>
      </c>
      <c r="E341" s="2">
        <v>28677534</v>
      </c>
      <c r="F341" s="2">
        <v>5448731.46</v>
      </c>
      <c r="G341" s="2">
        <v>664104.66</v>
      </c>
      <c r="H341" s="4">
        <v>0</v>
      </c>
      <c r="I341" s="4">
        <v>0</v>
      </c>
      <c r="J341" s="4">
        <v>664104.66</v>
      </c>
      <c r="K341" s="4">
        <v>33462160.800000001</v>
      </c>
      <c r="L341" s="4" t="s">
        <v>1293</v>
      </c>
      <c r="M341" s="4" t="s">
        <v>379</v>
      </c>
      <c r="N341" s="4" t="s">
        <v>381</v>
      </c>
      <c r="O341" s="4" t="s">
        <v>382</v>
      </c>
      <c r="P341" s="4" t="s">
        <v>382</v>
      </c>
      <c r="Q341" s="4" t="s">
        <v>100</v>
      </c>
      <c r="R341" s="9">
        <f t="shared" si="5"/>
        <v>5.7125428680363151E-4</v>
      </c>
    </row>
    <row r="342" spans="1:18" hidden="1" x14ac:dyDescent="0.2">
      <c r="A342" s="4">
        <v>1217</v>
      </c>
      <c r="B342" s="2">
        <v>28642444</v>
      </c>
      <c r="C342" s="2">
        <v>0</v>
      </c>
      <c r="D342" s="4" t="s">
        <v>1402</v>
      </c>
      <c r="E342" s="2">
        <v>28642444</v>
      </c>
      <c r="F342" s="2">
        <v>5442064.3600000003</v>
      </c>
      <c r="G342" s="2">
        <v>0</v>
      </c>
      <c r="H342" s="4">
        <v>0</v>
      </c>
      <c r="I342" s="4">
        <v>0</v>
      </c>
      <c r="J342" s="4">
        <v>0</v>
      </c>
      <c r="K342" s="4">
        <v>34084508.359999999</v>
      </c>
      <c r="L342" s="4" t="s">
        <v>1400</v>
      </c>
      <c r="M342" s="4" t="s">
        <v>1401</v>
      </c>
      <c r="N342" s="4" t="s">
        <v>20</v>
      </c>
      <c r="O342" s="4" t="s">
        <v>631</v>
      </c>
      <c r="P342" s="4" t="s">
        <v>631</v>
      </c>
      <c r="Q342" s="4" t="s">
        <v>100</v>
      </c>
      <c r="R342" s="9">
        <f t="shared" si="5"/>
        <v>5.7055529668391131E-4</v>
      </c>
    </row>
    <row r="343" spans="1:18" hidden="1" x14ac:dyDescent="0.2">
      <c r="A343" s="4">
        <v>1932</v>
      </c>
      <c r="B343" s="2">
        <v>28568353</v>
      </c>
      <c r="C343" s="2">
        <v>0</v>
      </c>
      <c r="D343" s="4" t="s">
        <v>2243</v>
      </c>
      <c r="E343" s="2">
        <v>28568353</v>
      </c>
      <c r="F343" s="2">
        <v>5427987.0700000003</v>
      </c>
      <c r="G343" s="2">
        <v>712663.24</v>
      </c>
      <c r="H343" s="4">
        <v>0</v>
      </c>
      <c r="I343" s="4">
        <v>0</v>
      </c>
      <c r="J343" s="4">
        <v>712663.24</v>
      </c>
      <c r="K343" s="4">
        <v>33283676.829999998</v>
      </c>
      <c r="L343" s="4" t="s">
        <v>2241</v>
      </c>
      <c r="M343" s="4" t="s">
        <v>2242</v>
      </c>
      <c r="N343" s="4" t="s">
        <v>1280</v>
      </c>
      <c r="O343" s="4" t="s">
        <v>33</v>
      </c>
      <c r="P343" s="4" t="s">
        <v>33</v>
      </c>
      <c r="Q343" s="4" t="s">
        <v>100</v>
      </c>
      <c r="R343" s="9">
        <f t="shared" si="5"/>
        <v>5.6907940962320493E-4</v>
      </c>
    </row>
    <row r="344" spans="1:18" hidden="1" x14ac:dyDescent="0.2">
      <c r="A344" s="4">
        <v>926</v>
      </c>
      <c r="B344" s="2">
        <v>28512628</v>
      </c>
      <c r="C344" s="2">
        <v>0</v>
      </c>
      <c r="D344" s="4" t="s">
        <v>2363</v>
      </c>
      <c r="E344" s="2">
        <v>28512628</v>
      </c>
      <c r="F344" s="2">
        <v>5417399.3200000003</v>
      </c>
      <c r="G344" s="2">
        <v>461202.56</v>
      </c>
      <c r="H344" s="4">
        <v>0</v>
      </c>
      <c r="I344" s="4">
        <v>0</v>
      </c>
      <c r="J344" s="4">
        <v>461202.56</v>
      </c>
      <c r="K344" s="4">
        <v>33468824.760000002</v>
      </c>
      <c r="L344" s="4" t="s">
        <v>2361</v>
      </c>
      <c r="M344" s="4" t="s">
        <v>2362</v>
      </c>
      <c r="N344" s="4" t="s">
        <v>329</v>
      </c>
      <c r="O344" s="4" t="s">
        <v>89</v>
      </c>
      <c r="P344" s="4" t="s">
        <v>1039</v>
      </c>
      <c r="Q344" s="4" t="s">
        <v>100</v>
      </c>
      <c r="R344" s="9">
        <f t="shared" si="5"/>
        <v>5.6796937187964815E-4</v>
      </c>
    </row>
    <row r="345" spans="1:18" hidden="1" x14ac:dyDescent="0.2">
      <c r="A345" s="4">
        <v>391</v>
      </c>
      <c r="B345" s="2">
        <v>28592406</v>
      </c>
      <c r="C345" s="2">
        <v>105134.97</v>
      </c>
      <c r="D345" s="4" t="s">
        <v>1578</v>
      </c>
      <c r="E345" s="2">
        <v>28487271.030000001</v>
      </c>
      <c r="F345" s="2">
        <v>5412581.5</v>
      </c>
      <c r="G345" s="2">
        <v>678388.02</v>
      </c>
      <c r="H345" s="4">
        <v>0</v>
      </c>
      <c r="I345" s="4">
        <v>0</v>
      </c>
      <c r="J345" s="4">
        <v>678388.02</v>
      </c>
      <c r="K345" s="4">
        <v>33221464.510000002</v>
      </c>
      <c r="L345" s="4" t="s">
        <v>1576</v>
      </c>
      <c r="M345" s="4" t="s">
        <v>1577</v>
      </c>
      <c r="N345" s="4" t="s">
        <v>705</v>
      </c>
      <c r="O345" s="4" t="s">
        <v>59</v>
      </c>
      <c r="P345" s="4" t="s">
        <v>59</v>
      </c>
      <c r="Q345" s="4" t="s">
        <v>100</v>
      </c>
      <c r="R345" s="9">
        <f t="shared" si="5"/>
        <v>5.6746426297408982E-4</v>
      </c>
    </row>
    <row r="346" spans="1:18" hidden="1" x14ac:dyDescent="0.2">
      <c r="A346" s="4">
        <v>934</v>
      </c>
      <c r="B346" s="2">
        <v>28448938</v>
      </c>
      <c r="C346" s="2">
        <v>101907.63</v>
      </c>
      <c r="D346" s="4" t="s">
        <v>1575</v>
      </c>
      <c r="E346" s="2">
        <v>28347030.370000001</v>
      </c>
      <c r="F346" s="2">
        <v>5385935.7699999996</v>
      </c>
      <c r="G346" s="2">
        <v>619388.66</v>
      </c>
      <c r="H346" s="4">
        <v>0</v>
      </c>
      <c r="I346" s="4">
        <v>0</v>
      </c>
      <c r="J346" s="4">
        <v>619388.66</v>
      </c>
      <c r="K346" s="4">
        <v>33113577.48</v>
      </c>
      <c r="L346" s="4" t="s">
        <v>1573</v>
      </c>
      <c r="M346" s="4" t="s">
        <v>1574</v>
      </c>
      <c r="N346" s="4" t="s">
        <v>245</v>
      </c>
      <c r="O346" s="4" t="s">
        <v>237</v>
      </c>
      <c r="P346" s="4" t="s">
        <v>237</v>
      </c>
      <c r="Q346" s="4" t="s">
        <v>28</v>
      </c>
      <c r="R346" s="9">
        <f t="shared" si="5"/>
        <v>5.6467067973889362E-4</v>
      </c>
    </row>
    <row r="347" spans="1:18" hidden="1" x14ac:dyDescent="0.2">
      <c r="A347" s="4">
        <v>177</v>
      </c>
      <c r="B347" s="2">
        <v>28322530</v>
      </c>
      <c r="C347" s="2">
        <v>0</v>
      </c>
      <c r="D347" s="4" t="s">
        <v>1050</v>
      </c>
      <c r="E347" s="2">
        <v>28322530</v>
      </c>
      <c r="F347" s="2">
        <v>5381280.7000000002</v>
      </c>
      <c r="G347" s="2">
        <v>0</v>
      </c>
      <c r="H347" s="4">
        <v>0</v>
      </c>
      <c r="I347" s="4">
        <v>0</v>
      </c>
      <c r="J347" s="4">
        <v>0</v>
      </c>
      <c r="K347" s="4">
        <v>33703810.700000003</v>
      </c>
      <c r="L347" s="4" t="s">
        <v>1048</v>
      </c>
      <c r="M347" s="4" t="s">
        <v>1049</v>
      </c>
      <c r="N347" s="4" t="s">
        <v>186</v>
      </c>
      <c r="O347" s="4" t="s">
        <v>59</v>
      </c>
      <c r="P347" s="4" t="s">
        <v>59</v>
      </c>
      <c r="Q347" s="4" t="s">
        <v>100</v>
      </c>
      <c r="R347" s="9">
        <f t="shared" si="5"/>
        <v>5.6418263423990559E-4</v>
      </c>
    </row>
    <row r="348" spans="1:18" hidden="1" x14ac:dyDescent="0.2">
      <c r="A348" s="4">
        <v>1083</v>
      </c>
      <c r="B348" s="2">
        <v>28294163</v>
      </c>
      <c r="C348" s="2">
        <v>0</v>
      </c>
      <c r="D348" s="4" t="s">
        <v>2003</v>
      </c>
      <c r="E348" s="2">
        <v>28294163</v>
      </c>
      <c r="F348" s="2">
        <v>5375890.9699999997</v>
      </c>
      <c r="G348" s="2">
        <v>458606.24</v>
      </c>
      <c r="H348" s="4">
        <v>0</v>
      </c>
      <c r="I348" s="4">
        <v>0</v>
      </c>
      <c r="J348" s="4">
        <v>458606.24</v>
      </c>
      <c r="K348" s="4">
        <v>33211447.73</v>
      </c>
      <c r="L348" s="4" t="s">
        <v>2001</v>
      </c>
      <c r="M348" s="4" t="s">
        <v>2002</v>
      </c>
      <c r="N348" s="4" t="s">
        <v>651</v>
      </c>
      <c r="O348" s="4" t="s">
        <v>196</v>
      </c>
      <c r="P348" s="4" t="s">
        <v>196</v>
      </c>
      <c r="Q348" s="4" t="s">
        <v>100</v>
      </c>
      <c r="R348" s="9">
        <f t="shared" si="5"/>
        <v>5.6361756576666245E-4</v>
      </c>
    </row>
    <row r="349" spans="1:18" hidden="1" x14ac:dyDescent="0.2">
      <c r="A349" s="4">
        <v>1459</v>
      </c>
      <c r="B349" s="2">
        <v>28495330</v>
      </c>
      <c r="C349" s="2">
        <v>213222.99</v>
      </c>
      <c r="D349" s="4" t="s">
        <v>794</v>
      </c>
      <c r="E349" s="2">
        <v>28282107.010000002</v>
      </c>
      <c r="F349" s="2">
        <v>5373600.3300000001</v>
      </c>
      <c r="G349" s="2">
        <v>524069.83</v>
      </c>
      <c r="H349" s="4">
        <v>0</v>
      </c>
      <c r="I349" s="4">
        <v>0</v>
      </c>
      <c r="J349" s="4">
        <v>524069.83</v>
      </c>
      <c r="K349" s="4">
        <v>33131637.510000002</v>
      </c>
      <c r="L349" s="4" t="s">
        <v>792</v>
      </c>
      <c r="M349" s="4" t="s">
        <v>793</v>
      </c>
      <c r="N349" s="4" t="s">
        <v>127</v>
      </c>
      <c r="O349" s="4" t="s">
        <v>67</v>
      </c>
      <c r="P349" s="4" t="s">
        <v>67</v>
      </c>
      <c r="Q349" s="4" t="s">
        <v>28</v>
      </c>
      <c r="R349" s="9">
        <f t="shared" si="5"/>
        <v>5.6337741136673527E-4</v>
      </c>
    </row>
    <row r="350" spans="1:18" hidden="1" x14ac:dyDescent="0.2">
      <c r="A350" s="4">
        <v>1993</v>
      </c>
      <c r="B350" s="2">
        <v>28205400</v>
      </c>
      <c r="C350" s="2">
        <v>0</v>
      </c>
      <c r="D350" s="4" t="s">
        <v>3408</v>
      </c>
      <c r="E350" s="2">
        <v>28205400</v>
      </c>
      <c r="F350" s="2">
        <v>5359026</v>
      </c>
      <c r="G350" s="2">
        <v>533661.86</v>
      </c>
      <c r="H350" s="4">
        <v>0</v>
      </c>
      <c r="I350" s="4">
        <v>0</v>
      </c>
      <c r="J350" s="4">
        <v>533661.86</v>
      </c>
      <c r="K350" s="4">
        <v>33030764.140000001</v>
      </c>
      <c r="L350" s="4" t="s">
        <v>3406</v>
      </c>
      <c r="M350" s="4" t="s">
        <v>3407</v>
      </c>
      <c r="N350" s="4" t="s">
        <v>522</v>
      </c>
      <c r="O350" s="4" t="s">
        <v>105</v>
      </c>
      <c r="P350" s="4" t="s">
        <v>1039</v>
      </c>
      <c r="Q350" s="4" t="s">
        <v>100</v>
      </c>
      <c r="R350" s="9">
        <f t="shared" si="5"/>
        <v>5.6184941358664758E-4</v>
      </c>
    </row>
    <row r="351" spans="1:18" hidden="1" x14ac:dyDescent="0.2">
      <c r="A351" s="4">
        <v>1812</v>
      </c>
      <c r="B351" s="2">
        <v>28199639</v>
      </c>
      <c r="C351" s="2">
        <v>0</v>
      </c>
      <c r="D351" s="4" t="s">
        <v>1660</v>
      </c>
      <c r="E351" s="2">
        <v>28199639</v>
      </c>
      <c r="F351" s="2">
        <v>5357931.41</v>
      </c>
      <c r="G351" s="2">
        <v>0</v>
      </c>
      <c r="H351" s="4">
        <v>0</v>
      </c>
      <c r="I351" s="4">
        <v>0</v>
      </c>
      <c r="J351" s="4">
        <v>0</v>
      </c>
      <c r="K351" s="4">
        <v>33557570.409999996</v>
      </c>
      <c r="L351" s="4" t="s">
        <v>1658</v>
      </c>
      <c r="M351" s="4" t="s">
        <v>1659</v>
      </c>
      <c r="N351" s="4" t="s">
        <v>236</v>
      </c>
      <c r="O351" s="4" t="s">
        <v>237</v>
      </c>
      <c r="P351" s="4" t="s">
        <v>237</v>
      </c>
      <c r="Q351" s="4" t="s">
        <v>100</v>
      </c>
      <c r="R351" s="9">
        <f t="shared" si="5"/>
        <v>5.6173465490669012E-4</v>
      </c>
    </row>
    <row r="352" spans="1:18" hidden="1" x14ac:dyDescent="0.2">
      <c r="A352" s="4">
        <v>764</v>
      </c>
      <c r="B352" s="2">
        <v>28112729</v>
      </c>
      <c r="C352" s="2">
        <v>0</v>
      </c>
      <c r="D352" s="4" t="s">
        <v>1038</v>
      </c>
      <c r="E352" s="2">
        <v>28112729</v>
      </c>
      <c r="F352" s="2">
        <v>5341418.51</v>
      </c>
      <c r="G352" s="2">
        <v>702818.24</v>
      </c>
      <c r="H352" s="4">
        <v>0</v>
      </c>
      <c r="I352" s="4">
        <v>0</v>
      </c>
      <c r="J352" s="4">
        <v>702818.24</v>
      </c>
      <c r="K352" s="4">
        <v>32751329.27</v>
      </c>
      <c r="L352" s="4" t="s">
        <v>1036</v>
      </c>
      <c r="M352" s="4" t="s">
        <v>1037</v>
      </c>
      <c r="N352" s="4" t="s">
        <v>32</v>
      </c>
      <c r="O352" s="4" t="s">
        <v>33</v>
      </c>
      <c r="P352" s="4" t="s">
        <v>33</v>
      </c>
      <c r="Q352" s="4" t="s">
        <v>100</v>
      </c>
      <c r="R352" s="9">
        <f t="shared" si="5"/>
        <v>5.6000341434513752E-4</v>
      </c>
    </row>
    <row r="353" spans="1:18" hidden="1" x14ac:dyDescent="0.2">
      <c r="A353" s="4">
        <v>1950</v>
      </c>
      <c r="B353" s="2">
        <v>28283936</v>
      </c>
      <c r="C353" s="2">
        <v>216393.63</v>
      </c>
      <c r="D353" s="4" t="s">
        <v>1130</v>
      </c>
      <c r="E353" s="2">
        <v>28067542.370000001</v>
      </c>
      <c r="F353" s="2">
        <v>5332833.05</v>
      </c>
      <c r="G353" s="2">
        <v>642328.55000000005</v>
      </c>
      <c r="H353" s="4">
        <v>0</v>
      </c>
      <c r="I353" s="4">
        <v>0</v>
      </c>
      <c r="J353" s="4">
        <v>642328.55000000005</v>
      </c>
      <c r="K353" s="4">
        <v>32758046.870000001</v>
      </c>
      <c r="L353" s="4" t="s">
        <v>1128</v>
      </c>
      <c r="M353" s="4" t="s">
        <v>1129</v>
      </c>
      <c r="N353" s="4" t="s">
        <v>1131</v>
      </c>
      <c r="O353" s="4" t="s">
        <v>27</v>
      </c>
      <c r="P353" s="4" t="s">
        <v>27</v>
      </c>
      <c r="Q353" s="4" t="s">
        <v>28</v>
      </c>
      <c r="R353" s="9">
        <f t="shared" si="5"/>
        <v>5.591033001270283E-4</v>
      </c>
    </row>
    <row r="354" spans="1:18" hidden="1" x14ac:dyDescent="0.2">
      <c r="A354" s="4">
        <v>546</v>
      </c>
      <c r="B354" s="2">
        <v>28044321</v>
      </c>
      <c r="C354" s="2">
        <v>0</v>
      </c>
      <c r="D354" s="4" t="s">
        <v>1283</v>
      </c>
      <c r="E354" s="2">
        <v>28044321</v>
      </c>
      <c r="F354" s="2">
        <v>5328420.99</v>
      </c>
      <c r="G354" s="2">
        <v>0</v>
      </c>
      <c r="H354" s="4">
        <v>0</v>
      </c>
      <c r="I354" s="4">
        <v>0</v>
      </c>
      <c r="J354" s="4">
        <v>0</v>
      </c>
      <c r="K354" s="4">
        <v>33372741.989999998</v>
      </c>
      <c r="L354" s="4" t="s">
        <v>1281</v>
      </c>
      <c r="M354" s="4" t="s">
        <v>1282</v>
      </c>
      <c r="N354" s="4" t="s">
        <v>221</v>
      </c>
      <c r="O354" s="4" t="s">
        <v>33</v>
      </c>
      <c r="P354" s="4" t="s">
        <v>33</v>
      </c>
      <c r="Q354" s="4" t="s">
        <v>100</v>
      </c>
      <c r="R354" s="9">
        <f t="shared" si="5"/>
        <v>5.586407322103464E-4</v>
      </c>
    </row>
    <row r="355" spans="1:18" hidden="1" x14ac:dyDescent="0.2">
      <c r="A355" s="4">
        <v>702</v>
      </c>
      <c r="B355" s="2">
        <v>28018583</v>
      </c>
      <c r="C355" s="2">
        <v>74066.16</v>
      </c>
      <c r="D355" s="4" t="s">
        <v>1000</v>
      </c>
      <c r="E355" s="2">
        <v>27944516.84</v>
      </c>
      <c r="F355" s="2">
        <v>5309458.2</v>
      </c>
      <c r="G355" s="2">
        <v>427593.16</v>
      </c>
      <c r="H355" s="4">
        <v>0</v>
      </c>
      <c r="I355" s="4">
        <v>0</v>
      </c>
      <c r="J355" s="4">
        <v>427593.16</v>
      </c>
      <c r="K355" s="4">
        <v>32826381.879999999</v>
      </c>
      <c r="L355" s="4" t="s">
        <v>999</v>
      </c>
      <c r="M355" s="4" t="s">
        <v>304</v>
      </c>
      <c r="N355" s="4" t="s">
        <v>1001</v>
      </c>
      <c r="O355" s="4" t="s">
        <v>42</v>
      </c>
      <c r="P355" s="4" t="s">
        <v>42</v>
      </c>
      <c r="Q355" s="4" t="s">
        <v>28</v>
      </c>
      <c r="R355" s="9">
        <f t="shared" si="5"/>
        <v>5.5665264096648858E-4</v>
      </c>
    </row>
    <row r="356" spans="1:18" hidden="1" x14ac:dyDescent="0.2">
      <c r="A356" s="4">
        <v>554</v>
      </c>
      <c r="B356" s="2">
        <v>27697983</v>
      </c>
      <c r="C356" s="2">
        <v>0</v>
      </c>
      <c r="D356" s="4" t="s">
        <v>3947</v>
      </c>
      <c r="E356" s="2">
        <v>27697983</v>
      </c>
      <c r="F356" s="2">
        <v>0</v>
      </c>
      <c r="G356" s="2">
        <v>0</v>
      </c>
      <c r="H356" s="4">
        <v>0</v>
      </c>
      <c r="I356" s="4">
        <v>0</v>
      </c>
      <c r="J356" s="4">
        <v>0</v>
      </c>
      <c r="K356" s="4">
        <v>27697983</v>
      </c>
      <c r="L356" s="4" t="s">
        <v>3945</v>
      </c>
      <c r="M356" s="4" t="s">
        <v>3946</v>
      </c>
      <c r="N356" s="4" t="s">
        <v>1107</v>
      </c>
      <c r="O356" s="4" t="s">
        <v>3907</v>
      </c>
      <c r="P356" s="4" t="s">
        <v>3907</v>
      </c>
      <c r="Q356" s="4" t="s">
        <v>144</v>
      </c>
      <c r="R356" s="9">
        <f t="shared" si="5"/>
        <v>5.5174170570468535E-4</v>
      </c>
    </row>
    <row r="357" spans="1:18" hidden="1" x14ac:dyDescent="0.2">
      <c r="A357" s="4">
        <v>466</v>
      </c>
      <c r="B357" s="2">
        <v>27684384</v>
      </c>
      <c r="C357" s="2">
        <v>0</v>
      </c>
      <c r="D357" s="4" t="s">
        <v>1251</v>
      </c>
      <c r="E357" s="2">
        <v>27684384</v>
      </c>
      <c r="F357" s="2">
        <v>5260032.96</v>
      </c>
      <c r="G357" s="2">
        <v>430224.62</v>
      </c>
      <c r="H357" s="4">
        <v>0</v>
      </c>
      <c r="I357" s="4">
        <v>0</v>
      </c>
      <c r="J357" s="4">
        <v>430224.62</v>
      </c>
      <c r="K357" s="4">
        <v>32514192.34</v>
      </c>
      <c r="L357" s="4" t="s">
        <v>1249</v>
      </c>
      <c r="M357" s="4" t="s">
        <v>1250</v>
      </c>
      <c r="N357" s="4" t="s">
        <v>20</v>
      </c>
      <c r="O357" s="4" t="s">
        <v>316</v>
      </c>
      <c r="P357" s="4" t="s">
        <v>316</v>
      </c>
      <c r="Q357" s="4" t="s">
        <v>100</v>
      </c>
      <c r="R357" s="9">
        <f t="shared" si="5"/>
        <v>5.5147081466341797E-4</v>
      </c>
    </row>
    <row r="358" spans="1:18" hidden="1" x14ac:dyDescent="0.2">
      <c r="A358" s="4">
        <v>668</v>
      </c>
      <c r="B358" s="2">
        <v>27654918</v>
      </c>
      <c r="C358" s="2">
        <v>0</v>
      </c>
      <c r="D358" s="4" t="s">
        <v>5380</v>
      </c>
      <c r="E358" s="2">
        <v>27654918</v>
      </c>
      <c r="F358" s="2">
        <v>0</v>
      </c>
      <c r="G358" s="2">
        <v>691372.95</v>
      </c>
      <c r="H358" s="4">
        <v>0</v>
      </c>
      <c r="I358" s="4">
        <v>0</v>
      </c>
      <c r="J358" s="4">
        <v>691372.95</v>
      </c>
      <c r="K358" s="4">
        <v>26963545.050000001</v>
      </c>
      <c r="L358" s="4" t="s">
        <v>5378</v>
      </c>
      <c r="M358" s="4" t="s">
        <v>5379</v>
      </c>
      <c r="N358" s="4" t="s">
        <v>205</v>
      </c>
      <c r="O358" s="4" t="s">
        <v>206</v>
      </c>
      <c r="P358" s="4" t="s">
        <v>206</v>
      </c>
      <c r="Q358" s="4" t="s">
        <v>28</v>
      </c>
      <c r="R358" s="9">
        <f t="shared" si="5"/>
        <v>5.5088385419411968E-4</v>
      </c>
    </row>
    <row r="359" spans="1:18" hidden="1" x14ac:dyDescent="0.2">
      <c r="A359" s="4">
        <v>353</v>
      </c>
      <c r="B359" s="2">
        <v>27704032</v>
      </c>
      <c r="C359" s="2">
        <v>80683.05</v>
      </c>
      <c r="D359" s="4" t="s">
        <v>1516</v>
      </c>
      <c r="E359" s="2">
        <v>27623348.949999999</v>
      </c>
      <c r="F359" s="2">
        <v>5248436.3</v>
      </c>
      <c r="G359" s="2">
        <v>356631.98</v>
      </c>
      <c r="H359" s="4">
        <v>0</v>
      </c>
      <c r="I359" s="4">
        <v>0</v>
      </c>
      <c r="J359" s="4">
        <v>356631.98</v>
      </c>
      <c r="K359" s="4">
        <v>32515153.27</v>
      </c>
      <c r="L359" s="4" t="s">
        <v>1514</v>
      </c>
      <c r="M359" s="4" t="s">
        <v>1515</v>
      </c>
      <c r="N359" s="4" t="s">
        <v>20</v>
      </c>
      <c r="O359" s="4" t="s">
        <v>1517</v>
      </c>
      <c r="P359" s="4" t="s">
        <v>1517</v>
      </c>
      <c r="Q359" s="4" t="s">
        <v>100</v>
      </c>
      <c r="R359" s="9">
        <f t="shared" si="5"/>
        <v>5.5025500112945876E-4</v>
      </c>
    </row>
    <row r="360" spans="1:18" hidden="1" x14ac:dyDescent="0.2">
      <c r="A360" s="4">
        <v>617</v>
      </c>
      <c r="B360" s="2">
        <v>27600296</v>
      </c>
      <c r="C360" s="2">
        <v>31019.759999999998</v>
      </c>
      <c r="D360" s="4" t="s">
        <v>1700</v>
      </c>
      <c r="E360" s="2">
        <v>27569276.239999998</v>
      </c>
      <c r="F360" s="2">
        <v>5238162.49</v>
      </c>
      <c r="G360" s="2">
        <v>198964.28</v>
      </c>
      <c r="H360" s="4">
        <v>0</v>
      </c>
      <c r="I360" s="4">
        <v>0</v>
      </c>
      <c r="J360" s="4">
        <v>198964.28</v>
      </c>
      <c r="K360" s="4">
        <v>32608474.449999999</v>
      </c>
      <c r="L360" s="4" t="s">
        <v>1698</v>
      </c>
      <c r="M360" s="4" t="s">
        <v>1699</v>
      </c>
      <c r="N360" s="4" t="s">
        <v>1269</v>
      </c>
      <c r="O360" s="4" t="s">
        <v>105</v>
      </c>
      <c r="P360" s="4" t="s">
        <v>105</v>
      </c>
      <c r="Q360" s="4" t="s">
        <v>28</v>
      </c>
      <c r="R360" s="9">
        <f t="shared" si="5"/>
        <v>5.4917787687649511E-4</v>
      </c>
    </row>
    <row r="361" spans="1:18" hidden="1" x14ac:dyDescent="0.2">
      <c r="A361" s="4">
        <v>121</v>
      </c>
      <c r="B361" s="2">
        <v>27505680</v>
      </c>
      <c r="C361" s="2">
        <v>0</v>
      </c>
      <c r="D361" s="4" t="s">
        <v>3548</v>
      </c>
      <c r="E361" s="2">
        <v>27505680</v>
      </c>
      <c r="F361" s="2">
        <v>5226079.2</v>
      </c>
      <c r="G361" s="2">
        <v>0</v>
      </c>
      <c r="H361" s="4">
        <v>0</v>
      </c>
      <c r="I361" s="4">
        <v>0</v>
      </c>
      <c r="J361" s="4">
        <v>0</v>
      </c>
      <c r="K361" s="4">
        <v>32731759.199999999</v>
      </c>
      <c r="L361" s="4" t="s">
        <v>3546</v>
      </c>
      <c r="M361" s="4" t="s">
        <v>3547</v>
      </c>
      <c r="N361" s="4" t="s">
        <v>20</v>
      </c>
      <c r="O361" s="4" t="s">
        <v>316</v>
      </c>
      <c r="P361" s="4" t="s">
        <v>316</v>
      </c>
      <c r="Q361" s="4" t="s">
        <v>100</v>
      </c>
      <c r="R361" s="9">
        <f t="shared" si="5"/>
        <v>5.4791104463336742E-4</v>
      </c>
    </row>
    <row r="362" spans="1:18" hidden="1" x14ac:dyDescent="0.2">
      <c r="A362" s="4">
        <v>1774</v>
      </c>
      <c r="B362" s="2">
        <v>27377149</v>
      </c>
      <c r="C362" s="2">
        <v>0</v>
      </c>
      <c r="D362" s="4" t="s">
        <v>1424</v>
      </c>
      <c r="E362" s="2">
        <v>27377149</v>
      </c>
      <c r="F362" s="2">
        <v>5201658.3099999996</v>
      </c>
      <c r="G362" s="2">
        <v>0</v>
      </c>
      <c r="H362" s="4">
        <v>0</v>
      </c>
      <c r="I362" s="4">
        <v>0</v>
      </c>
      <c r="J362" s="4">
        <v>0</v>
      </c>
      <c r="K362" s="4">
        <v>32578807.309999999</v>
      </c>
      <c r="L362" s="4" t="s">
        <v>1422</v>
      </c>
      <c r="M362" s="4" t="s">
        <v>1423</v>
      </c>
      <c r="N362" s="4" t="s">
        <v>1425</v>
      </c>
      <c r="O362" s="4" t="s">
        <v>33</v>
      </c>
      <c r="P362" s="4" t="s">
        <v>33</v>
      </c>
      <c r="Q362" s="4" t="s">
        <v>100</v>
      </c>
      <c r="R362" s="9">
        <f t="shared" si="5"/>
        <v>5.45350716930952E-4</v>
      </c>
    </row>
    <row r="363" spans="1:18" hidden="1" x14ac:dyDescent="0.2">
      <c r="A363" s="4">
        <v>691</v>
      </c>
      <c r="B363" s="2">
        <v>27370619</v>
      </c>
      <c r="C363" s="2">
        <v>0</v>
      </c>
      <c r="D363" s="4" t="s">
        <v>982</v>
      </c>
      <c r="E363" s="2">
        <v>27370619</v>
      </c>
      <c r="F363" s="2">
        <v>5200417.6100000003</v>
      </c>
      <c r="G363" s="2">
        <v>85119.3</v>
      </c>
      <c r="H363" s="4">
        <v>0</v>
      </c>
      <c r="I363" s="4">
        <v>0</v>
      </c>
      <c r="J363" s="4">
        <v>85119.3</v>
      </c>
      <c r="K363" s="4">
        <v>32485917.309999999</v>
      </c>
      <c r="L363" s="4" t="s">
        <v>980</v>
      </c>
      <c r="M363" s="4" t="s">
        <v>981</v>
      </c>
      <c r="N363" s="4" t="s">
        <v>674</v>
      </c>
      <c r="O363" s="4" t="s">
        <v>89</v>
      </c>
      <c r="P363" s="4" t="s">
        <v>89</v>
      </c>
      <c r="Q363" s="4" t="s">
        <v>100</v>
      </c>
      <c r="R363" s="9">
        <f t="shared" si="5"/>
        <v>5.4522063982973305E-4</v>
      </c>
    </row>
    <row r="364" spans="1:18" hidden="1" x14ac:dyDescent="0.2">
      <c r="A364" s="4">
        <v>1158</v>
      </c>
      <c r="B364" s="2">
        <v>27164304</v>
      </c>
      <c r="C364" s="2">
        <v>0</v>
      </c>
      <c r="D364" s="4" t="s">
        <v>1332</v>
      </c>
      <c r="E364" s="2">
        <v>27164304</v>
      </c>
      <c r="F364" s="2">
        <v>5161217.76</v>
      </c>
      <c r="G364" s="2">
        <v>512800.51</v>
      </c>
      <c r="H364" s="4">
        <v>0</v>
      </c>
      <c r="I364" s="4">
        <v>0</v>
      </c>
      <c r="J364" s="4">
        <v>512800.51</v>
      </c>
      <c r="K364" s="4">
        <v>31812721.25</v>
      </c>
      <c r="L364" s="4" t="s">
        <v>1330</v>
      </c>
      <c r="M364" s="4" t="s">
        <v>1331</v>
      </c>
      <c r="N364" s="4" t="s">
        <v>20</v>
      </c>
      <c r="O364" s="4" t="s">
        <v>386</v>
      </c>
      <c r="P364" s="4" t="s">
        <v>386</v>
      </c>
      <c r="Q364" s="4" t="s">
        <v>585</v>
      </c>
      <c r="R364" s="9">
        <f t="shared" si="5"/>
        <v>5.4111086078869382E-4</v>
      </c>
    </row>
    <row r="365" spans="1:18" hidden="1" x14ac:dyDescent="0.2">
      <c r="A365" s="4">
        <v>1685</v>
      </c>
      <c r="B365" s="2">
        <v>27814172</v>
      </c>
      <c r="C365" s="2">
        <v>690314.4</v>
      </c>
      <c r="D365" s="4" t="s">
        <v>1693</v>
      </c>
      <c r="E365" s="2">
        <v>27123857.600000001</v>
      </c>
      <c r="F365" s="2">
        <v>5153532.9400000004</v>
      </c>
      <c r="G365" s="2">
        <v>628045.64</v>
      </c>
      <c r="H365" s="4">
        <v>0</v>
      </c>
      <c r="I365" s="4">
        <v>0</v>
      </c>
      <c r="J365" s="4">
        <v>628045.64</v>
      </c>
      <c r="K365" s="4">
        <v>31649344.899999999</v>
      </c>
      <c r="L365" s="4" t="s">
        <v>1691</v>
      </c>
      <c r="M365" s="4" t="s">
        <v>1692</v>
      </c>
      <c r="N365" s="4" t="s">
        <v>20</v>
      </c>
      <c r="O365" s="4" t="s">
        <v>76</v>
      </c>
      <c r="P365" s="4" t="s">
        <v>76</v>
      </c>
      <c r="Q365" s="4" t="s">
        <v>100</v>
      </c>
      <c r="R365" s="9">
        <f t="shared" si="5"/>
        <v>5.4030517159011162E-4</v>
      </c>
    </row>
    <row r="366" spans="1:18" hidden="1" x14ac:dyDescent="0.2">
      <c r="A366" s="4">
        <v>1588</v>
      </c>
      <c r="B366" s="2">
        <v>26960336</v>
      </c>
      <c r="C366" s="2">
        <v>0</v>
      </c>
      <c r="D366" s="4" t="s">
        <v>974</v>
      </c>
      <c r="E366" s="2">
        <v>26960336</v>
      </c>
      <c r="F366" s="2">
        <v>5122463.84</v>
      </c>
      <c r="G366" s="2">
        <v>0</v>
      </c>
      <c r="H366" s="4">
        <v>0</v>
      </c>
      <c r="I366" s="4">
        <v>0</v>
      </c>
      <c r="J366" s="4">
        <v>0</v>
      </c>
      <c r="K366" s="4">
        <v>32082799.84</v>
      </c>
      <c r="L366" s="4" t="s">
        <v>972</v>
      </c>
      <c r="M366" s="4" t="s">
        <v>973</v>
      </c>
      <c r="N366" s="4" t="s">
        <v>975</v>
      </c>
      <c r="O366" s="4" t="s">
        <v>89</v>
      </c>
      <c r="P366" s="4" t="s">
        <v>89</v>
      </c>
      <c r="Q366" s="4" t="s">
        <v>100</v>
      </c>
      <c r="R366" s="9">
        <f t="shared" si="5"/>
        <v>5.3704783380838358E-4</v>
      </c>
    </row>
    <row r="367" spans="1:18" x14ac:dyDescent="0.2">
      <c r="A367" s="4">
        <v>803</v>
      </c>
      <c r="B367" s="2">
        <v>26865614</v>
      </c>
      <c r="C367" s="2">
        <v>0</v>
      </c>
      <c r="D367" s="4" t="s">
        <v>1347</v>
      </c>
      <c r="E367" s="2">
        <v>26865614</v>
      </c>
      <c r="F367" s="2">
        <v>5104466.66</v>
      </c>
      <c r="G367" s="2">
        <v>443279.8</v>
      </c>
      <c r="H367" s="4">
        <v>540367.81000000006</v>
      </c>
      <c r="I367" s="4">
        <v>0</v>
      </c>
      <c r="J367" s="4">
        <v>983647.61</v>
      </c>
      <c r="K367" s="4">
        <v>30986433.050000001</v>
      </c>
      <c r="L367" s="4" t="s">
        <v>1346</v>
      </c>
      <c r="M367" s="4" t="s">
        <v>81</v>
      </c>
      <c r="N367" s="4" t="s">
        <v>1348</v>
      </c>
      <c r="O367" s="4" t="s">
        <v>747</v>
      </c>
      <c r="P367" s="4" t="s">
        <v>747</v>
      </c>
      <c r="Q367" s="4" t="s">
        <v>28</v>
      </c>
      <c r="R367" s="9">
        <f t="shared" si="5"/>
        <v>5.351609788035351E-4</v>
      </c>
    </row>
    <row r="368" spans="1:18" hidden="1" x14ac:dyDescent="0.2">
      <c r="A368" s="4">
        <v>1293</v>
      </c>
      <c r="B368" s="2">
        <v>26864910</v>
      </c>
      <c r="C368" s="2">
        <v>0</v>
      </c>
      <c r="D368" s="4" t="s">
        <v>1997</v>
      </c>
      <c r="E368" s="2">
        <v>26864910</v>
      </c>
      <c r="F368" s="2">
        <v>5104332.9000000004</v>
      </c>
      <c r="G368" s="2">
        <v>585581.28</v>
      </c>
      <c r="H368" s="4">
        <v>0</v>
      </c>
      <c r="I368" s="4">
        <v>0</v>
      </c>
      <c r="J368" s="4">
        <v>585581.28</v>
      </c>
      <c r="K368" s="4">
        <v>31383661.620000001</v>
      </c>
      <c r="L368" s="4" t="s">
        <v>1995</v>
      </c>
      <c r="M368" s="4" t="s">
        <v>1996</v>
      </c>
      <c r="N368" s="4" t="s">
        <v>401</v>
      </c>
      <c r="O368" s="4" t="s">
        <v>27</v>
      </c>
      <c r="P368" s="4" t="s">
        <v>27</v>
      </c>
      <c r="Q368" s="4" t="s">
        <v>28</v>
      </c>
      <c r="R368" s="9">
        <f t="shared" si="5"/>
        <v>5.3514695517730879E-4</v>
      </c>
    </row>
    <row r="369" spans="1:18" hidden="1" x14ac:dyDescent="0.2">
      <c r="A369" s="4">
        <v>172</v>
      </c>
      <c r="B369" s="2">
        <v>26682662</v>
      </c>
      <c r="C369" s="2">
        <v>0</v>
      </c>
      <c r="D369" s="4" t="s">
        <v>804</v>
      </c>
      <c r="E369" s="2">
        <v>26682662</v>
      </c>
      <c r="F369" s="2">
        <v>5069705.78</v>
      </c>
      <c r="G369" s="2">
        <v>561028.05000000005</v>
      </c>
      <c r="H369" s="4">
        <v>0</v>
      </c>
      <c r="I369" s="4">
        <v>0</v>
      </c>
      <c r="J369" s="4">
        <v>561028.05000000005</v>
      </c>
      <c r="K369" s="4">
        <v>31191339.73</v>
      </c>
      <c r="L369" s="4" t="s">
        <v>802</v>
      </c>
      <c r="M369" s="4" t="s">
        <v>803</v>
      </c>
      <c r="N369" s="4" t="s">
        <v>112</v>
      </c>
      <c r="O369" s="4" t="s">
        <v>113</v>
      </c>
      <c r="P369" s="4" t="s">
        <v>113</v>
      </c>
      <c r="Q369" s="4" t="s">
        <v>100</v>
      </c>
      <c r="R369" s="9">
        <f t="shared" si="5"/>
        <v>5.315165889379596E-4</v>
      </c>
    </row>
    <row r="370" spans="1:18" hidden="1" x14ac:dyDescent="0.2">
      <c r="A370" s="4">
        <v>1020</v>
      </c>
      <c r="B370" s="2">
        <v>26507342</v>
      </c>
      <c r="C370" s="2">
        <v>0</v>
      </c>
      <c r="D370" s="4" t="s">
        <v>2096</v>
      </c>
      <c r="E370" s="2">
        <v>26507342</v>
      </c>
      <c r="F370" s="2">
        <v>5036394.9800000004</v>
      </c>
      <c r="G370" s="2">
        <v>331100.15000000002</v>
      </c>
      <c r="H370" s="4">
        <v>0</v>
      </c>
      <c r="I370" s="4">
        <v>0</v>
      </c>
      <c r="J370" s="4">
        <v>331100.15000000002</v>
      </c>
      <c r="K370" s="4">
        <v>31212636.829999998</v>
      </c>
      <c r="L370" s="4" t="s">
        <v>2094</v>
      </c>
      <c r="M370" s="4" t="s">
        <v>2095</v>
      </c>
      <c r="N370" s="4" t="s">
        <v>1269</v>
      </c>
      <c r="O370" s="4" t="s">
        <v>105</v>
      </c>
      <c r="P370" s="4" t="s">
        <v>105</v>
      </c>
      <c r="Q370" s="4" t="s">
        <v>100</v>
      </c>
      <c r="R370" s="9">
        <f t="shared" si="5"/>
        <v>5.280242279294289E-4</v>
      </c>
    </row>
    <row r="371" spans="1:18" hidden="1" x14ac:dyDescent="0.2">
      <c r="A371" s="4">
        <v>1622</v>
      </c>
      <c r="B371" s="2">
        <v>26376642</v>
      </c>
      <c r="C371" s="2">
        <v>0</v>
      </c>
      <c r="D371" s="4" t="s">
        <v>778</v>
      </c>
      <c r="E371" s="2">
        <v>26376642</v>
      </c>
      <c r="F371" s="2">
        <v>5011561.9800000004</v>
      </c>
      <c r="G371" s="2">
        <v>655478.26</v>
      </c>
      <c r="H371" s="4">
        <v>0</v>
      </c>
      <c r="I371" s="4">
        <v>0</v>
      </c>
      <c r="J371" s="4">
        <v>655478.26</v>
      </c>
      <c r="K371" s="4">
        <v>30732725.719999999</v>
      </c>
      <c r="L371" s="4" t="s">
        <v>776</v>
      </c>
      <c r="M371" s="4" t="s">
        <v>777</v>
      </c>
      <c r="N371" s="4" t="s">
        <v>779</v>
      </c>
      <c r="O371" s="4" t="s">
        <v>33</v>
      </c>
      <c r="P371" s="4" t="s">
        <v>33</v>
      </c>
      <c r="Q371" s="4" t="s">
        <v>100</v>
      </c>
      <c r="R371" s="9">
        <f t="shared" si="5"/>
        <v>5.2542069391268834E-4</v>
      </c>
    </row>
    <row r="372" spans="1:18" hidden="1" x14ac:dyDescent="0.2">
      <c r="A372" s="4">
        <v>1402</v>
      </c>
      <c r="B372" s="2">
        <v>26353838</v>
      </c>
      <c r="C372" s="2">
        <v>0</v>
      </c>
      <c r="D372" s="4" t="s">
        <v>1057</v>
      </c>
      <c r="E372" s="2">
        <v>26353838</v>
      </c>
      <c r="F372" s="2">
        <v>5007229.22</v>
      </c>
      <c r="G372" s="2">
        <v>0</v>
      </c>
      <c r="H372" s="4">
        <v>0</v>
      </c>
      <c r="I372" s="4">
        <v>0</v>
      </c>
      <c r="J372" s="4">
        <v>0</v>
      </c>
      <c r="K372" s="4">
        <v>31361067.219999999</v>
      </c>
      <c r="L372" s="4" t="s">
        <v>1055</v>
      </c>
      <c r="M372" s="4" t="s">
        <v>1056</v>
      </c>
      <c r="N372" s="4" t="s">
        <v>1058</v>
      </c>
      <c r="O372" s="4" t="s">
        <v>196</v>
      </c>
      <c r="P372" s="4" t="s">
        <v>196</v>
      </c>
      <c r="Q372" s="4" t="s">
        <v>100</v>
      </c>
      <c r="R372" s="9">
        <f t="shared" si="5"/>
        <v>5.2496643997452651E-4</v>
      </c>
    </row>
    <row r="373" spans="1:18" hidden="1" x14ac:dyDescent="0.2">
      <c r="A373" s="4">
        <v>1694</v>
      </c>
      <c r="B373" s="2">
        <v>26338556</v>
      </c>
      <c r="C373" s="2">
        <v>0</v>
      </c>
      <c r="D373" s="4" t="s">
        <v>1121</v>
      </c>
      <c r="E373" s="2">
        <v>26338556</v>
      </c>
      <c r="F373" s="2">
        <v>5004325.6399999997</v>
      </c>
      <c r="G373" s="2">
        <v>0</v>
      </c>
      <c r="H373" s="4">
        <v>0</v>
      </c>
      <c r="I373" s="4">
        <v>0</v>
      </c>
      <c r="J373" s="4">
        <v>0</v>
      </c>
      <c r="K373" s="4">
        <v>31342881.640000001</v>
      </c>
      <c r="L373" s="4" t="s">
        <v>1119</v>
      </c>
      <c r="M373" s="4" t="s">
        <v>1120</v>
      </c>
      <c r="N373" s="4" t="s">
        <v>975</v>
      </c>
      <c r="O373" s="4" t="s">
        <v>89</v>
      </c>
      <c r="P373" s="4" t="s">
        <v>89</v>
      </c>
      <c r="Q373" s="4" t="s">
        <v>100</v>
      </c>
      <c r="R373" s="9">
        <f t="shared" si="5"/>
        <v>5.2466202370181163E-4</v>
      </c>
    </row>
    <row r="374" spans="1:18" hidden="1" x14ac:dyDescent="0.2">
      <c r="A374" s="4">
        <v>284</v>
      </c>
      <c r="B374" s="2">
        <v>26594150</v>
      </c>
      <c r="C374" s="2">
        <v>297833</v>
      </c>
      <c r="D374" s="4" t="s">
        <v>3124</v>
      </c>
      <c r="E374" s="2">
        <v>26296317</v>
      </c>
      <c r="F374" s="2">
        <v>4996300.2300000004</v>
      </c>
      <c r="G374" s="2">
        <v>615875.06999999995</v>
      </c>
      <c r="H374" s="4">
        <v>702097.57</v>
      </c>
      <c r="I374" s="4">
        <v>0</v>
      </c>
      <c r="J374" s="4">
        <v>1317972.6399999999</v>
      </c>
      <c r="K374" s="4">
        <v>29974644.59</v>
      </c>
      <c r="L374" s="4" t="s">
        <v>3122</v>
      </c>
      <c r="M374" s="4" t="s">
        <v>3123</v>
      </c>
      <c r="N374" s="4" t="s">
        <v>20</v>
      </c>
      <c r="O374" s="4" t="s">
        <v>76</v>
      </c>
      <c r="P374" s="4" t="s">
        <v>76</v>
      </c>
      <c r="Q374" s="4" t="s">
        <v>22</v>
      </c>
      <c r="R374" s="9">
        <f t="shared" si="5"/>
        <v>5.2382062604815357E-4</v>
      </c>
    </row>
    <row r="375" spans="1:18" hidden="1" x14ac:dyDescent="0.2">
      <c r="A375" s="4">
        <v>1122</v>
      </c>
      <c r="B375" s="2">
        <v>26290452</v>
      </c>
      <c r="C375" s="2">
        <v>0</v>
      </c>
      <c r="D375" s="4" t="s">
        <v>1500</v>
      </c>
      <c r="E375" s="2">
        <v>26290452</v>
      </c>
      <c r="F375" s="2">
        <v>4995185.88</v>
      </c>
      <c r="G375" s="2">
        <v>0</v>
      </c>
      <c r="H375" s="4">
        <v>0</v>
      </c>
      <c r="I375" s="4">
        <v>0</v>
      </c>
      <c r="J375" s="4">
        <v>0</v>
      </c>
      <c r="K375" s="4">
        <v>31285637.879999999</v>
      </c>
      <c r="L375" s="4" t="s">
        <v>1498</v>
      </c>
      <c r="M375" s="4" t="s">
        <v>1499</v>
      </c>
      <c r="N375" s="4" t="s">
        <v>1054</v>
      </c>
      <c r="O375" s="4" t="s">
        <v>89</v>
      </c>
      <c r="P375" s="4" t="s">
        <v>89</v>
      </c>
      <c r="Q375" s="4" t="s">
        <v>100</v>
      </c>
      <c r="R375" s="9">
        <f t="shared" si="5"/>
        <v>5.2370379569613998E-4</v>
      </c>
    </row>
    <row r="376" spans="1:18" hidden="1" x14ac:dyDescent="0.2">
      <c r="A376" s="4">
        <v>754</v>
      </c>
      <c r="B376" s="2">
        <v>26289793</v>
      </c>
      <c r="C376" s="2">
        <v>0</v>
      </c>
      <c r="D376" s="4" t="s">
        <v>1167</v>
      </c>
      <c r="E376" s="2">
        <v>26289793</v>
      </c>
      <c r="F376" s="2">
        <v>4995060.67</v>
      </c>
      <c r="G376" s="2">
        <v>607602.04</v>
      </c>
      <c r="H376" s="4">
        <v>0</v>
      </c>
      <c r="I376" s="4">
        <v>0</v>
      </c>
      <c r="J376" s="4">
        <v>607602.04</v>
      </c>
      <c r="K376" s="4">
        <v>30677251.629999999</v>
      </c>
      <c r="L376" s="4" t="s">
        <v>1165</v>
      </c>
      <c r="M376" s="4" t="s">
        <v>1166</v>
      </c>
      <c r="N376" s="4" t="s">
        <v>1107</v>
      </c>
      <c r="O376" s="4" t="s">
        <v>89</v>
      </c>
      <c r="P376" s="4" t="s">
        <v>89</v>
      </c>
      <c r="Q376" s="4" t="s">
        <v>100</v>
      </c>
      <c r="R376" s="9">
        <f t="shared" si="5"/>
        <v>5.2369066846647634E-4</v>
      </c>
    </row>
    <row r="377" spans="1:18" hidden="1" x14ac:dyDescent="0.2">
      <c r="A377" s="4">
        <v>1591</v>
      </c>
      <c r="B377" s="2">
        <v>26279818</v>
      </c>
      <c r="C377" s="2">
        <v>0</v>
      </c>
      <c r="D377" s="4" t="s">
        <v>952</v>
      </c>
      <c r="E377" s="2">
        <v>26279818</v>
      </c>
      <c r="F377" s="2">
        <v>4993165.42</v>
      </c>
      <c r="G377" s="2">
        <v>0</v>
      </c>
      <c r="H377" s="4">
        <v>0</v>
      </c>
      <c r="I377" s="4">
        <v>0</v>
      </c>
      <c r="J377" s="4">
        <v>0</v>
      </c>
      <c r="K377" s="4">
        <v>31272983.420000002</v>
      </c>
      <c r="L377" s="4" t="s">
        <v>950</v>
      </c>
      <c r="M377" s="4" t="s">
        <v>951</v>
      </c>
      <c r="N377" s="4" t="s">
        <v>953</v>
      </c>
      <c r="O377" s="4" t="s">
        <v>27</v>
      </c>
      <c r="P377" s="4" t="s">
        <v>27</v>
      </c>
      <c r="Q377" s="4" t="s">
        <v>100</v>
      </c>
      <c r="R377" s="9">
        <f t="shared" si="5"/>
        <v>5.2349196722839683E-4</v>
      </c>
    </row>
    <row r="378" spans="1:18" hidden="1" x14ac:dyDescent="0.2">
      <c r="A378" s="4">
        <v>740</v>
      </c>
      <c r="B378" s="2">
        <v>26238290</v>
      </c>
      <c r="C378" s="2">
        <v>0</v>
      </c>
      <c r="D378" s="4" t="s">
        <v>1118</v>
      </c>
      <c r="E378" s="2">
        <v>26238290</v>
      </c>
      <c r="F378" s="2">
        <v>4985275.0999999996</v>
      </c>
      <c r="G378" s="2">
        <v>473775.49</v>
      </c>
      <c r="H378" s="4">
        <v>0</v>
      </c>
      <c r="I378" s="4">
        <v>0</v>
      </c>
      <c r="J378" s="4">
        <v>473775.49</v>
      </c>
      <c r="K378" s="4">
        <v>30749789.609999999</v>
      </c>
      <c r="L378" s="4" t="s">
        <v>1116</v>
      </c>
      <c r="M378" s="4" t="s">
        <v>1117</v>
      </c>
      <c r="N378" s="4" t="s">
        <v>20</v>
      </c>
      <c r="O378" s="4" t="s">
        <v>257</v>
      </c>
      <c r="P378" s="4" t="s">
        <v>257</v>
      </c>
      <c r="Q378" s="4" t="s">
        <v>100</v>
      </c>
      <c r="R378" s="9">
        <f t="shared" si="5"/>
        <v>5.2266473264043047E-4</v>
      </c>
    </row>
    <row r="379" spans="1:18" hidden="1" x14ac:dyDescent="0.2">
      <c r="A379" s="4">
        <v>705</v>
      </c>
      <c r="B379" s="2">
        <v>26286137</v>
      </c>
      <c r="C379" s="2">
        <v>63732.63</v>
      </c>
      <c r="D379" s="4" t="s">
        <v>596</v>
      </c>
      <c r="E379" s="2">
        <v>26222404.370000001</v>
      </c>
      <c r="F379" s="2">
        <v>4982256.83</v>
      </c>
      <c r="G379" s="2">
        <v>403886.69</v>
      </c>
      <c r="H379" s="4">
        <v>0</v>
      </c>
      <c r="I379" s="4">
        <v>0</v>
      </c>
      <c r="J379" s="4">
        <v>403886.69</v>
      </c>
      <c r="K379" s="4">
        <v>30800774.510000002</v>
      </c>
      <c r="L379" s="4" t="s">
        <v>595</v>
      </c>
      <c r="M379" s="4" t="s">
        <v>304</v>
      </c>
      <c r="N379" s="4" t="s">
        <v>41</v>
      </c>
      <c r="O379" s="4" t="s">
        <v>42</v>
      </c>
      <c r="P379" s="4" t="s">
        <v>42</v>
      </c>
      <c r="Q379" s="4" t="s">
        <v>28</v>
      </c>
      <c r="R379" s="9">
        <f t="shared" si="5"/>
        <v>5.2234829210422282E-4</v>
      </c>
    </row>
    <row r="380" spans="1:18" hidden="1" x14ac:dyDescent="0.2">
      <c r="A380" s="4">
        <v>378</v>
      </c>
      <c r="B380" s="2">
        <v>26163309</v>
      </c>
      <c r="C380" s="2">
        <v>51685.17</v>
      </c>
      <c r="D380" s="4" t="s">
        <v>2199</v>
      </c>
      <c r="E380" s="2">
        <v>26111623.829999998</v>
      </c>
      <c r="F380" s="2">
        <v>4961208.53</v>
      </c>
      <c r="G380" s="2">
        <v>0</v>
      </c>
      <c r="H380" s="4">
        <v>0</v>
      </c>
      <c r="I380" s="4">
        <v>0</v>
      </c>
      <c r="J380" s="4">
        <v>0</v>
      </c>
      <c r="K380" s="4">
        <v>31072832.359999999</v>
      </c>
      <c r="L380" s="4" t="s">
        <v>2197</v>
      </c>
      <c r="M380" s="4" t="s">
        <v>2198</v>
      </c>
      <c r="N380" s="4" t="s">
        <v>468</v>
      </c>
      <c r="O380" s="4" t="s">
        <v>105</v>
      </c>
      <c r="P380" s="4" t="s">
        <v>105</v>
      </c>
      <c r="Q380" s="4" t="s">
        <v>100</v>
      </c>
      <c r="R380" s="9">
        <f t="shared" si="5"/>
        <v>5.2014155220917379E-4</v>
      </c>
    </row>
    <row r="381" spans="1:18" hidden="1" x14ac:dyDescent="0.2">
      <c r="A381" s="4">
        <v>308</v>
      </c>
      <c r="B381" s="2">
        <v>25996080</v>
      </c>
      <c r="C381" s="2">
        <v>0</v>
      </c>
      <c r="D381" s="4" t="s">
        <v>956</v>
      </c>
      <c r="E381" s="2">
        <v>25996080</v>
      </c>
      <c r="F381" s="2">
        <v>4939255.2</v>
      </c>
      <c r="G381" s="2">
        <v>0</v>
      </c>
      <c r="H381" s="4">
        <v>0</v>
      </c>
      <c r="I381" s="4">
        <v>0</v>
      </c>
      <c r="J381" s="4">
        <v>0</v>
      </c>
      <c r="K381" s="4">
        <v>30935335.199999999</v>
      </c>
      <c r="L381" s="4" t="s">
        <v>954</v>
      </c>
      <c r="M381" s="4" t="s">
        <v>955</v>
      </c>
      <c r="N381" s="4" t="s">
        <v>272</v>
      </c>
      <c r="O381" s="4" t="s">
        <v>89</v>
      </c>
      <c r="P381" s="4" t="s">
        <v>89</v>
      </c>
      <c r="Q381" s="4" t="s">
        <v>100</v>
      </c>
      <c r="R381" s="9">
        <f t="shared" si="5"/>
        <v>5.1783992794115943E-4</v>
      </c>
    </row>
    <row r="382" spans="1:18" hidden="1" x14ac:dyDescent="0.2">
      <c r="A382" s="4">
        <v>1798</v>
      </c>
      <c r="B382" s="2">
        <v>25932628</v>
      </c>
      <c r="C382" s="2">
        <v>0</v>
      </c>
      <c r="D382" s="4" t="s">
        <v>1852</v>
      </c>
      <c r="E382" s="2">
        <v>25932628</v>
      </c>
      <c r="F382" s="2">
        <v>4927199.32</v>
      </c>
      <c r="G382" s="2">
        <v>643801.44999999995</v>
      </c>
      <c r="H382" s="4">
        <v>0</v>
      </c>
      <c r="I382" s="4">
        <v>0</v>
      </c>
      <c r="J382" s="4">
        <v>643801.44999999995</v>
      </c>
      <c r="K382" s="4">
        <v>30216025.870000001</v>
      </c>
      <c r="L382" s="4" t="s">
        <v>1850</v>
      </c>
      <c r="M382" s="4" t="s">
        <v>1851</v>
      </c>
      <c r="N382" s="4" t="s">
        <v>1853</v>
      </c>
      <c r="O382" s="4" t="s">
        <v>386</v>
      </c>
      <c r="P382" s="4" t="s">
        <v>386</v>
      </c>
      <c r="Q382" s="4" t="s">
        <v>1378</v>
      </c>
      <c r="R382" s="9">
        <f t="shared" si="5"/>
        <v>5.1657596894781415E-4</v>
      </c>
    </row>
    <row r="383" spans="1:18" hidden="1" x14ac:dyDescent="0.2">
      <c r="A383" s="4">
        <v>1849</v>
      </c>
      <c r="B383" s="2">
        <v>25958343</v>
      </c>
      <c r="C383" s="2">
        <v>103579.29</v>
      </c>
      <c r="D383" s="4" t="s">
        <v>1090</v>
      </c>
      <c r="E383" s="2">
        <v>25854763.710000001</v>
      </c>
      <c r="F383" s="2">
        <v>4912405.0999999996</v>
      </c>
      <c r="G383" s="2">
        <v>0</v>
      </c>
      <c r="H383" s="4">
        <v>0</v>
      </c>
      <c r="I383" s="4">
        <v>0</v>
      </c>
      <c r="J383" s="4">
        <v>0</v>
      </c>
      <c r="K383" s="4">
        <v>30767168.809999999</v>
      </c>
      <c r="L383" s="4" t="s">
        <v>1088</v>
      </c>
      <c r="M383" s="4" t="s">
        <v>1089</v>
      </c>
      <c r="N383" s="4" t="s">
        <v>581</v>
      </c>
      <c r="O383" s="4" t="s">
        <v>59</v>
      </c>
      <c r="P383" s="4" t="s">
        <v>59</v>
      </c>
      <c r="Q383" s="4" t="s">
        <v>100</v>
      </c>
      <c r="R383" s="9">
        <f t="shared" si="5"/>
        <v>5.1502491823852297E-4</v>
      </c>
    </row>
    <row r="384" spans="1:18" hidden="1" x14ac:dyDescent="0.2">
      <c r="A384" s="4">
        <v>377</v>
      </c>
      <c r="B384" s="2">
        <v>25645169.879999999</v>
      </c>
      <c r="C384" s="2">
        <v>0</v>
      </c>
      <c r="D384" s="4" t="s">
        <v>3387</v>
      </c>
      <c r="E384" s="2">
        <v>25645169.879999999</v>
      </c>
      <c r="F384" s="2">
        <v>4872582.2699999996</v>
      </c>
      <c r="G384" s="2">
        <v>641129.24</v>
      </c>
      <c r="H384" s="4">
        <v>0</v>
      </c>
      <c r="I384" s="4">
        <v>0</v>
      </c>
      <c r="J384" s="4">
        <v>641129.24</v>
      </c>
      <c r="K384" s="4">
        <v>29876622.91</v>
      </c>
      <c r="L384" s="4" t="s">
        <v>3385</v>
      </c>
      <c r="M384" s="4" t="s">
        <v>3386</v>
      </c>
      <c r="N384" s="4" t="s">
        <v>272</v>
      </c>
      <c r="O384" s="4" t="s">
        <v>900</v>
      </c>
      <c r="P384" s="4" t="s">
        <v>900</v>
      </c>
      <c r="Q384" s="4" t="s">
        <v>144</v>
      </c>
      <c r="R384" s="9">
        <f t="shared" si="5"/>
        <v>5.1084982515433057E-4</v>
      </c>
    </row>
    <row r="385" spans="1:18" hidden="1" x14ac:dyDescent="0.2">
      <c r="A385" s="4">
        <v>1347</v>
      </c>
      <c r="B385" s="2">
        <v>25600855</v>
      </c>
      <c r="C385" s="2">
        <v>0</v>
      </c>
      <c r="D385" s="4" t="s">
        <v>1666</v>
      </c>
      <c r="E385" s="2">
        <v>25600855</v>
      </c>
      <c r="F385" s="2">
        <v>4864162.45</v>
      </c>
      <c r="G385" s="2">
        <v>0</v>
      </c>
      <c r="H385" s="4">
        <v>0</v>
      </c>
      <c r="I385" s="4">
        <v>0</v>
      </c>
      <c r="J385" s="4">
        <v>0</v>
      </c>
      <c r="K385" s="4">
        <v>30465017.449999999</v>
      </c>
      <c r="L385" s="4" t="s">
        <v>1664</v>
      </c>
      <c r="M385" s="4" t="s">
        <v>1665</v>
      </c>
      <c r="N385" s="4" t="s">
        <v>20</v>
      </c>
      <c r="O385" s="4" t="s">
        <v>257</v>
      </c>
      <c r="P385" s="4" t="s">
        <v>257</v>
      </c>
      <c r="Q385" s="4" t="s">
        <v>100</v>
      </c>
      <c r="R385" s="9">
        <f t="shared" si="5"/>
        <v>5.0996707612963456E-4</v>
      </c>
    </row>
    <row r="386" spans="1:18" hidden="1" x14ac:dyDescent="0.2">
      <c r="A386" s="4">
        <v>891</v>
      </c>
      <c r="B386" s="2">
        <v>25599299</v>
      </c>
      <c r="C386" s="2">
        <v>0</v>
      </c>
      <c r="D386" s="4" t="s">
        <v>1669</v>
      </c>
      <c r="E386" s="2">
        <v>25599299</v>
      </c>
      <c r="F386" s="2">
        <v>4863866.8099999996</v>
      </c>
      <c r="G386" s="2">
        <v>0</v>
      </c>
      <c r="H386" s="4">
        <v>0</v>
      </c>
      <c r="I386" s="4">
        <v>0</v>
      </c>
      <c r="J386" s="4">
        <v>0</v>
      </c>
      <c r="K386" s="4">
        <v>30463165.809999999</v>
      </c>
      <c r="L386" s="4" t="s">
        <v>1667</v>
      </c>
      <c r="M386" s="4" t="s">
        <v>1668</v>
      </c>
      <c r="N386" s="4" t="s">
        <v>1670</v>
      </c>
      <c r="O386" s="4" t="s">
        <v>89</v>
      </c>
      <c r="P386" s="4" t="s">
        <v>89</v>
      </c>
      <c r="Q386" s="4" t="s">
        <v>100</v>
      </c>
      <c r="R386" s="9">
        <f t="shared" si="5"/>
        <v>5.0993608072848651E-4</v>
      </c>
    </row>
    <row r="387" spans="1:18" hidden="1" x14ac:dyDescent="0.2">
      <c r="A387" s="4">
        <v>667</v>
      </c>
      <c r="B387" s="2">
        <v>25427116</v>
      </c>
      <c r="C387" s="2">
        <v>40213.919999999998</v>
      </c>
      <c r="D387" s="4" t="s">
        <v>1256</v>
      </c>
      <c r="E387" s="2">
        <v>25386902.079999998</v>
      </c>
      <c r="F387" s="2">
        <v>4823511.4000000004</v>
      </c>
      <c r="G387" s="2">
        <v>371840.55</v>
      </c>
      <c r="H387" s="4">
        <v>0</v>
      </c>
      <c r="I387" s="4">
        <v>0</v>
      </c>
      <c r="J387" s="4">
        <v>371840.55</v>
      </c>
      <c r="K387" s="4">
        <v>29838572.93</v>
      </c>
      <c r="L387" s="4" t="s">
        <v>1254</v>
      </c>
      <c r="M387" s="4" t="s">
        <v>1255</v>
      </c>
      <c r="N387" s="4" t="s">
        <v>32</v>
      </c>
      <c r="O387" s="4" t="s">
        <v>33</v>
      </c>
      <c r="P387" s="4" t="s">
        <v>33</v>
      </c>
      <c r="Q387" s="4" t="s">
        <v>100</v>
      </c>
      <c r="R387" s="9">
        <f t="shared" ref="R387:R450" si="6">E387/$E$2034</f>
        <v>5.0570515030560256E-4</v>
      </c>
    </row>
    <row r="388" spans="1:18" hidden="1" x14ac:dyDescent="0.2">
      <c r="A388" s="4">
        <v>1440</v>
      </c>
      <c r="B388" s="2">
        <v>25176370</v>
      </c>
      <c r="C388" s="2">
        <v>0</v>
      </c>
      <c r="D388" s="4" t="s">
        <v>1073</v>
      </c>
      <c r="E388" s="2">
        <v>25176370</v>
      </c>
      <c r="F388" s="2">
        <v>4783510.3</v>
      </c>
      <c r="G388" s="2">
        <v>578436.47</v>
      </c>
      <c r="H388" s="4">
        <v>0</v>
      </c>
      <c r="I388" s="4">
        <v>0</v>
      </c>
      <c r="J388" s="4">
        <v>578436.47</v>
      </c>
      <c r="K388" s="4">
        <v>29381443.829999998</v>
      </c>
      <c r="L388" s="4" t="s">
        <v>1071</v>
      </c>
      <c r="M388" s="4" t="s">
        <v>1072</v>
      </c>
      <c r="N388" s="4" t="s">
        <v>104</v>
      </c>
      <c r="O388" s="4" t="s">
        <v>105</v>
      </c>
      <c r="P388" s="4" t="s">
        <v>105</v>
      </c>
      <c r="Q388" s="4" t="s">
        <v>28</v>
      </c>
      <c r="R388" s="9">
        <f t="shared" si="6"/>
        <v>5.0151136735307662E-4</v>
      </c>
    </row>
    <row r="389" spans="1:18" x14ac:dyDescent="0.2">
      <c r="A389" s="4">
        <v>801</v>
      </c>
      <c r="B389" s="2">
        <v>24904060</v>
      </c>
      <c r="C389" s="2">
        <v>0</v>
      </c>
      <c r="D389" s="4" t="s">
        <v>1219</v>
      </c>
      <c r="E389" s="2">
        <v>24904060</v>
      </c>
      <c r="F389" s="2">
        <v>4731771.4000000004</v>
      </c>
      <c r="G389" s="2">
        <v>622601.5</v>
      </c>
      <c r="H389" s="4">
        <v>709765.71</v>
      </c>
      <c r="I389" s="4">
        <v>0</v>
      </c>
      <c r="J389" s="4">
        <v>1332367.21</v>
      </c>
      <c r="K389" s="4">
        <v>28303464.190000001</v>
      </c>
      <c r="L389" s="4" t="s">
        <v>1218</v>
      </c>
      <c r="M389" s="4" t="s">
        <v>81</v>
      </c>
      <c r="N389" s="4" t="s">
        <v>58</v>
      </c>
      <c r="O389" s="4" t="s">
        <v>59</v>
      </c>
      <c r="P389" s="4" t="s">
        <v>59</v>
      </c>
      <c r="Q389" s="4" t="s">
        <v>28</v>
      </c>
      <c r="R389" s="9">
        <f t="shared" si="6"/>
        <v>4.9608697295293401E-4</v>
      </c>
    </row>
    <row r="390" spans="1:18" hidden="1" x14ac:dyDescent="0.2">
      <c r="A390" s="4">
        <v>1104</v>
      </c>
      <c r="B390" s="2">
        <v>24718786</v>
      </c>
      <c r="C390" s="2">
        <v>0</v>
      </c>
      <c r="D390" s="4" t="s">
        <v>2216</v>
      </c>
      <c r="E390" s="2">
        <v>24718786</v>
      </c>
      <c r="F390" s="2">
        <v>4696569.34</v>
      </c>
      <c r="G390" s="2">
        <v>352650.25</v>
      </c>
      <c r="H390" s="4">
        <v>0</v>
      </c>
      <c r="I390" s="4">
        <v>0</v>
      </c>
      <c r="J390" s="4">
        <v>352650.25</v>
      </c>
      <c r="K390" s="4">
        <v>29062705.09</v>
      </c>
      <c r="L390" s="4" t="s">
        <v>2214</v>
      </c>
      <c r="M390" s="4" t="s">
        <v>2215</v>
      </c>
      <c r="N390" s="4" t="s">
        <v>272</v>
      </c>
      <c r="O390" s="4" t="s">
        <v>89</v>
      </c>
      <c r="P390" s="4" t="s">
        <v>89</v>
      </c>
      <c r="Q390" s="4" t="s">
        <v>100</v>
      </c>
      <c r="R390" s="9">
        <f t="shared" si="6"/>
        <v>4.9239632902471988E-4</v>
      </c>
    </row>
    <row r="391" spans="1:18" hidden="1" x14ac:dyDescent="0.2">
      <c r="A391" s="4">
        <v>1656</v>
      </c>
      <c r="B391" s="2">
        <v>24768751</v>
      </c>
      <c r="C391" s="2">
        <v>83584.41</v>
      </c>
      <c r="D391" s="4" t="s">
        <v>1462</v>
      </c>
      <c r="E391" s="2">
        <v>24685166.59</v>
      </c>
      <c r="F391" s="2">
        <v>4690181.6500000004</v>
      </c>
      <c r="G391" s="2">
        <v>0</v>
      </c>
      <c r="H391" s="4">
        <v>0</v>
      </c>
      <c r="I391" s="4">
        <v>0</v>
      </c>
      <c r="J391" s="4">
        <v>0</v>
      </c>
      <c r="K391" s="4">
        <v>29375348.239999998</v>
      </c>
      <c r="L391" s="4" t="s">
        <v>1460</v>
      </c>
      <c r="M391" s="4" t="s">
        <v>1461</v>
      </c>
      <c r="N391" s="4" t="s">
        <v>1463</v>
      </c>
      <c r="O391" s="4" t="s">
        <v>105</v>
      </c>
      <c r="P391" s="4" t="s">
        <v>105</v>
      </c>
      <c r="Q391" s="4" t="s">
        <v>100</v>
      </c>
      <c r="R391" s="9">
        <f t="shared" si="6"/>
        <v>4.9172663294547159E-4</v>
      </c>
    </row>
    <row r="392" spans="1:18" x14ac:dyDescent="0.2">
      <c r="A392" s="4">
        <v>827</v>
      </c>
      <c r="B392" s="2">
        <v>24658370</v>
      </c>
      <c r="C392" s="2">
        <v>0</v>
      </c>
      <c r="D392" s="4" t="s">
        <v>1471</v>
      </c>
      <c r="E392" s="2">
        <v>24658370</v>
      </c>
      <c r="F392" s="2">
        <v>4685090.3</v>
      </c>
      <c r="G392" s="2">
        <v>616459.27</v>
      </c>
      <c r="H392" s="4">
        <v>702763.56</v>
      </c>
      <c r="I392" s="4">
        <v>0</v>
      </c>
      <c r="J392" s="4">
        <v>1319222.83</v>
      </c>
      <c r="K392" s="4">
        <v>28024237.469999999</v>
      </c>
      <c r="L392" s="4" t="s">
        <v>1470</v>
      </c>
      <c r="M392" s="4" t="s">
        <v>81</v>
      </c>
      <c r="N392" s="4" t="s">
        <v>651</v>
      </c>
      <c r="O392" s="4" t="s">
        <v>196</v>
      </c>
      <c r="P392" s="4" t="s">
        <v>196</v>
      </c>
      <c r="Q392" s="4" t="s">
        <v>28</v>
      </c>
      <c r="R392" s="9">
        <f t="shared" si="6"/>
        <v>4.9119284691947584E-4</v>
      </c>
    </row>
    <row r="393" spans="1:18" hidden="1" x14ac:dyDescent="0.2">
      <c r="A393" s="4">
        <v>1902</v>
      </c>
      <c r="B393" s="2">
        <v>24583074</v>
      </c>
      <c r="C393" s="2">
        <v>0</v>
      </c>
      <c r="D393" s="4" t="s">
        <v>1173</v>
      </c>
      <c r="E393" s="2">
        <v>24583074</v>
      </c>
      <c r="F393" s="2">
        <v>4670784.0599999996</v>
      </c>
      <c r="G393" s="2">
        <v>507493.19</v>
      </c>
      <c r="H393" s="4">
        <v>0</v>
      </c>
      <c r="I393" s="4">
        <v>0</v>
      </c>
      <c r="J393" s="4">
        <v>507493.19</v>
      </c>
      <c r="K393" s="4">
        <v>28746364.870000001</v>
      </c>
      <c r="L393" s="4" t="s">
        <v>1171</v>
      </c>
      <c r="M393" s="4" t="s">
        <v>1172</v>
      </c>
      <c r="N393" s="4" t="s">
        <v>218</v>
      </c>
      <c r="O393" s="4" t="s">
        <v>196</v>
      </c>
      <c r="P393" s="4" t="s">
        <v>196</v>
      </c>
      <c r="Q393" s="4" t="s">
        <v>100</v>
      </c>
      <c r="R393" s="9">
        <f t="shared" si="6"/>
        <v>4.8969295635081095E-4</v>
      </c>
    </row>
    <row r="394" spans="1:18" hidden="1" x14ac:dyDescent="0.2">
      <c r="A394" s="4">
        <v>696</v>
      </c>
      <c r="B394" s="2">
        <v>24425324</v>
      </c>
      <c r="C394" s="2">
        <v>45198.42</v>
      </c>
      <c r="D394" s="4" t="s">
        <v>961</v>
      </c>
      <c r="E394" s="2">
        <v>24380125.579999998</v>
      </c>
      <c r="F394" s="2">
        <v>4632223.8600000003</v>
      </c>
      <c r="G394" s="2">
        <v>357111.54</v>
      </c>
      <c r="H394" s="4">
        <v>0</v>
      </c>
      <c r="I394" s="4">
        <v>0</v>
      </c>
      <c r="J394" s="4">
        <v>357111.54</v>
      </c>
      <c r="K394" s="4">
        <v>28655237.899999999</v>
      </c>
      <c r="L394" s="4" t="s">
        <v>960</v>
      </c>
      <c r="M394" s="4" t="s">
        <v>304</v>
      </c>
      <c r="N394" s="4" t="s">
        <v>41</v>
      </c>
      <c r="O394" s="4" t="s">
        <v>42</v>
      </c>
      <c r="P394" s="4" t="s">
        <v>42</v>
      </c>
      <c r="Q394" s="4" t="s">
        <v>28</v>
      </c>
      <c r="R394" s="9">
        <f t="shared" si="6"/>
        <v>4.856502393262221E-4</v>
      </c>
    </row>
    <row r="395" spans="1:18" hidden="1" x14ac:dyDescent="0.2">
      <c r="A395" s="4">
        <v>1179</v>
      </c>
      <c r="B395" s="2">
        <v>24334330</v>
      </c>
      <c r="C395" s="2">
        <v>131119.20000000001</v>
      </c>
      <c r="D395" s="4" t="s">
        <v>1134</v>
      </c>
      <c r="E395" s="2">
        <v>24203210.800000001</v>
      </c>
      <c r="F395" s="2">
        <v>4598610.05</v>
      </c>
      <c r="G395" s="2">
        <v>542278.52</v>
      </c>
      <c r="H395" s="4">
        <v>0</v>
      </c>
      <c r="I395" s="4">
        <v>0</v>
      </c>
      <c r="J395" s="4">
        <v>542278.52</v>
      </c>
      <c r="K395" s="4">
        <v>28259542.329999998</v>
      </c>
      <c r="L395" s="4" t="s">
        <v>1132</v>
      </c>
      <c r="M395" s="4" t="s">
        <v>1133</v>
      </c>
      <c r="N395" s="4" t="s">
        <v>20</v>
      </c>
      <c r="O395" s="4" t="s">
        <v>359</v>
      </c>
      <c r="P395" s="4" t="s">
        <v>359</v>
      </c>
      <c r="Q395" s="4" t="s">
        <v>100</v>
      </c>
      <c r="R395" s="9">
        <f t="shared" si="6"/>
        <v>4.8212611042190554E-4</v>
      </c>
    </row>
    <row r="396" spans="1:18" hidden="1" x14ac:dyDescent="0.2">
      <c r="A396" s="4">
        <v>1958</v>
      </c>
      <c r="B396" s="2">
        <v>24180478</v>
      </c>
      <c r="C396" s="2">
        <v>0</v>
      </c>
      <c r="D396" s="4" t="s">
        <v>1520</v>
      </c>
      <c r="E396" s="2">
        <v>24180478</v>
      </c>
      <c r="F396" s="2">
        <v>4594290.82</v>
      </c>
      <c r="G396" s="2">
        <v>0</v>
      </c>
      <c r="H396" s="4">
        <v>0</v>
      </c>
      <c r="I396" s="4">
        <v>0</v>
      </c>
      <c r="J396" s="4">
        <v>0</v>
      </c>
      <c r="K396" s="4">
        <v>28774768.82</v>
      </c>
      <c r="L396" s="4" t="s">
        <v>1518</v>
      </c>
      <c r="M396" s="4" t="s">
        <v>1519</v>
      </c>
      <c r="N396" s="4" t="s">
        <v>1058</v>
      </c>
      <c r="O396" s="4" t="s">
        <v>196</v>
      </c>
      <c r="P396" s="4" t="s">
        <v>196</v>
      </c>
      <c r="Q396" s="4" t="s">
        <v>100</v>
      </c>
      <c r="R396" s="9">
        <f t="shared" si="6"/>
        <v>4.8167327478230526E-4</v>
      </c>
    </row>
    <row r="397" spans="1:18" hidden="1" x14ac:dyDescent="0.2">
      <c r="A397" s="4">
        <v>283</v>
      </c>
      <c r="B397" s="2">
        <v>24138266</v>
      </c>
      <c r="C397" s="2">
        <v>24869.7</v>
      </c>
      <c r="D397" s="4" t="s">
        <v>1181</v>
      </c>
      <c r="E397" s="2">
        <v>24113396.300000001</v>
      </c>
      <c r="F397" s="2">
        <v>4581545.3</v>
      </c>
      <c r="G397" s="2">
        <v>556799.91</v>
      </c>
      <c r="H397" s="4">
        <v>0</v>
      </c>
      <c r="I397" s="4">
        <v>0</v>
      </c>
      <c r="J397" s="4">
        <v>556799.91</v>
      </c>
      <c r="K397" s="4">
        <v>28138141.690000001</v>
      </c>
      <c r="L397" s="4" t="s">
        <v>1180</v>
      </c>
      <c r="M397" s="4" t="s">
        <v>432</v>
      </c>
      <c r="N397" s="4" t="s">
        <v>381</v>
      </c>
      <c r="O397" s="4" t="s">
        <v>382</v>
      </c>
      <c r="P397" s="4" t="s">
        <v>382</v>
      </c>
      <c r="Q397" s="4" t="s">
        <v>28</v>
      </c>
      <c r="R397" s="9">
        <f t="shared" si="6"/>
        <v>4.8033701244220743E-4</v>
      </c>
    </row>
    <row r="398" spans="1:18" hidden="1" x14ac:dyDescent="0.2">
      <c r="A398" s="4">
        <v>1412</v>
      </c>
      <c r="B398" s="2">
        <v>24146128</v>
      </c>
      <c r="C398" s="2">
        <v>72702.45</v>
      </c>
      <c r="D398" s="4" t="s">
        <v>946</v>
      </c>
      <c r="E398" s="2">
        <v>24073425.550000001</v>
      </c>
      <c r="F398" s="2">
        <v>4573950.8499999996</v>
      </c>
      <c r="G398" s="2">
        <v>581819.18999999994</v>
      </c>
      <c r="H398" s="4">
        <v>0</v>
      </c>
      <c r="I398" s="4">
        <v>0</v>
      </c>
      <c r="J398" s="4">
        <v>581819.18999999994</v>
      </c>
      <c r="K398" s="4">
        <v>28065557.210000001</v>
      </c>
      <c r="L398" s="4" t="s">
        <v>944</v>
      </c>
      <c r="M398" s="4" t="s">
        <v>945</v>
      </c>
      <c r="N398" s="4" t="s">
        <v>381</v>
      </c>
      <c r="O398" s="4" t="s">
        <v>382</v>
      </c>
      <c r="P398" s="4" t="s">
        <v>382</v>
      </c>
      <c r="Q398" s="4" t="s">
        <v>100</v>
      </c>
      <c r="R398" s="9">
        <f t="shared" si="6"/>
        <v>4.7954079815529363E-4</v>
      </c>
    </row>
    <row r="399" spans="1:18" hidden="1" x14ac:dyDescent="0.2">
      <c r="A399" s="4">
        <v>544</v>
      </c>
      <c r="B399" s="2">
        <v>24069395</v>
      </c>
      <c r="C399" s="2">
        <v>0</v>
      </c>
      <c r="D399" s="4" t="s">
        <v>1248</v>
      </c>
      <c r="E399" s="2">
        <v>24069395</v>
      </c>
      <c r="F399" s="2">
        <v>4573185.05</v>
      </c>
      <c r="G399" s="2">
        <v>0</v>
      </c>
      <c r="H399" s="4">
        <v>0</v>
      </c>
      <c r="I399" s="4">
        <v>0</v>
      </c>
      <c r="J399" s="4">
        <v>0</v>
      </c>
      <c r="K399" s="4">
        <v>28642580.050000001</v>
      </c>
      <c r="L399" s="4" t="s">
        <v>1246</v>
      </c>
      <c r="M399" s="4" t="s">
        <v>1247</v>
      </c>
      <c r="N399" s="4" t="s">
        <v>779</v>
      </c>
      <c r="O399" s="4" t="s">
        <v>33</v>
      </c>
      <c r="P399" s="4" t="s">
        <v>33</v>
      </c>
      <c r="Q399" s="4" t="s">
        <v>100</v>
      </c>
      <c r="R399" s="9">
        <f t="shared" si="6"/>
        <v>4.7946050990715916E-4</v>
      </c>
    </row>
    <row r="400" spans="1:18" hidden="1" x14ac:dyDescent="0.2">
      <c r="A400" s="4">
        <v>1918</v>
      </c>
      <c r="B400" s="2">
        <v>24055402</v>
      </c>
      <c r="C400" s="2">
        <v>13896.54</v>
      </c>
      <c r="D400" s="4" t="s">
        <v>1137</v>
      </c>
      <c r="E400" s="2">
        <v>24041505.460000001</v>
      </c>
      <c r="F400" s="2">
        <v>4567886.04</v>
      </c>
      <c r="G400" s="2">
        <v>0</v>
      </c>
      <c r="H400" s="4">
        <v>0</v>
      </c>
      <c r="I400" s="4">
        <v>0</v>
      </c>
      <c r="J400" s="4">
        <v>0</v>
      </c>
      <c r="K400" s="4">
        <v>28609391.5</v>
      </c>
      <c r="L400" s="4" t="s">
        <v>1135</v>
      </c>
      <c r="M400" s="4" t="s">
        <v>1136</v>
      </c>
      <c r="N400" s="4" t="s">
        <v>20</v>
      </c>
      <c r="O400" s="4" t="s">
        <v>316</v>
      </c>
      <c r="P400" s="4" t="s">
        <v>316</v>
      </c>
      <c r="Q400" s="4" t="s">
        <v>100</v>
      </c>
      <c r="R400" s="9">
        <f t="shared" si="6"/>
        <v>4.7890495240064619E-4</v>
      </c>
    </row>
    <row r="401" spans="1:18" hidden="1" x14ac:dyDescent="0.2">
      <c r="A401" s="4">
        <v>1014</v>
      </c>
      <c r="B401" s="2">
        <v>23946136</v>
      </c>
      <c r="C401" s="2">
        <v>0</v>
      </c>
      <c r="D401" s="4" t="s">
        <v>1318</v>
      </c>
      <c r="E401" s="2">
        <v>23946136</v>
      </c>
      <c r="F401" s="2">
        <v>4549765.84</v>
      </c>
      <c r="G401" s="2">
        <v>0</v>
      </c>
      <c r="H401" s="4">
        <v>0</v>
      </c>
      <c r="I401" s="4">
        <v>0</v>
      </c>
      <c r="J401" s="4">
        <v>0</v>
      </c>
      <c r="K401" s="4">
        <v>28495901.84</v>
      </c>
      <c r="L401" s="4" t="s">
        <v>1316</v>
      </c>
      <c r="M401" s="4" t="s">
        <v>1317</v>
      </c>
      <c r="N401" s="4" t="s">
        <v>46</v>
      </c>
      <c r="O401" s="4" t="s">
        <v>27</v>
      </c>
      <c r="P401" s="4" t="s">
        <v>27</v>
      </c>
      <c r="Q401" s="4" t="s">
        <v>100</v>
      </c>
      <c r="R401" s="9">
        <f t="shared" si="6"/>
        <v>4.770052000420526E-4</v>
      </c>
    </row>
    <row r="402" spans="1:18" hidden="1" x14ac:dyDescent="0.2">
      <c r="A402" s="4">
        <v>969</v>
      </c>
      <c r="B402" s="2">
        <v>23894944</v>
      </c>
      <c r="C402" s="2">
        <v>0</v>
      </c>
      <c r="D402" s="4" t="s">
        <v>1724</v>
      </c>
      <c r="E402" s="2">
        <v>23894944</v>
      </c>
      <c r="F402" s="2">
        <v>4540039.3600000003</v>
      </c>
      <c r="G402" s="2">
        <v>0</v>
      </c>
      <c r="H402" s="4">
        <v>0</v>
      </c>
      <c r="I402" s="4">
        <v>0</v>
      </c>
      <c r="J402" s="4">
        <v>0</v>
      </c>
      <c r="K402" s="4">
        <v>28434983.359999999</v>
      </c>
      <c r="L402" s="4" t="s">
        <v>1722</v>
      </c>
      <c r="M402" s="4" t="s">
        <v>1723</v>
      </c>
      <c r="N402" s="4" t="s">
        <v>415</v>
      </c>
      <c r="O402" s="4" t="s">
        <v>382</v>
      </c>
      <c r="P402" s="4" t="s">
        <v>382</v>
      </c>
      <c r="Q402" s="4" t="s">
        <v>100</v>
      </c>
      <c r="R402" s="9">
        <f t="shared" si="6"/>
        <v>4.7598545931225165E-4</v>
      </c>
    </row>
    <row r="403" spans="1:18" hidden="1" x14ac:dyDescent="0.2">
      <c r="A403" s="4">
        <v>564</v>
      </c>
      <c r="B403" s="2">
        <v>23853742</v>
      </c>
      <c r="C403" s="2">
        <v>0</v>
      </c>
      <c r="D403" s="4" t="s">
        <v>1374</v>
      </c>
      <c r="E403" s="2">
        <v>23853742</v>
      </c>
      <c r="F403" s="2">
        <v>4532210.9800000004</v>
      </c>
      <c r="G403" s="2">
        <v>588448.44999999995</v>
      </c>
      <c r="H403" s="4">
        <v>0</v>
      </c>
      <c r="I403" s="4">
        <v>0</v>
      </c>
      <c r="J403" s="4">
        <v>588448.44999999995</v>
      </c>
      <c r="K403" s="4">
        <v>27797504.530000001</v>
      </c>
      <c r="L403" s="4" t="s">
        <v>1372</v>
      </c>
      <c r="M403" s="4" t="s">
        <v>1373</v>
      </c>
      <c r="N403" s="4" t="s">
        <v>58</v>
      </c>
      <c r="O403" s="4" t="s">
        <v>59</v>
      </c>
      <c r="P403" s="4" t="s">
        <v>59</v>
      </c>
      <c r="Q403" s="4" t="s">
        <v>100</v>
      </c>
      <c r="R403" s="9">
        <f t="shared" si="6"/>
        <v>4.7516471861938441E-4</v>
      </c>
    </row>
    <row r="404" spans="1:18" hidden="1" x14ac:dyDescent="0.2">
      <c r="A404" s="4">
        <v>1406</v>
      </c>
      <c r="B404" s="2">
        <v>23740133</v>
      </c>
      <c r="C404" s="2">
        <v>0</v>
      </c>
      <c r="D404" s="4" t="s">
        <v>1359</v>
      </c>
      <c r="E404" s="2">
        <v>23740133</v>
      </c>
      <c r="F404" s="2">
        <v>4510625.2699999996</v>
      </c>
      <c r="G404" s="2">
        <v>551966.21</v>
      </c>
      <c r="H404" s="4">
        <v>0</v>
      </c>
      <c r="I404" s="4">
        <v>0</v>
      </c>
      <c r="J404" s="4">
        <v>551966.21</v>
      </c>
      <c r="K404" s="4">
        <v>27698792.059999999</v>
      </c>
      <c r="L404" s="4" t="s">
        <v>1357</v>
      </c>
      <c r="M404" s="4" t="s">
        <v>1358</v>
      </c>
      <c r="N404" s="4" t="s">
        <v>186</v>
      </c>
      <c r="O404" s="4" t="s">
        <v>59</v>
      </c>
      <c r="P404" s="4" t="s">
        <v>59</v>
      </c>
      <c r="Q404" s="4" t="s">
        <v>100</v>
      </c>
      <c r="R404" s="9">
        <f t="shared" si="6"/>
        <v>4.7290163601718181E-4</v>
      </c>
    </row>
    <row r="405" spans="1:18" hidden="1" x14ac:dyDescent="0.2">
      <c r="A405" s="4">
        <v>1187</v>
      </c>
      <c r="B405" s="2">
        <v>23370100</v>
      </c>
      <c r="C405" s="2">
        <v>0</v>
      </c>
      <c r="D405" s="4" t="s">
        <v>5383</v>
      </c>
      <c r="E405" s="2">
        <v>23370100</v>
      </c>
      <c r="F405" s="2">
        <v>4440319</v>
      </c>
      <c r="G405" s="2">
        <v>584252.5</v>
      </c>
      <c r="H405" s="4">
        <v>0</v>
      </c>
      <c r="I405" s="4">
        <v>0</v>
      </c>
      <c r="J405" s="4">
        <v>584252.5</v>
      </c>
      <c r="K405" s="4">
        <v>27226166.5</v>
      </c>
      <c r="L405" s="4" t="s">
        <v>5381</v>
      </c>
      <c r="M405" s="4" t="s">
        <v>5382</v>
      </c>
      <c r="N405" s="4" t="s">
        <v>20</v>
      </c>
      <c r="O405" s="4" t="s">
        <v>76</v>
      </c>
      <c r="P405" s="4" t="s">
        <v>76</v>
      </c>
      <c r="Q405" s="4" t="s">
        <v>408</v>
      </c>
      <c r="R405" s="9">
        <f t="shared" si="6"/>
        <v>4.655306069214162E-4</v>
      </c>
    </row>
    <row r="406" spans="1:18" hidden="1" x14ac:dyDescent="0.2">
      <c r="A406" s="4">
        <v>521</v>
      </c>
      <c r="B406" s="2">
        <v>23859704</v>
      </c>
      <c r="C406" s="2">
        <v>535782.07999999996</v>
      </c>
      <c r="D406" s="4" t="s">
        <v>2997</v>
      </c>
      <c r="E406" s="2">
        <v>23323921.920000002</v>
      </c>
      <c r="F406" s="2">
        <v>4431545.16</v>
      </c>
      <c r="G406" s="2">
        <v>67863.199999999997</v>
      </c>
      <c r="H406" s="4">
        <v>0</v>
      </c>
      <c r="I406" s="4">
        <v>0</v>
      </c>
      <c r="J406" s="4">
        <v>67863.199999999997</v>
      </c>
      <c r="K406" s="4">
        <v>27687603.879999999</v>
      </c>
      <c r="L406" s="4" t="s">
        <v>2995</v>
      </c>
      <c r="M406" s="4" t="s">
        <v>2996</v>
      </c>
      <c r="N406" s="4" t="s">
        <v>20</v>
      </c>
      <c r="O406" s="4" t="s">
        <v>1356</v>
      </c>
      <c r="P406" s="4" t="s">
        <v>1356</v>
      </c>
      <c r="Q406" s="4" t="s">
        <v>100</v>
      </c>
      <c r="R406" s="9">
        <f t="shared" si="6"/>
        <v>4.6461074309503696E-4</v>
      </c>
    </row>
    <row r="407" spans="1:18" hidden="1" x14ac:dyDescent="0.2">
      <c r="A407" s="4">
        <v>604</v>
      </c>
      <c r="B407" s="2">
        <v>23309190</v>
      </c>
      <c r="C407" s="2">
        <v>0</v>
      </c>
      <c r="D407" s="4" t="s">
        <v>991</v>
      </c>
      <c r="E407" s="2">
        <v>23309190</v>
      </c>
      <c r="F407" s="2">
        <v>4428746.0999999996</v>
      </c>
      <c r="G407" s="2">
        <v>249971.51</v>
      </c>
      <c r="H407" s="4">
        <v>0</v>
      </c>
      <c r="I407" s="4">
        <v>0</v>
      </c>
      <c r="J407" s="4">
        <v>249971.51</v>
      </c>
      <c r="K407" s="4">
        <v>27487964.59</v>
      </c>
      <c r="L407" s="4" t="s">
        <v>989</v>
      </c>
      <c r="M407" s="4" t="s">
        <v>990</v>
      </c>
      <c r="N407" s="4" t="s">
        <v>482</v>
      </c>
      <c r="O407" s="4" t="s">
        <v>89</v>
      </c>
      <c r="P407" s="4" t="s">
        <v>89</v>
      </c>
      <c r="Q407" s="4" t="s">
        <v>100</v>
      </c>
      <c r="R407" s="9">
        <f t="shared" si="6"/>
        <v>4.6431728437390534E-4</v>
      </c>
    </row>
    <row r="408" spans="1:18" hidden="1" x14ac:dyDescent="0.2">
      <c r="A408" s="4">
        <v>120</v>
      </c>
      <c r="B408" s="2">
        <v>23261548</v>
      </c>
      <c r="C408" s="2">
        <v>0</v>
      </c>
      <c r="D408" s="4" t="s">
        <v>1614</v>
      </c>
      <c r="E408" s="2">
        <v>23261548</v>
      </c>
      <c r="F408" s="2">
        <v>4419694.12</v>
      </c>
      <c r="G408" s="2">
        <v>0</v>
      </c>
      <c r="H408" s="4">
        <v>0</v>
      </c>
      <c r="I408" s="4">
        <v>0</v>
      </c>
      <c r="J408" s="4">
        <v>0</v>
      </c>
      <c r="K408" s="4">
        <v>27681242.120000001</v>
      </c>
      <c r="L408" s="4" t="s">
        <v>1612</v>
      </c>
      <c r="M408" s="4" t="s">
        <v>1613</v>
      </c>
      <c r="N408" s="4" t="s">
        <v>37</v>
      </c>
      <c r="O408" s="4" t="s">
        <v>33</v>
      </c>
      <c r="P408" s="4" t="s">
        <v>33</v>
      </c>
      <c r="Q408" s="4" t="s">
        <v>100</v>
      </c>
      <c r="R408" s="9">
        <f t="shared" si="6"/>
        <v>4.633682593729447E-4</v>
      </c>
    </row>
    <row r="409" spans="1:18" hidden="1" x14ac:dyDescent="0.2">
      <c r="A409" s="4">
        <v>769</v>
      </c>
      <c r="B409" s="2">
        <v>23220000</v>
      </c>
      <c r="C409" s="2">
        <v>0</v>
      </c>
      <c r="D409" s="4" t="s">
        <v>5386</v>
      </c>
      <c r="E409" s="2">
        <v>23220000</v>
      </c>
      <c r="F409" s="2">
        <v>0</v>
      </c>
      <c r="G409" s="2">
        <v>0</v>
      </c>
      <c r="H409" s="4">
        <v>0</v>
      </c>
      <c r="I409" s="4">
        <v>0</v>
      </c>
      <c r="J409" s="4">
        <v>0</v>
      </c>
      <c r="K409" s="4">
        <v>23220000</v>
      </c>
      <c r="L409" s="4" t="s">
        <v>5384</v>
      </c>
      <c r="M409" s="4" t="s">
        <v>5385</v>
      </c>
      <c r="N409" s="4" t="s">
        <v>20</v>
      </c>
      <c r="O409" s="4" t="s">
        <v>516</v>
      </c>
      <c r="P409" s="4" t="s">
        <v>516</v>
      </c>
      <c r="Q409" s="4" t="s">
        <v>144</v>
      </c>
      <c r="R409" s="9">
        <f t="shared" si="6"/>
        <v>4.6254062638650598E-4</v>
      </c>
    </row>
    <row r="410" spans="1:18" hidden="1" x14ac:dyDescent="0.2">
      <c r="A410" s="4">
        <v>932</v>
      </c>
      <c r="B410" s="2">
        <v>23012826</v>
      </c>
      <c r="C410" s="2">
        <v>62048.61</v>
      </c>
      <c r="D410" s="4" t="s">
        <v>1537</v>
      </c>
      <c r="E410" s="2">
        <v>22950777.390000001</v>
      </c>
      <c r="F410" s="2">
        <v>4360647.7</v>
      </c>
      <c r="G410" s="2">
        <v>374411.28</v>
      </c>
      <c r="H410" s="4">
        <v>0</v>
      </c>
      <c r="I410" s="4">
        <v>0</v>
      </c>
      <c r="J410" s="4">
        <v>374411.28</v>
      </c>
      <c r="K410" s="4">
        <v>26937013.809999999</v>
      </c>
      <c r="L410" s="4" t="s">
        <v>1535</v>
      </c>
      <c r="M410" s="4" t="s">
        <v>1536</v>
      </c>
      <c r="N410" s="4" t="s">
        <v>88</v>
      </c>
      <c r="O410" s="4" t="s">
        <v>89</v>
      </c>
      <c r="P410" s="4" t="s">
        <v>89</v>
      </c>
      <c r="Q410" s="4" t="s">
        <v>100</v>
      </c>
      <c r="R410" s="9">
        <f t="shared" si="6"/>
        <v>4.5717773255933932E-4</v>
      </c>
    </row>
    <row r="411" spans="1:18" hidden="1" x14ac:dyDescent="0.2">
      <c r="A411" s="4">
        <v>1586</v>
      </c>
      <c r="B411" s="2">
        <v>23129908</v>
      </c>
      <c r="C411" s="2">
        <v>180895.02</v>
      </c>
      <c r="D411" s="4" t="s">
        <v>1417</v>
      </c>
      <c r="E411" s="2">
        <v>22949012.98</v>
      </c>
      <c r="F411" s="2">
        <v>4360312.47</v>
      </c>
      <c r="G411" s="2">
        <v>401362.27</v>
      </c>
      <c r="H411" s="4">
        <v>0</v>
      </c>
      <c r="I411" s="4">
        <v>0</v>
      </c>
      <c r="J411" s="4">
        <v>401362.27</v>
      </c>
      <c r="K411" s="4">
        <v>26907963.18</v>
      </c>
      <c r="L411" s="4" t="s">
        <v>1416</v>
      </c>
      <c r="M411" s="4" t="s">
        <v>170</v>
      </c>
      <c r="N411" s="4" t="s">
        <v>1418</v>
      </c>
      <c r="O411" s="4" t="s">
        <v>173</v>
      </c>
      <c r="P411" s="4" t="s">
        <v>173</v>
      </c>
      <c r="Q411" s="4" t="s">
        <v>28</v>
      </c>
      <c r="R411" s="9">
        <f t="shared" si="6"/>
        <v>4.5714258564691032E-4</v>
      </c>
    </row>
    <row r="412" spans="1:18" hidden="1" x14ac:dyDescent="0.2">
      <c r="A412" s="4">
        <v>20</v>
      </c>
      <c r="B412" s="2">
        <v>22873957</v>
      </c>
      <c r="C412" s="2">
        <v>0</v>
      </c>
      <c r="D412" s="4" t="s">
        <v>761</v>
      </c>
      <c r="E412" s="2">
        <v>22873957</v>
      </c>
      <c r="F412" s="2">
        <v>4346051.83</v>
      </c>
      <c r="G412" s="2">
        <v>516131.62</v>
      </c>
      <c r="H412" s="4">
        <v>588390.05000000005</v>
      </c>
      <c r="I412" s="4">
        <v>0</v>
      </c>
      <c r="J412" s="4">
        <v>1104521.67</v>
      </c>
      <c r="K412" s="4">
        <v>26115487.16</v>
      </c>
      <c r="L412" s="4" t="s">
        <v>760</v>
      </c>
      <c r="M412" s="4" t="s">
        <v>146</v>
      </c>
      <c r="N412" s="4" t="s">
        <v>41</v>
      </c>
      <c r="O412" s="4" t="s">
        <v>42</v>
      </c>
      <c r="P412" s="4" t="s">
        <v>42</v>
      </c>
      <c r="Q412" s="4" t="s">
        <v>28</v>
      </c>
      <c r="R412" s="9">
        <f t="shared" si="6"/>
        <v>4.5564747625831197E-4</v>
      </c>
    </row>
    <row r="413" spans="1:18" hidden="1" x14ac:dyDescent="0.2">
      <c r="A413" s="4">
        <v>981</v>
      </c>
      <c r="B413" s="2">
        <v>22840276</v>
      </c>
      <c r="C413" s="2">
        <v>0</v>
      </c>
      <c r="D413" s="4" t="s">
        <v>1414</v>
      </c>
      <c r="E413" s="2">
        <v>22840276</v>
      </c>
      <c r="F413" s="2">
        <v>4339652.4400000004</v>
      </c>
      <c r="G413" s="2">
        <v>499609.71</v>
      </c>
      <c r="H413" s="4">
        <v>0</v>
      </c>
      <c r="I413" s="4">
        <v>0</v>
      </c>
      <c r="J413" s="4">
        <v>499609.71</v>
      </c>
      <c r="K413" s="4">
        <v>26680318.73</v>
      </c>
      <c r="L413" s="4" t="s">
        <v>1412</v>
      </c>
      <c r="M413" s="4" t="s">
        <v>1413</v>
      </c>
      <c r="N413" s="4" t="s">
        <v>1415</v>
      </c>
      <c r="O413" s="4" t="s">
        <v>382</v>
      </c>
      <c r="P413" s="4" t="s">
        <v>382</v>
      </c>
      <c r="Q413" s="4" t="s">
        <v>100</v>
      </c>
      <c r="R413" s="9">
        <f t="shared" si="6"/>
        <v>4.5497655331096812E-4</v>
      </c>
    </row>
    <row r="414" spans="1:18" hidden="1" x14ac:dyDescent="0.2">
      <c r="A414" s="4">
        <v>862</v>
      </c>
      <c r="B414" s="2">
        <v>22712216</v>
      </c>
      <c r="C414" s="2">
        <v>0</v>
      </c>
      <c r="D414" s="4" t="s">
        <v>1411</v>
      </c>
      <c r="E414" s="2">
        <v>22712216</v>
      </c>
      <c r="F414" s="2">
        <v>4315321.04</v>
      </c>
      <c r="G414" s="2">
        <v>0</v>
      </c>
      <c r="H414" s="4">
        <v>0</v>
      </c>
      <c r="I414" s="4">
        <v>0</v>
      </c>
      <c r="J414" s="4">
        <v>0</v>
      </c>
      <c r="K414" s="4">
        <v>27027537.039999999</v>
      </c>
      <c r="L414" s="4" t="s">
        <v>1409</v>
      </c>
      <c r="M414" s="4" t="s">
        <v>1410</v>
      </c>
      <c r="N414" s="4" t="s">
        <v>939</v>
      </c>
      <c r="O414" s="4" t="s">
        <v>940</v>
      </c>
      <c r="P414" s="4" t="s">
        <v>940</v>
      </c>
      <c r="Q414" s="4" t="s">
        <v>100</v>
      </c>
      <c r="R414" s="9">
        <f t="shared" si="6"/>
        <v>4.524256078925764E-4</v>
      </c>
    </row>
    <row r="415" spans="1:18" hidden="1" x14ac:dyDescent="0.2">
      <c r="A415" s="4">
        <v>709</v>
      </c>
      <c r="B415" s="2">
        <v>22660548</v>
      </c>
      <c r="C415" s="2">
        <v>0</v>
      </c>
      <c r="D415" s="4" t="s">
        <v>1311</v>
      </c>
      <c r="E415" s="2">
        <v>22660548</v>
      </c>
      <c r="F415" s="2">
        <v>4305504.12</v>
      </c>
      <c r="G415" s="2">
        <v>500350.31</v>
      </c>
      <c r="H415" s="4">
        <v>0</v>
      </c>
      <c r="I415" s="4">
        <v>0</v>
      </c>
      <c r="J415" s="4">
        <v>500350.31</v>
      </c>
      <c r="K415" s="4">
        <v>26465701.809999999</v>
      </c>
      <c r="L415" s="4" t="s">
        <v>1309</v>
      </c>
      <c r="M415" s="4" t="s">
        <v>1310</v>
      </c>
      <c r="N415" s="4" t="s">
        <v>1312</v>
      </c>
      <c r="O415" s="4" t="s">
        <v>33</v>
      </c>
      <c r="P415" s="4" t="s">
        <v>33</v>
      </c>
      <c r="Q415" s="4" t="s">
        <v>100</v>
      </c>
      <c r="R415" s="9">
        <f t="shared" si="6"/>
        <v>4.5139638527913375E-4</v>
      </c>
    </row>
    <row r="416" spans="1:18" hidden="1" x14ac:dyDescent="0.2">
      <c r="A416" s="4">
        <v>708</v>
      </c>
      <c r="B416" s="2">
        <v>22678270</v>
      </c>
      <c r="C416" s="2">
        <v>33352.17</v>
      </c>
      <c r="D416" s="4" t="s">
        <v>806</v>
      </c>
      <c r="E416" s="2">
        <v>22644917.829999998</v>
      </c>
      <c r="F416" s="2">
        <v>4302534.3899999997</v>
      </c>
      <c r="G416" s="2">
        <v>226413.28</v>
      </c>
      <c r="H416" s="4">
        <v>0</v>
      </c>
      <c r="I416" s="4">
        <v>0</v>
      </c>
      <c r="J416" s="4">
        <v>226413.28</v>
      </c>
      <c r="K416" s="4">
        <v>26721038.940000001</v>
      </c>
      <c r="L416" s="4" t="s">
        <v>805</v>
      </c>
      <c r="M416" s="4" t="s">
        <v>304</v>
      </c>
      <c r="N416" s="4" t="s">
        <v>41</v>
      </c>
      <c r="O416" s="4" t="s">
        <v>42</v>
      </c>
      <c r="P416" s="4" t="s">
        <v>42</v>
      </c>
      <c r="Q416" s="4" t="s">
        <v>28</v>
      </c>
      <c r="R416" s="9">
        <f t="shared" si="6"/>
        <v>4.5108503348661316E-4</v>
      </c>
    </row>
    <row r="417" spans="1:18" hidden="1" x14ac:dyDescent="0.2">
      <c r="A417" s="4">
        <v>218</v>
      </c>
      <c r="B417" s="2">
        <v>22627636</v>
      </c>
      <c r="C417" s="2">
        <v>0</v>
      </c>
      <c r="D417" s="4" t="s">
        <v>654</v>
      </c>
      <c r="E417" s="2">
        <v>22627636</v>
      </c>
      <c r="F417" s="2">
        <v>4299250.84</v>
      </c>
      <c r="G417" s="2">
        <v>0</v>
      </c>
      <c r="H417" s="4">
        <v>0</v>
      </c>
      <c r="I417" s="4">
        <v>0</v>
      </c>
      <c r="J417" s="4">
        <v>0</v>
      </c>
      <c r="K417" s="4">
        <v>26926886.84</v>
      </c>
      <c r="L417" s="4" t="s">
        <v>652</v>
      </c>
      <c r="M417" s="4" t="s">
        <v>653</v>
      </c>
      <c r="N417" s="4" t="s">
        <v>415</v>
      </c>
      <c r="O417" s="4" t="s">
        <v>382</v>
      </c>
      <c r="P417" s="4" t="s">
        <v>382</v>
      </c>
      <c r="Q417" s="4" t="s">
        <v>28</v>
      </c>
      <c r="R417" s="9">
        <f t="shared" si="6"/>
        <v>4.5074078075305139E-4</v>
      </c>
    </row>
    <row r="418" spans="1:18" hidden="1" x14ac:dyDescent="0.2">
      <c r="A418" s="4">
        <v>1943</v>
      </c>
      <c r="B418" s="2">
        <v>22577753</v>
      </c>
      <c r="C418" s="2">
        <v>0</v>
      </c>
      <c r="D418" s="4" t="s">
        <v>1430</v>
      </c>
      <c r="E418" s="2">
        <v>22577753</v>
      </c>
      <c r="F418" s="2">
        <v>4289773.07</v>
      </c>
      <c r="G418" s="2">
        <v>401654.83</v>
      </c>
      <c r="H418" s="4">
        <v>0</v>
      </c>
      <c r="I418" s="4">
        <v>0</v>
      </c>
      <c r="J418" s="4">
        <v>401654.83</v>
      </c>
      <c r="K418" s="4">
        <v>26465871.239999998</v>
      </c>
      <c r="L418" s="4" t="s">
        <v>1428</v>
      </c>
      <c r="M418" s="4" t="s">
        <v>1429</v>
      </c>
      <c r="N418" s="4" t="s">
        <v>1418</v>
      </c>
      <c r="O418" s="4" t="s">
        <v>173</v>
      </c>
      <c r="P418" s="4" t="s">
        <v>173</v>
      </c>
      <c r="Q418" s="4" t="s">
        <v>100</v>
      </c>
      <c r="R418" s="9">
        <f t="shared" si="6"/>
        <v>4.4974711520326507E-4</v>
      </c>
    </row>
    <row r="419" spans="1:18" x14ac:dyDescent="0.2">
      <c r="A419" s="4">
        <v>802</v>
      </c>
      <c r="B419" s="2">
        <v>22673535</v>
      </c>
      <c r="C419" s="2">
        <v>163362.12</v>
      </c>
      <c r="D419" s="4" t="s">
        <v>598</v>
      </c>
      <c r="E419" s="2">
        <v>22510172.879999999</v>
      </c>
      <c r="F419" s="2">
        <v>4276932.8499999996</v>
      </c>
      <c r="G419" s="2">
        <v>562754.31999999995</v>
      </c>
      <c r="H419" s="4">
        <v>641539.92000000004</v>
      </c>
      <c r="I419" s="4">
        <v>0</v>
      </c>
      <c r="J419" s="4">
        <v>1204294.24</v>
      </c>
      <c r="K419" s="4">
        <v>25582811.489999998</v>
      </c>
      <c r="L419" s="4" t="s">
        <v>597</v>
      </c>
      <c r="M419" s="4" t="s">
        <v>81</v>
      </c>
      <c r="N419" s="4" t="s">
        <v>599</v>
      </c>
      <c r="O419" s="4" t="s">
        <v>559</v>
      </c>
      <c r="P419" s="4" t="s">
        <v>559</v>
      </c>
      <c r="Q419" s="4" t="s">
        <v>28</v>
      </c>
      <c r="R419" s="9">
        <f t="shared" si="6"/>
        <v>4.4840092437483802E-4</v>
      </c>
    </row>
    <row r="420" spans="1:18" hidden="1" x14ac:dyDescent="0.2">
      <c r="A420" s="4">
        <v>1889</v>
      </c>
      <c r="B420" s="2">
        <v>22447574</v>
      </c>
      <c r="C420" s="2">
        <v>0</v>
      </c>
      <c r="D420" s="4" t="s">
        <v>1685</v>
      </c>
      <c r="E420" s="2">
        <v>22447574</v>
      </c>
      <c r="F420" s="2">
        <v>4265039.0599999996</v>
      </c>
      <c r="G420" s="2">
        <v>355478.57</v>
      </c>
      <c r="H420" s="4">
        <v>0</v>
      </c>
      <c r="I420" s="4">
        <v>0</v>
      </c>
      <c r="J420" s="4">
        <v>355478.57</v>
      </c>
      <c r="K420" s="4">
        <v>26357134.489999998</v>
      </c>
      <c r="L420" s="4" t="s">
        <v>1683</v>
      </c>
      <c r="M420" s="4" t="s">
        <v>1684</v>
      </c>
      <c r="N420" s="4" t="s">
        <v>1686</v>
      </c>
      <c r="O420" s="4" t="s">
        <v>89</v>
      </c>
      <c r="P420" s="4" t="s">
        <v>89</v>
      </c>
      <c r="Q420" s="4" t="s">
        <v>100</v>
      </c>
      <c r="R420" s="9">
        <f t="shared" si="6"/>
        <v>4.4715395946672893E-4</v>
      </c>
    </row>
    <row r="421" spans="1:18" hidden="1" x14ac:dyDescent="0.2">
      <c r="A421" s="4">
        <v>1323</v>
      </c>
      <c r="B421" s="2">
        <v>22549668</v>
      </c>
      <c r="C421" s="2">
        <v>137271.81</v>
      </c>
      <c r="D421" s="4" t="s">
        <v>1205</v>
      </c>
      <c r="E421" s="2">
        <v>22412396.190000001</v>
      </c>
      <c r="F421" s="2">
        <v>4258355.28</v>
      </c>
      <c r="G421" s="2">
        <v>0</v>
      </c>
      <c r="H421" s="4">
        <v>0</v>
      </c>
      <c r="I421" s="4">
        <v>0</v>
      </c>
      <c r="J421" s="4">
        <v>0</v>
      </c>
      <c r="K421" s="4">
        <v>26670751.469999999</v>
      </c>
      <c r="L421" s="4" t="s">
        <v>1203</v>
      </c>
      <c r="M421" s="4" t="s">
        <v>1204</v>
      </c>
      <c r="N421" s="4" t="s">
        <v>705</v>
      </c>
      <c r="O421" s="4" t="s">
        <v>59</v>
      </c>
      <c r="P421" s="4" t="s">
        <v>59</v>
      </c>
      <c r="Q421" s="4" t="s">
        <v>100</v>
      </c>
      <c r="R421" s="9">
        <f t="shared" si="6"/>
        <v>4.4645322017851597E-4</v>
      </c>
    </row>
    <row r="422" spans="1:18" hidden="1" x14ac:dyDescent="0.2">
      <c r="A422" s="4">
        <v>99</v>
      </c>
      <c r="B422" s="2">
        <v>22364297</v>
      </c>
      <c r="C422" s="2">
        <v>0</v>
      </c>
      <c r="D422" s="4" t="s">
        <v>1126</v>
      </c>
      <c r="E422" s="2">
        <v>22364297</v>
      </c>
      <c r="F422" s="2">
        <v>4249216.43</v>
      </c>
      <c r="G422" s="2">
        <v>0</v>
      </c>
      <c r="H422" s="4">
        <v>0</v>
      </c>
      <c r="I422" s="4">
        <v>0</v>
      </c>
      <c r="J422" s="4">
        <v>0</v>
      </c>
      <c r="K422" s="4">
        <v>26613513.43</v>
      </c>
      <c r="L422" s="4" t="s">
        <v>1124</v>
      </c>
      <c r="M422" s="4" t="s">
        <v>1125</v>
      </c>
      <c r="N422" s="4" t="s">
        <v>332</v>
      </c>
      <c r="O422" s="4" t="s">
        <v>1127</v>
      </c>
      <c r="P422" s="4" t="s">
        <v>1127</v>
      </c>
      <c r="Q422" s="4" t="s">
        <v>100</v>
      </c>
      <c r="R422" s="9">
        <f t="shared" si="6"/>
        <v>4.4549508798767689E-4</v>
      </c>
    </row>
    <row r="423" spans="1:18" hidden="1" x14ac:dyDescent="0.2">
      <c r="A423" s="4">
        <v>1914</v>
      </c>
      <c r="B423" s="2">
        <v>22261108</v>
      </c>
      <c r="C423" s="2">
        <v>0</v>
      </c>
      <c r="D423" s="4" t="s">
        <v>1384</v>
      </c>
      <c r="E423" s="2">
        <v>22261108</v>
      </c>
      <c r="F423" s="2">
        <v>4229610.5199999996</v>
      </c>
      <c r="G423" s="2">
        <v>536236.48</v>
      </c>
      <c r="H423" s="4">
        <v>0</v>
      </c>
      <c r="I423" s="4">
        <v>0</v>
      </c>
      <c r="J423" s="4">
        <v>536236.48</v>
      </c>
      <c r="K423" s="4">
        <v>25954482.039999999</v>
      </c>
      <c r="L423" s="4" t="s">
        <v>1382</v>
      </c>
      <c r="M423" s="4" t="s">
        <v>1383</v>
      </c>
      <c r="N423" s="4" t="s">
        <v>464</v>
      </c>
      <c r="O423" s="4" t="s">
        <v>105</v>
      </c>
      <c r="P423" s="4" t="s">
        <v>105</v>
      </c>
      <c r="Q423" s="4" t="s">
        <v>100</v>
      </c>
      <c r="R423" s="9">
        <f t="shared" si="6"/>
        <v>4.4343957098956331E-4</v>
      </c>
    </row>
    <row r="424" spans="1:18" hidden="1" x14ac:dyDescent="0.2">
      <c r="A424" s="4">
        <v>1892</v>
      </c>
      <c r="B424" s="2">
        <v>22102656</v>
      </c>
      <c r="C424" s="2">
        <v>0</v>
      </c>
      <c r="D424" s="4" t="s">
        <v>1994</v>
      </c>
      <c r="E424" s="2">
        <v>22102656</v>
      </c>
      <c r="F424" s="2">
        <v>4199504.6399999997</v>
      </c>
      <c r="G424" s="2">
        <v>552566.4</v>
      </c>
      <c r="H424" s="4">
        <v>0</v>
      </c>
      <c r="I424" s="4">
        <v>0</v>
      </c>
      <c r="J424" s="4">
        <v>552566.4</v>
      </c>
      <c r="K424" s="4">
        <v>25749594.239999998</v>
      </c>
      <c r="L424" s="4" t="s">
        <v>1992</v>
      </c>
      <c r="M424" s="4" t="s">
        <v>1993</v>
      </c>
      <c r="N424" s="4" t="s">
        <v>20</v>
      </c>
      <c r="O424" s="4" t="s">
        <v>76</v>
      </c>
      <c r="P424" s="4" t="s">
        <v>76</v>
      </c>
      <c r="Q424" s="4" t="s">
        <v>408</v>
      </c>
      <c r="R424" s="9">
        <f t="shared" si="6"/>
        <v>4.40283219252604E-4</v>
      </c>
    </row>
    <row r="425" spans="1:18" hidden="1" x14ac:dyDescent="0.2">
      <c r="A425" s="4">
        <v>704</v>
      </c>
      <c r="B425" s="2">
        <v>22095800</v>
      </c>
      <c r="C425" s="2">
        <v>58385.91</v>
      </c>
      <c r="D425" s="4" t="s">
        <v>749</v>
      </c>
      <c r="E425" s="2">
        <v>22037414.09</v>
      </c>
      <c r="F425" s="2">
        <v>4187108.68</v>
      </c>
      <c r="G425" s="2">
        <v>277492.44</v>
      </c>
      <c r="H425" s="4">
        <v>0</v>
      </c>
      <c r="I425" s="4">
        <v>0</v>
      </c>
      <c r="J425" s="4">
        <v>277492.44</v>
      </c>
      <c r="K425" s="4">
        <v>25947030.329999998</v>
      </c>
      <c r="L425" s="4" t="s">
        <v>748</v>
      </c>
      <c r="M425" s="4" t="s">
        <v>304</v>
      </c>
      <c r="N425" s="4" t="s">
        <v>750</v>
      </c>
      <c r="O425" s="4" t="s">
        <v>42</v>
      </c>
      <c r="P425" s="4" t="s">
        <v>42</v>
      </c>
      <c r="Q425" s="4" t="s">
        <v>28</v>
      </c>
      <c r="R425" s="9">
        <f t="shared" si="6"/>
        <v>4.3898360538877746E-4</v>
      </c>
    </row>
    <row r="426" spans="1:18" hidden="1" x14ac:dyDescent="0.2">
      <c r="A426" s="4">
        <v>534</v>
      </c>
      <c r="B426" s="2">
        <v>21990506</v>
      </c>
      <c r="C426" s="2">
        <v>0</v>
      </c>
      <c r="D426" s="4" t="s">
        <v>1153</v>
      </c>
      <c r="E426" s="2">
        <v>21990506</v>
      </c>
      <c r="F426" s="2">
        <v>4178196.14</v>
      </c>
      <c r="G426" s="2">
        <v>379397.43</v>
      </c>
      <c r="H426" s="4">
        <v>0</v>
      </c>
      <c r="I426" s="4">
        <v>0</v>
      </c>
      <c r="J426" s="4">
        <v>379397.43</v>
      </c>
      <c r="K426" s="4">
        <v>25789304.710000001</v>
      </c>
      <c r="L426" s="4" t="s">
        <v>1151</v>
      </c>
      <c r="M426" s="4" t="s">
        <v>1152</v>
      </c>
      <c r="N426" s="4" t="s">
        <v>468</v>
      </c>
      <c r="O426" s="4" t="s">
        <v>105</v>
      </c>
      <c r="P426" s="4" t="s">
        <v>105</v>
      </c>
      <c r="Q426" s="4" t="s">
        <v>100</v>
      </c>
      <c r="R426" s="9">
        <f t="shared" si="6"/>
        <v>4.3804919981895861E-4</v>
      </c>
    </row>
    <row r="427" spans="1:18" hidden="1" x14ac:dyDescent="0.2">
      <c r="A427" s="4">
        <v>394</v>
      </c>
      <c r="B427" s="2">
        <v>21986391</v>
      </c>
      <c r="C427" s="2">
        <v>0</v>
      </c>
      <c r="D427" s="4" t="s">
        <v>918</v>
      </c>
      <c r="E427" s="2">
        <v>21986391</v>
      </c>
      <c r="F427" s="2">
        <v>4177414.29</v>
      </c>
      <c r="G427" s="2">
        <v>75789.759999999995</v>
      </c>
      <c r="H427" s="4">
        <v>0</v>
      </c>
      <c r="I427" s="4">
        <v>0</v>
      </c>
      <c r="J427" s="4">
        <v>75789.759999999995</v>
      </c>
      <c r="K427" s="4">
        <v>26088015.530000001</v>
      </c>
      <c r="L427" s="4" t="s">
        <v>916</v>
      </c>
      <c r="M427" s="4" t="s">
        <v>917</v>
      </c>
      <c r="N427" s="4" t="s">
        <v>20</v>
      </c>
      <c r="O427" s="4" t="s">
        <v>316</v>
      </c>
      <c r="P427" s="4" t="s">
        <v>316</v>
      </c>
      <c r="Q427" s="4" t="s">
        <v>100</v>
      </c>
      <c r="R427" s="9">
        <f t="shared" si="6"/>
        <v>4.3796722933327469E-4</v>
      </c>
    </row>
    <row r="428" spans="1:18" hidden="1" x14ac:dyDescent="0.2">
      <c r="A428" s="4">
        <v>763</v>
      </c>
      <c r="B428" s="2">
        <v>21981048</v>
      </c>
      <c r="C428" s="2">
        <v>3951.54</v>
      </c>
      <c r="D428" s="4" t="s">
        <v>1229</v>
      </c>
      <c r="E428" s="2">
        <v>21977096.460000001</v>
      </c>
      <c r="F428" s="2">
        <v>4175648.33</v>
      </c>
      <c r="G428" s="2">
        <v>-1335.6</v>
      </c>
      <c r="H428" s="4">
        <v>0</v>
      </c>
      <c r="I428" s="4">
        <v>0</v>
      </c>
      <c r="J428" s="4">
        <v>-1335.6</v>
      </c>
      <c r="K428" s="4">
        <v>26154080.390000001</v>
      </c>
      <c r="L428" s="4" t="s">
        <v>1227</v>
      </c>
      <c r="M428" s="4" t="s">
        <v>1228</v>
      </c>
      <c r="N428" s="4" t="s">
        <v>20</v>
      </c>
      <c r="O428" s="4" t="s">
        <v>316</v>
      </c>
      <c r="P428" s="4" t="s">
        <v>316</v>
      </c>
      <c r="Q428" s="4" t="s">
        <v>100</v>
      </c>
      <c r="R428" s="9">
        <f t="shared" si="6"/>
        <v>4.3778208280641966E-4</v>
      </c>
    </row>
    <row r="429" spans="1:18" hidden="1" x14ac:dyDescent="0.2">
      <c r="A429" s="4">
        <v>411</v>
      </c>
      <c r="B429" s="2">
        <v>22007909</v>
      </c>
      <c r="C429" s="2">
        <v>122341.05</v>
      </c>
      <c r="D429" s="4" t="s">
        <v>967</v>
      </c>
      <c r="E429" s="2">
        <v>21885567.949999999</v>
      </c>
      <c r="F429" s="2">
        <v>4158257.91</v>
      </c>
      <c r="G429" s="2">
        <v>484493.36</v>
      </c>
      <c r="H429" s="4">
        <v>0</v>
      </c>
      <c r="I429" s="4">
        <v>0</v>
      </c>
      <c r="J429" s="4">
        <v>484493.36</v>
      </c>
      <c r="K429" s="4">
        <v>25559332.5</v>
      </c>
      <c r="L429" s="4" t="s">
        <v>965</v>
      </c>
      <c r="M429" s="4" t="s">
        <v>966</v>
      </c>
      <c r="N429" s="4" t="s">
        <v>968</v>
      </c>
      <c r="O429" s="4" t="s">
        <v>59</v>
      </c>
      <c r="P429" s="4" t="s">
        <v>59</v>
      </c>
      <c r="Q429" s="4" t="s">
        <v>100</v>
      </c>
      <c r="R429" s="9">
        <f t="shared" si="6"/>
        <v>4.3595884187844273E-4</v>
      </c>
    </row>
    <row r="430" spans="1:18" hidden="1" x14ac:dyDescent="0.2">
      <c r="A430" s="4">
        <v>1519</v>
      </c>
      <c r="B430" s="2">
        <v>21974302</v>
      </c>
      <c r="C430" s="2">
        <v>193523.25</v>
      </c>
      <c r="D430" s="4" t="s">
        <v>1584</v>
      </c>
      <c r="E430" s="2">
        <v>21780778.75</v>
      </c>
      <c r="F430" s="2">
        <v>4138347.97</v>
      </c>
      <c r="G430" s="2">
        <v>0</v>
      </c>
      <c r="H430" s="4">
        <v>0</v>
      </c>
      <c r="I430" s="4">
        <v>0</v>
      </c>
      <c r="J430" s="4">
        <v>0</v>
      </c>
      <c r="K430" s="4">
        <v>25919126.719999999</v>
      </c>
      <c r="L430" s="4" t="s">
        <v>1582</v>
      </c>
      <c r="M430" s="4" t="s">
        <v>1583</v>
      </c>
      <c r="N430" s="4" t="s">
        <v>1421</v>
      </c>
      <c r="O430" s="4" t="s">
        <v>340</v>
      </c>
      <c r="P430" s="4" t="s">
        <v>340</v>
      </c>
      <c r="Q430" s="4" t="s">
        <v>100</v>
      </c>
      <c r="R430" s="9">
        <f t="shared" si="6"/>
        <v>4.3387144901855726E-4</v>
      </c>
    </row>
    <row r="431" spans="1:18" hidden="1" x14ac:dyDescent="0.2">
      <c r="A431" s="4">
        <v>1817</v>
      </c>
      <c r="B431" s="2">
        <v>21780320</v>
      </c>
      <c r="C431" s="2">
        <v>0</v>
      </c>
      <c r="D431" s="4" t="s">
        <v>5389</v>
      </c>
      <c r="E431" s="2">
        <v>21780320</v>
      </c>
      <c r="F431" s="2">
        <v>4138260.8</v>
      </c>
      <c r="G431" s="2">
        <v>544508</v>
      </c>
      <c r="H431" s="4">
        <v>0</v>
      </c>
      <c r="I431" s="4">
        <v>0</v>
      </c>
      <c r="J431" s="4">
        <v>544508</v>
      </c>
      <c r="K431" s="4">
        <v>25374072.800000001</v>
      </c>
      <c r="L431" s="4" t="s">
        <v>5387</v>
      </c>
      <c r="M431" s="4" t="s">
        <v>5388</v>
      </c>
      <c r="N431" s="4" t="s">
        <v>46</v>
      </c>
      <c r="O431" s="4" t="s">
        <v>237</v>
      </c>
      <c r="P431" s="4" t="s">
        <v>237</v>
      </c>
      <c r="Q431" s="4" t="s">
        <v>100</v>
      </c>
      <c r="R431" s="9">
        <f t="shared" si="6"/>
        <v>4.3386231075359796E-4</v>
      </c>
    </row>
    <row r="432" spans="1:18" hidden="1" x14ac:dyDescent="0.2">
      <c r="A432" s="4">
        <v>1840</v>
      </c>
      <c r="B432" s="2">
        <v>21747143</v>
      </c>
      <c r="C432" s="2">
        <v>17467.560000000001</v>
      </c>
      <c r="D432" s="4" t="s">
        <v>886</v>
      </c>
      <c r="E432" s="2">
        <v>21729675.440000001</v>
      </c>
      <c r="F432" s="2">
        <v>4128638.33</v>
      </c>
      <c r="G432" s="2">
        <v>187018.9</v>
      </c>
      <c r="H432" s="4">
        <v>-55652.55</v>
      </c>
      <c r="I432" s="4">
        <v>0</v>
      </c>
      <c r="J432" s="4">
        <v>131366.35</v>
      </c>
      <c r="K432" s="4">
        <v>25726947.420000002</v>
      </c>
      <c r="L432" s="4" t="s">
        <v>885</v>
      </c>
      <c r="M432" s="4" t="s">
        <v>61</v>
      </c>
      <c r="N432" s="4" t="s">
        <v>32</v>
      </c>
      <c r="O432" s="4" t="s">
        <v>33</v>
      </c>
      <c r="P432" s="4" t="s">
        <v>33</v>
      </c>
      <c r="Q432" s="4" t="s">
        <v>28</v>
      </c>
      <c r="R432" s="9">
        <f t="shared" si="6"/>
        <v>4.3285347498678192E-4</v>
      </c>
    </row>
    <row r="433" spans="1:18" hidden="1" x14ac:dyDescent="0.2">
      <c r="A433" s="4">
        <v>501</v>
      </c>
      <c r="B433" s="2">
        <v>21575720</v>
      </c>
      <c r="C433" s="2">
        <v>0</v>
      </c>
      <c r="D433" s="4" t="s">
        <v>1289</v>
      </c>
      <c r="E433" s="2">
        <v>21575720</v>
      </c>
      <c r="F433" s="2">
        <v>4099386.8</v>
      </c>
      <c r="G433" s="2">
        <v>452270.44</v>
      </c>
      <c r="H433" s="4">
        <v>0</v>
      </c>
      <c r="I433" s="4">
        <v>0</v>
      </c>
      <c r="J433" s="4">
        <v>452270.44</v>
      </c>
      <c r="K433" s="4">
        <v>25222836.359999999</v>
      </c>
      <c r="L433" s="4" t="s">
        <v>1287</v>
      </c>
      <c r="M433" s="4" t="s">
        <v>1288</v>
      </c>
      <c r="N433" s="4" t="s">
        <v>20</v>
      </c>
      <c r="O433" s="4" t="s">
        <v>631</v>
      </c>
      <c r="P433" s="4" t="s">
        <v>631</v>
      </c>
      <c r="Q433" s="4" t="s">
        <v>100</v>
      </c>
      <c r="R433" s="9">
        <f t="shared" si="6"/>
        <v>4.2978669438156183E-4</v>
      </c>
    </row>
    <row r="434" spans="1:18" hidden="1" x14ac:dyDescent="0.2">
      <c r="A434" s="4">
        <v>223</v>
      </c>
      <c r="B434" s="2">
        <v>21658956</v>
      </c>
      <c r="C434" s="2">
        <v>158370.35999999999</v>
      </c>
      <c r="D434" s="4" t="s">
        <v>1629</v>
      </c>
      <c r="E434" s="2">
        <v>21500585.640000001</v>
      </c>
      <c r="F434" s="2">
        <v>4085111.27</v>
      </c>
      <c r="G434" s="2">
        <v>0</v>
      </c>
      <c r="H434" s="4">
        <v>0</v>
      </c>
      <c r="I434" s="4">
        <v>0</v>
      </c>
      <c r="J434" s="4">
        <v>0</v>
      </c>
      <c r="K434" s="4">
        <v>25585696.91</v>
      </c>
      <c r="L434" s="4" t="s">
        <v>1627</v>
      </c>
      <c r="M434" s="4" t="s">
        <v>1628</v>
      </c>
      <c r="N434" s="4" t="s">
        <v>1630</v>
      </c>
      <c r="O434" s="4" t="s">
        <v>196</v>
      </c>
      <c r="P434" s="4" t="s">
        <v>196</v>
      </c>
      <c r="Q434" s="4" t="s">
        <v>100</v>
      </c>
      <c r="R434" s="9">
        <f t="shared" si="6"/>
        <v>4.282900236693504E-4</v>
      </c>
    </row>
    <row r="435" spans="1:18" hidden="1" x14ac:dyDescent="0.2">
      <c r="A435" s="4">
        <v>1065</v>
      </c>
      <c r="B435" s="2">
        <v>21498105</v>
      </c>
      <c r="C435" s="2">
        <v>0</v>
      </c>
      <c r="D435" s="4" t="s">
        <v>727</v>
      </c>
      <c r="E435" s="2">
        <v>21498105</v>
      </c>
      <c r="F435" s="2">
        <v>4084639.95</v>
      </c>
      <c r="G435" s="2">
        <v>510216.88</v>
      </c>
      <c r="H435" s="4">
        <v>0</v>
      </c>
      <c r="I435" s="4">
        <v>0</v>
      </c>
      <c r="J435" s="4">
        <v>510216.88</v>
      </c>
      <c r="K435" s="4">
        <v>25072528.07</v>
      </c>
      <c r="L435" s="4" t="s">
        <v>725</v>
      </c>
      <c r="M435" s="4" t="s">
        <v>726</v>
      </c>
      <c r="N435" s="4" t="s">
        <v>728</v>
      </c>
      <c r="O435" s="4" t="s">
        <v>59</v>
      </c>
      <c r="P435" s="4" t="s">
        <v>59</v>
      </c>
      <c r="Q435" s="4" t="s">
        <v>100</v>
      </c>
      <c r="R435" s="9">
        <f t="shared" si="6"/>
        <v>4.2824060951002912E-4</v>
      </c>
    </row>
    <row r="436" spans="1:18" hidden="1" x14ac:dyDescent="0.2">
      <c r="A436" s="4">
        <v>42</v>
      </c>
      <c r="B436" s="2">
        <v>21772907</v>
      </c>
      <c r="C436" s="2">
        <v>332674.68</v>
      </c>
      <c r="D436" s="4" t="s">
        <v>662</v>
      </c>
      <c r="E436" s="2">
        <v>21440232.32</v>
      </c>
      <c r="F436" s="2">
        <v>4073644.14</v>
      </c>
      <c r="G436" s="2">
        <v>536005.81000000006</v>
      </c>
      <c r="H436" s="4">
        <v>611046.62</v>
      </c>
      <c r="I436" s="4">
        <v>0</v>
      </c>
      <c r="J436" s="4">
        <v>1147052.43</v>
      </c>
      <c r="K436" s="4">
        <v>24366824.030000001</v>
      </c>
      <c r="L436" s="4" t="s">
        <v>661</v>
      </c>
      <c r="M436" s="4" t="s">
        <v>146</v>
      </c>
      <c r="N436" s="4" t="s">
        <v>83</v>
      </c>
      <c r="O436" s="4" t="s">
        <v>84</v>
      </c>
      <c r="P436" s="4" t="s">
        <v>84</v>
      </c>
      <c r="Q436" s="4" t="s">
        <v>28</v>
      </c>
      <c r="R436" s="9">
        <f t="shared" si="6"/>
        <v>4.2708779014491866E-4</v>
      </c>
    </row>
    <row r="437" spans="1:18" hidden="1" x14ac:dyDescent="0.2">
      <c r="A437" s="4">
        <v>272</v>
      </c>
      <c r="B437" s="2">
        <v>21351969</v>
      </c>
      <c r="C437" s="2">
        <v>0</v>
      </c>
      <c r="D437" s="4" t="s">
        <v>1689</v>
      </c>
      <c r="E437" s="2">
        <v>21351969</v>
      </c>
      <c r="F437" s="2">
        <v>4056874.11</v>
      </c>
      <c r="G437" s="2">
        <v>0</v>
      </c>
      <c r="H437" s="4">
        <v>0</v>
      </c>
      <c r="I437" s="4">
        <v>0</v>
      </c>
      <c r="J437" s="4">
        <v>0</v>
      </c>
      <c r="K437" s="4">
        <v>25408843.109999999</v>
      </c>
      <c r="L437" s="4" t="s">
        <v>1687</v>
      </c>
      <c r="M437" s="4" t="s">
        <v>1688</v>
      </c>
      <c r="N437" s="4" t="s">
        <v>1690</v>
      </c>
      <c r="O437" s="4" t="s">
        <v>382</v>
      </c>
      <c r="P437" s="4" t="s">
        <v>382</v>
      </c>
      <c r="Q437" s="4" t="s">
        <v>100</v>
      </c>
      <c r="R437" s="9">
        <f t="shared" si="6"/>
        <v>4.2532959155233669E-4</v>
      </c>
    </row>
    <row r="438" spans="1:18" hidden="1" x14ac:dyDescent="0.2">
      <c r="A438" s="4">
        <v>595</v>
      </c>
      <c r="B438" s="2">
        <v>21305759</v>
      </c>
      <c r="C438" s="2">
        <v>0</v>
      </c>
      <c r="D438" s="4" t="s">
        <v>1487</v>
      </c>
      <c r="E438" s="2">
        <v>21305759</v>
      </c>
      <c r="F438" s="2">
        <v>4048094.21</v>
      </c>
      <c r="G438" s="2">
        <v>347433.83</v>
      </c>
      <c r="H438" s="4">
        <v>0</v>
      </c>
      <c r="I438" s="4">
        <v>0</v>
      </c>
      <c r="J438" s="4">
        <v>347433.83</v>
      </c>
      <c r="K438" s="4">
        <v>25006419.379999999</v>
      </c>
      <c r="L438" s="4" t="s">
        <v>1485</v>
      </c>
      <c r="M438" s="4" t="s">
        <v>1486</v>
      </c>
      <c r="N438" s="4" t="s">
        <v>1421</v>
      </c>
      <c r="O438" s="4" t="s">
        <v>386</v>
      </c>
      <c r="P438" s="4" t="s">
        <v>386</v>
      </c>
      <c r="Q438" s="4" t="s">
        <v>585</v>
      </c>
      <c r="R438" s="9">
        <f t="shared" si="6"/>
        <v>4.2440909188199561E-4</v>
      </c>
    </row>
    <row r="439" spans="1:18" hidden="1" x14ac:dyDescent="0.2">
      <c r="A439" s="4">
        <v>1126</v>
      </c>
      <c r="B439" s="2">
        <v>21271373</v>
      </c>
      <c r="C439" s="2">
        <v>0</v>
      </c>
      <c r="D439" s="4" t="s">
        <v>1164</v>
      </c>
      <c r="E439" s="2">
        <v>21271373</v>
      </c>
      <c r="F439" s="2">
        <v>4041560.87</v>
      </c>
      <c r="G439" s="2">
        <v>472290.93</v>
      </c>
      <c r="H439" s="4">
        <v>0</v>
      </c>
      <c r="I439" s="4">
        <v>0</v>
      </c>
      <c r="J439" s="4">
        <v>472290.93</v>
      </c>
      <c r="K439" s="4">
        <v>24840642.940000001</v>
      </c>
      <c r="L439" s="4" t="s">
        <v>1162</v>
      </c>
      <c r="M439" s="4" t="s">
        <v>1163</v>
      </c>
      <c r="N439" s="4" t="s">
        <v>251</v>
      </c>
      <c r="O439" s="4" t="s">
        <v>59</v>
      </c>
      <c r="P439" s="4" t="s">
        <v>59</v>
      </c>
      <c r="Q439" s="4" t="s">
        <v>100</v>
      </c>
      <c r="R439" s="9">
        <f t="shared" si="6"/>
        <v>4.2372412538850177E-4</v>
      </c>
    </row>
    <row r="440" spans="1:18" hidden="1" x14ac:dyDescent="0.2">
      <c r="A440" s="4">
        <v>603</v>
      </c>
      <c r="B440" s="2">
        <v>21178050</v>
      </c>
      <c r="C440" s="2">
        <v>0</v>
      </c>
      <c r="D440" s="4" t="s">
        <v>1900</v>
      </c>
      <c r="E440" s="2">
        <v>21178050</v>
      </c>
      <c r="F440" s="2">
        <v>4023829.5</v>
      </c>
      <c r="G440" s="2">
        <v>479780.24</v>
      </c>
      <c r="H440" s="4">
        <v>0</v>
      </c>
      <c r="I440" s="4">
        <v>0</v>
      </c>
      <c r="J440" s="4">
        <v>479780.24</v>
      </c>
      <c r="K440" s="4">
        <v>24722099.260000002</v>
      </c>
      <c r="L440" s="4" t="s">
        <v>1898</v>
      </c>
      <c r="M440" s="4" t="s">
        <v>1899</v>
      </c>
      <c r="N440" s="4" t="s">
        <v>20</v>
      </c>
      <c r="O440" s="4" t="s">
        <v>386</v>
      </c>
      <c r="P440" s="4" t="s">
        <v>386</v>
      </c>
      <c r="Q440" s="4" t="s">
        <v>408</v>
      </c>
      <c r="R440" s="9">
        <f t="shared" si="6"/>
        <v>4.2186513835679342E-4</v>
      </c>
    </row>
    <row r="441" spans="1:18" hidden="1" x14ac:dyDescent="0.2">
      <c r="A441" s="4">
        <v>231</v>
      </c>
      <c r="B441" s="2">
        <v>21116094</v>
      </c>
      <c r="C441" s="2">
        <v>0</v>
      </c>
      <c r="D441" s="4" t="s">
        <v>1259</v>
      </c>
      <c r="E441" s="2">
        <v>21116094</v>
      </c>
      <c r="F441" s="2">
        <v>4012057.86</v>
      </c>
      <c r="G441" s="2">
        <v>0</v>
      </c>
      <c r="H441" s="4">
        <v>0</v>
      </c>
      <c r="I441" s="4">
        <v>0</v>
      </c>
      <c r="J441" s="4">
        <v>0</v>
      </c>
      <c r="K441" s="4">
        <v>25128151.859999999</v>
      </c>
      <c r="L441" s="4" t="s">
        <v>1257</v>
      </c>
      <c r="M441" s="4" t="s">
        <v>1258</v>
      </c>
      <c r="N441" s="4" t="s">
        <v>1054</v>
      </c>
      <c r="O441" s="4" t="s">
        <v>89</v>
      </c>
      <c r="P441" s="4" t="s">
        <v>89</v>
      </c>
      <c r="Q441" s="4" t="s">
        <v>100</v>
      </c>
      <c r="R441" s="9">
        <f t="shared" si="6"/>
        <v>4.2063097956917921E-4</v>
      </c>
    </row>
    <row r="442" spans="1:18" hidden="1" x14ac:dyDescent="0.2">
      <c r="A442" s="4">
        <v>1899</v>
      </c>
      <c r="B442" s="2">
        <v>21255108</v>
      </c>
      <c r="C442" s="2">
        <v>165914.67000000001</v>
      </c>
      <c r="D442" s="4" t="s">
        <v>2187</v>
      </c>
      <c r="E442" s="2">
        <v>21089193.329999998</v>
      </c>
      <c r="F442" s="2">
        <v>4006946.73</v>
      </c>
      <c r="G442" s="2">
        <v>0</v>
      </c>
      <c r="H442" s="4">
        <v>0</v>
      </c>
      <c r="I442" s="4">
        <v>0</v>
      </c>
      <c r="J442" s="4">
        <v>0</v>
      </c>
      <c r="K442" s="4">
        <v>25096140.059999999</v>
      </c>
      <c r="L442" s="4" t="s">
        <v>2185</v>
      </c>
      <c r="M442" s="4" t="s">
        <v>2186</v>
      </c>
      <c r="N442" s="4" t="s">
        <v>1242</v>
      </c>
      <c r="O442" s="4" t="s">
        <v>59</v>
      </c>
      <c r="P442" s="4" t="s">
        <v>59</v>
      </c>
      <c r="Q442" s="4" t="s">
        <v>100</v>
      </c>
      <c r="R442" s="9">
        <f t="shared" si="6"/>
        <v>4.2009512027753332E-4</v>
      </c>
    </row>
    <row r="443" spans="1:18" hidden="1" x14ac:dyDescent="0.2">
      <c r="A443" s="4">
        <v>1099</v>
      </c>
      <c r="B443" s="2">
        <v>21069448</v>
      </c>
      <c r="C443" s="2">
        <v>0</v>
      </c>
      <c r="D443" s="4" t="s">
        <v>642</v>
      </c>
      <c r="E443" s="2">
        <v>21069448</v>
      </c>
      <c r="F443" s="2">
        <v>4003195.12</v>
      </c>
      <c r="G443" s="2">
        <v>504096.2</v>
      </c>
      <c r="H443" s="4">
        <v>0</v>
      </c>
      <c r="I443" s="4">
        <v>0</v>
      </c>
      <c r="J443" s="4">
        <v>504096.2</v>
      </c>
      <c r="K443" s="4">
        <v>24568546.920000002</v>
      </c>
      <c r="L443" s="4" t="s">
        <v>640</v>
      </c>
      <c r="M443" s="4" t="s">
        <v>641</v>
      </c>
      <c r="N443" s="4" t="s">
        <v>186</v>
      </c>
      <c r="O443" s="4" t="s">
        <v>59</v>
      </c>
      <c r="P443" s="4" t="s">
        <v>59</v>
      </c>
      <c r="Q443" s="4" t="s">
        <v>100</v>
      </c>
      <c r="R443" s="9">
        <f t="shared" si="6"/>
        <v>4.197017948121411E-4</v>
      </c>
    </row>
    <row r="444" spans="1:18" hidden="1" x14ac:dyDescent="0.2">
      <c r="A444" s="4">
        <v>1658</v>
      </c>
      <c r="B444" s="2">
        <v>20965107</v>
      </c>
      <c r="C444" s="2">
        <v>33544.019999999997</v>
      </c>
      <c r="D444" s="4" t="s">
        <v>2051</v>
      </c>
      <c r="E444" s="2">
        <v>20931562.98</v>
      </c>
      <c r="F444" s="2">
        <v>3976996.97</v>
      </c>
      <c r="G444" s="2">
        <v>351750.01</v>
      </c>
      <c r="H444" s="4">
        <v>0</v>
      </c>
      <c r="I444" s="4">
        <v>0</v>
      </c>
      <c r="J444" s="4">
        <v>351750.01</v>
      </c>
      <c r="K444" s="4">
        <v>24556809.940000001</v>
      </c>
      <c r="L444" s="4" t="s">
        <v>2050</v>
      </c>
      <c r="M444" s="4" t="s">
        <v>1456</v>
      </c>
      <c r="N444" s="4" t="s">
        <v>779</v>
      </c>
      <c r="O444" s="4" t="s">
        <v>33</v>
      </c>
      <c r="P444" s="4" t="s">
        <v>33</v>
      </c>
      <c r="Q444" s="4" t="s">
        <v>28</v>
      </c>
      <c r="R444" s="9">
        <f t="shared" si="6"/>
        <v>4.1695513574581394E-4</v>
      </c>
    </row>
    <row r="445" spans="1:18" hidden="1" x14ac:dyDescent="0.2">
      <c r="A445" s="4">
        <v>1775</v>
      </c>
      <c r="B445" s="2">
        <v>20966895</v>
      </c>
      <c r="C445" s="2">
        <v>51348.93</v>
      </c>
      <c r="D445" s="4" t="s">
        <v>1222</v>
      </c>
      <c r="E445" s="2">
        <v>20915546.07</v>
      </c>
      <c r="F445" s="2">
        <v>3973953.75</v>
      </c>
      <c r="G445" s="2">
        <v>461141.18</v>
      </c>
      <c r="H445" s="4">
        <v>0</v>
      </c>
      <c r="I445" s="4">
        <v>0</v>
      </c>
      <c r="J445" s="4">
        <v>461141.18</v>
      </c>
      <c r="K445" s="4">
        <v>24428358.640000001</v>
      </c>
      <c r="L445" s="4" t="s">
        <v>1220</v>
      </c>
      <c r="M445" s="4" t="s">
        <v>1221</v>
      </c>
      <c r="N445" s="4" t="s">
        <v>20</v>
      </c>
      <c r="O445" s="4" t="s">
        <v>768</v>
      </c>
      <c r="P445" s="4" t="s">
        <v>768</v>
      </c>
      <c r="Q445" s="4" t="s">
        <v>100</v>
      </c>
      <c r="R445" s="9">
        <f t="shared" si="6"/>
        <v>4.1663608012203375E-4</v>
      </c>
    </row>
    <row r="446" spans="1:18" hidden="1" x14ac:dyDescent="0.2">
      <c r="A446" s="4">
        <v>1118</v>
      </c>
      <c r="B446" s="2">
        <v>20894434</v>
      </c>
      <c r="C446" s="2">
        <v>0</v>
      </c>
      <c r="D446" s="4" t="s">
        <v>2616</v>
      </c>
      <c r="E446" s="2">
        <v>20894434</v>
      </c>
      <c r="F446" s="2">
        <v>3969942.46</v>
      </c>
      <c r="G446" s="2">
        <v>0</v>
      </c>
      <c r="H446" s="4">
        <v>0</v>
      </c>
      <c r="I446" s="4">
        <v>0</v>
      </c>
      <c r="J446" s="4">
        <v>0</v>
      </c>
      <c r="K446" s="4">
        <v>24864376.460000001</v>
      </c>
      <c r="L446" s="4" t="s">
        <v>2614</v>
      </c>
      <c r="M446" s="4" t="s">
        <v>2615</v>
      </c>
      <c r="N446" s="4" t="s">
        <v>37</v>
      </c>
      <c r="O446" s="4" t="s">
        <v>33</v>
      </c>
      <c r="P446" s="4" t="s">
        <v>33</v>
      </c>
      <c r="Q446" s="4" t="s">
        <v>100</v>
      </c>
      <c r="R446" s="9">
        <f t="shared" si="6"/>
        <v>4.1621552930023721E-4</v>
      </c>
    </row>
    <row r="447" spans="1:18" hidden="1" x14ac:dyDescent="0.2">
      <c r="A447" s="4">
        <v>1825</v>
      </c>
      <c r="B447" s="2">
        <v>20856024</v>
      </c>
      <c r="C447" s="2">
        <v>0</v>
      </c>
      <c r="D447" s="4" t="s">
        <v>3018</v>
      </c>
      <c r="E447" s="2">
        <v>20856024</v>
      </c>
      <c r="F447" s="2">
        <v>3962644.56</v>
      </c>
      <c r="G447" s="2">
        <v>521400.6</v>
      </c>
      <c r="H447" s="4">
        <v>0</v>
      </c>
      <c r="I447" s="4">
        <v>0</v>
      </c>
      <c r="J447" s="4">
        <v>521400.6</v>
      </c>
      <c r="K447" s="4">
        <v>24297267.960000001</v>
      </c>
      <c r="L447" s="4" t="s">
        <v>3016</v>
      </c>
      <c r="M447" s="4" t="s">
        <v>3017</v>
      </c>
      <c r="N447" s="4" t="s">
        <v>20</v>
      </c>
      <c r="O447" s="4" t="s">
        <v>386</v>
      </c>
      <c r="P447" s="4" t="s">
        <v>386</v>
      </c>
      <c r="Q447" s="4" t="s">
        <v>408</v>
      </c>
      <c r="R447" s="9">
        <f t="shared" si="6"/>
        <v>4.1545040503410862E-4</v>
      </c>
    </row>
    <row r="448" spans="1:18" hidden="1" x14ac:dyDescent="0.2">
      <c r="A448" s="4">
        <v>73</v>
      </c>
      <c r="B448" s="2">
        <v>20793515</v>
      </c>
      <c r="C448" s="2">
        <v>0</v>
      </c>
      <c r="D448" s="4" t="s">
        <v>1843</v>
      </c>
      <c r="E448" s="2">
        <v>20793515</v>
      </c>
      <c r="F448" s="2">
        <v>3950767.85</v>
      </c>
      <c r="G448" s="2">
        <v>0</v>
      </c>
      <c r="H448" s="4">
        <v>0</v>
      </c>
      <c r="I448" s="4">
        <v>0</v>
      </c>
      <c r="J448" s="4">
        <v>0</v>
      </c>
      <c r="K448" s="4">
        <v>24744282.850000001</v>
      </c>
      <c r="L448" s="4" t="s">
        <v>1841</v>
      </c>
      <c r="M448" s="4" t="s">
        <v>1842</v>
      </c>
      <c r="N448" s="4" t="s">
        <v>112</v>
      </c>
      <c r="O448" s="4" t="s">
        <v>113</v>
      </c>
      <c r="P448" s="4" t="s">
        <v>113</v>
      </c>
      <c r="Q448" s="4" t="s">
        <v>100</v>
      </c>
      <c r="R448" s="9">
        <f t="shared" si="6"/>
        <v>4.1420523052873419E-4</v>
      </c>
    </row>
    <row r="449" spans="1:18" hidden="1" x14ac:dyDescent="0.2">
      <c r="A449" s="4">
        <v>94</v>
      </c>
      <c r="B449" s="2">
        <v>20781959</v>
      </c>
      <c r="C449" s="2">
        <v>0</v>
      </c>
      <c r="D449" s="4" t="s">
        <v>921</v>
      </c>
      <c r="E449" s="2">
        <v>20781959</v>
      </c>
      <c r="F449" s="2">
        <v>3948572.21</v>
      </c>
      <c r="G449" s="2">
        <v>0</v>
      </c>
      <c r="H449" s="4">
        <v>0</v>
      </c>
      <c r="I449" s="4">
        <v>0</v>
      </c>
      <c r="J449" s="4">
        <v>0</v>
      </c>
      <c r="K449" s="4">
        <v>24730531.210000001</v>
      </c>
      <c r="L449" s="4" t="s">
        <v>919</v>
      </c>
      <c r="M449" s="4" t="s">
        <v>920</v>
      </c>
      <c r="N449" s="4" t="s">
        <v>92</v>
      </c>
      <c r="O449" s="4" t="s">
        <v>93</v>
      </c>
      <c r="P449" s="4" t="s">
        <v>93</v>
      </c>
      <c r="Q449" s="4" t="s">
        <v>100</v>
      </c>
      <c r="R449" s="9">
        <f t="shared" si="6"/>
        <v>4.1397503589141627E-4</v>
      </c>
    </row>
    <row r="450" spans="1:18" hidden="1" x14ac:dyDescent="0.2">
      <c r="A450" s="4">
        <v>1252</v>
      </c>
      <c r="B450" s="2">
        <v>20617337</v>
      </c>
      <c r="C450" s="2">
        <v>0</v>
      </c>
      <c r="D450" s="4" t="s">
        <v>1617</v>
      </c>
      <c r="E450" s="2">
        <v>20617337</v>
      </c>
      <c r="F450" s="2">
        <v>3917294.03</v>
      </c>
      <c r="G450" s="2">
        <v>0</v>
      </c>
      <c r="H450" s="4">
        <v>0</v>
      </c>
      <c r="I450" s="4">
        <v>0</v>
      </c>
      <c r="J450" s="4">
        <v>0</v>
      </c>
      <c r="K450" s="4">
        <v>24534631.030000001</v>
      </c>
      <c r="L450" s="4" t="s">
        <v>1615</v>
      </c>
      <c r="M450" s="4" t="s">
        <v>1616</v>
      </c>
      <c r="N450" s="4" t="s">
        <v>975</v>
      </c>
      <c r="O450" s="4" t="s">
        <v>89</v>
      </c>
      <c r="P450" s="4" t="s">
        <v>89</v>
      </c>
      <c r="Q450" s="4" t="s">
        <v>100</v>
      </c>
      <c r="R450" s="9">
        <f t="shared" si="6"/>
        <v>4.1069577822574018E-4</v>
      </c>
    </row>
    <row r="451" spans="1:18" hidden="1" x14ac:dyDescent="0.2">
      <c r="A451" s="4">
        <v>607</v>
      </c>
      <c r="B451" s="2">
        <v>20499761</v>
      </c>
      <c r="C451" s="2">
        <v>0</v>
      </c>
      <c r="D451" s="4" t="s">
        <v>1149</v>
      </c>
      <c r="E451" s="2">
        <v>20499761</v>
      </c>
      <c r="F451" s="2">
        <v>3894954.59</v>
      </c>
      <c r="G451" s="2">
        <v>0</v>
      </c>
      <c r="H451" s="4">
        <v>0</v>
      </c>
      <c r="I451" s="4">
        <v>0</v>
      </c>
      <c r="J451" s="4">
        <v>0</v>
      </c>
      <c r="K451" s="4">
        <v>24394715.59</v>
      </c>
      <c r="L451" s="4" t="s">
        <v>1147</v>
      </c>
      <c r="M451" s="4" t="s">
        <v>1148</v>
      </c>
      <c r="N451" s="4" t="s">
        <v>1150</v>
      </c>
      <c r="O451" s="4" t="s">
        <v>89</v>
      </c>
      <c r="P451" s="4" t="s">
        <v>89</v>
      </c>
      <c r="Q451" s="4" t="s">
        <v>100</v>
      </c>
      <c r="R451" s="9">
        <f t="shared" ref="R451:R514" si="7">E451/$E$2034</f>
        <v>4.0835367328654893E-4</v>
      </c>
    </row>
    <row r="452" spans="1:18" hidden="1" x14ac:dyDescent="0.2">
      <c r="A452" s="4">
        <v>1661</v>
      </c>
      <c r="B452" s="2">
        <v>20473090</v>
      </c>
      <c r="C452" s="2">
        <v>0</v>
      </c>
      <c r="D452" s="4" t="s">
        <v>1286</v>
      </c>
      <c r="E452" s="2">
        <v>20473090</v>
      </c>
      <c r="F452" s="2">
        <v>3889887.1</v>
      </c>
      <c r="G452" s="2">
        <v>0</v>
      </c>
      <c r="H452" s="4">
        <v>0</v>
      </c>
      <c r="I452" s="4">
        <v>0</v>
      </c>
      <c r="J452" s="4">
        <v>0</v>
      </c>
      <c r="K452" s="4">
        <v>24362977.100000001</v>
      </c>
      <c r="L452" s="4" t="s">
        <v>1284</v>
      </c>
      <c r="M452" s="4" t="s">
        <v>1285</v>
      </c>
      <c r="N452" s="4" t="s">
        <v>92</v>
      </c>
      <c r="O452" s="4" t="s">
        <v>93</v>
      </c>
      <c r="P452" s="4" t="s">
        <v>93</v>
      </c>
      <c r="Q452" s="4" t="s">
        <v>100</v>
      </c>
      <c r="R452" s="9">
        <f t="shared" si="7"/>
        <v>4.0782238900376021E-4</v>
      </c>
    </row>
    <row r="453" spans="1:18" hidden="1" x14ac:dyDescent="0.2">
      <c r="A453" s="4">
        <v>1434</v>
      </c>
      <c r="B453" s="2">
        <v>20394571</v>
      </c>
      <c r="C453" s="2">
        <v>0</v>
      </c>
      <c r="D453" s="4" t="s">
        <v>5392</v>
      </c>
      <c r="E453" s="2">
        <v>20394571</v>
      </c>
      <c r="F453" s="2">
        <v>3874968.49</v>
      </c>
      <c r="G453" s="2">
        <v>390584.92</v>
      </c>
      <c r="H453" s="4">
        <v>0</v>
      </c>
      <c r="I453" s="4">
        <v>0</v>
      </c>
      <c r="J453" s="4">
        <v>390584.92</v>
      </c>
      <c r="K453" s="4">
        <v>23878954.57</v>
      </c>
      <c r="L453" s="4" t="s">
        <v>5390</v>
      </c>
      <c r="M453" s="4" t="s">
        <v>5391</v>
      </c>
      <c r="N453" s="4" t="s">
        <v>468</v>
      </c>
      <c r="O453" s="4" t="s">
        <v>105</v>
      </c>
      <c r="P453" s="4" t="s">
        <v>1039</v>
      </c>
      <c r="Q453" s="4" t="s">
        <v>100</v>
      </c>
      <c r="R453" s="9">
        <f t="shared" si="7"/>
        <v>4.062582965212778E-4</v>
      </c>
    </row>
    <row r="454" spans="1:18" hidden="1" x14ac:dyDescent="0.2">
      <c r="A454" s="4">
        <v>581</v>
      </c>
      <c r="B454" s="2">
        <v>20348985</v>
      </c>
      <c r="C454" s="2">
        <v>0</v>
      </c>
      <c r="D454" s="4" t="s">
        <v>742</v>
      </c>
      <c r="E454" s="2">
        <v>20348985</v>
      </c>
      <c r="F454" s="2">
        <v>3866307.15</v>
      </c>
      <c r="G454" s="2">
        <v>508724.63</v>
      </c>
      <c r="H454" s="4">
        <v>0</v>
      </c>
      <c r="I454" s="4">
        <v>0</v>
      </c>
      <c r="J454" s="4">
        <v>508724.63</v>
      </c>
      <c r="K454" s="4">
        <v>23706567.52</v>
      </c>
      <c r="L454" s="4" t="s">
        <v>740</v>
      </c>
      <c r="M454" s="4" t="s">
        <v>741</v>
      </c>
      <c r="N454" s="4" t="s">
        <v>20</v>
      </c>
      <c r="O454" s="4" t="s">
        <v>386</v>
      </c>
      <c r="P454" s="4" t="s">
        <v>386</v>
      </c>
      <c r="Q454" s="4" t="s">
        <v>100</v>
      </c>
      <c r="R454" s="9">
        <f t="shared" si="7"/>
        <v>4.0535022688327368E-4</v>
      </c>
    </row>
    <row r="455" spans="1:18" hidden="1" x14ac:dyDescent="0.2">
      <c r="A455" s="4">
        <v>871</v>
      </c>
      <c r="B455" s="2">
        <v>20363692</v>
      </c>
      <c r="C455" s="2">
        <v>37304.22</v>
      </c>
      <c r="D455" s="4" t="s">
        <v>1736</v>
      </c>
      <c r="E455" s="2">
        <v>20326387.780000001</v>
      </c>
      <c r="F455" s="2">
        <v>3862013.68</v>
      </c>
      <c r="G455" s="2">
        <v>0</v>
      </c>
      <c r="H455" s="4">
        <v>0</v>
      </c>
      <c r="I455" s="4">
        <v>0</v>
      </c>
      <c r="J455" s="4">
        <v>0</v>
      </c>
      <c r="K455" s="4">
        <v>24188401.460000001</v>
      </c>
      <c r="L455" s="4" t="s">
        <v>1734</v>
      </c>
      <c r="M455" s="4" t="s">
        <v>1735</v>
      </c>
      <c r="N455" s="4" t="s">
        <v>20</v>
      </c>
      <c r="O455" s="4" t="s">
        <v>1043</v>
      </c>
      <c r="P455" s="4" t="s">
        <v>1043</v>
      </c>
      <c r="Q455" s="4" t="s">
        <v>100</v>
      </c>
      <c r="R455" s="9">
        <f t="shared" si="7"/>
        <v>4.0490009198691741E-4</v>
      </c>
    </row>
    <row r="456" spans="1:18" hidden="1" x14ac:dyDescent="0.2">
      <c r="A456" s="4">
        <v>1374</v>
      </c>
      <c r="B456" s="2">
        <v>20310040</v>
      </c>
      <c r="C456" s="2">
        <v>24097.08</v>
      </c>
      <c r="D456" s="4" t="s">
        <v>1954</v>
      </c>
      <c r="E456" s="2">
        <v>20285942.920000002</v>
      </c>
      <c r="F456" s="2">
        <v>3854329.15</v>
      </c>
      <c r="G456" s="2">
        <v>477686.42</v>
      </c>
      <c r="H456" s="4">
        <v>544562.49</v>
      </c>
      <c r="I456" s="4">
        <v>107712.43</v>
      </c>
      <c r="J456" s="4">
        <v>1129961.3400000001</v>
      </c>
      <c r="K456" s="4">
        <v>23010310.73</v>
      </c>
      <c r="L456" s="4" t="s">
        <v>1953</v>
      </c>
      <c r="M456" s="4" t="s">
        <v>1006</v>
      </c>
      <c r="N456" s="4" t="s">
        <v>32</v>
      </c>
      <c r="O456" s="4" t="s">
        <v>33</v>
      </c>
      <c r="P456" s="4" t="s">
        <v>33</v>
      </c>
      <c r="Q456" s="4" t="s">
        <v>28</v>
      </c>
      <c r="R456" s="9">
        <f t="shared" si="7"/>
        <v>4.0409443346501754E-4</v>
      </c>
    </row>
    <row r="457" spans="1:18" hidden="1" x14ac:dyDescent="0.2">
      <c r="A457" s="4">
        <v>1742</v>
      </c>
      <c r="B457" s="2">
        <v>20271187</v>
      </c>
      <c r="C457" s="2">
        <v>0</v>
      </c>
      <c r="D457" s="4" t="s">
        <v>1727</v>
      </c>
      <c r="E457" s="2">
        <v>20271187</v>
      </c>
      <c r="F457" s="2">
        <v>3851525.53</v>
      </c>
      <c r="G457" s="2">
        <v>329044.53000000003</v>
      </c>
      <c r="H457" s="4">
        <v>0</v>
      </c>
      <c r="I457" s="4">
        <v>0</v>
      </c>
      <c r="J457" s="4">
        <v>329044.53000000003</v>
      </c>
      <c r="K457" s="4">
        <v>23793668</v>
      </c>
      <c r="L457" s="4" t="s">
        <v>1725</v>
      </c>
      <c r="M457" s="4" t="s">
        <v>1726</v>
      </c>
      <c r="N457" s="4" t="s">
        <v>775</v>
      </c>
      <c r="O457" s="4" t="s">
        <v>27</v>
      </c>
      <c r="P457" s="4" t="s">
        <v>27</v>
      </c>
      <c r="Q457" s="4" t="s">
        <v>28</v>
      </c>
      <c r="R457" s="9">
        <f t="shared" si="7"/>
        <v>4.0380049666571908E-4</v>
      </c>
    </row>
    <row r="458" spans="1:18" hidden="1" x14ac:dyDescent="0.2">
      <c r="A458" s="4">
        <v>492</v>
      </c>
      <c r="B458" s="2">
        <v>20265645</v>
      </c>
      <c r="C458" s="2">
        <v>0</v>
      </c>
      <c r="D458" s="4" t="s">
        <v>4041</v>
      </c>
      <c r="E458" s="2">
        <v>20265645</v>
      </c>
      <c r="F458" s="2">
        <v>3850472.55</v>
      </c>
      <c r="G458" s="2">
        <v>490590.53</v>
      </c>
      <c r="H458" s="4">
        <v>0</v>
      </c>
      <c r="I458" s="4">
        <v>0</v>
      </c>
      <c r="J458" s="4">
        <v>490590.53</v>
      </c>
      <c r="K458" s="4">
        <v>23625527.02</v>
      </c>
      <c r="L458" s="4" t="s">
        <v>4039</v>
      </c>
      <c r="M458" s="4" t="s">
        <v>4040</v>
      </c>
      <c r="N458" s="4" t="s">
        <v>20</v>
      </c>
      <c r="O458" s="4" t="s">
        <v>71</v>
      </c>
      <c r="P458" s="4" t="s">
        <v>71</v>
      </c>
      <c r="Q458" s="4" t="s">
        <v>100</v>
      </c>
      <c r="R458" s="9">
        <f t="shared" si="7"/>
        <v>4.0369010044903375E-4</v>
      </c>
    </row>
    <row r="459" spans="1:18" hidden="1" x14ac:dyDescent="0.2">
      <c r="A459" s="4">
        <v>533</v>
      </c>
      <c r="B459" s="2">
        <v>20186986</v>
      </c>
      <c r="C459" s="2">
        <v>0</v>
      </c>
      <c r="D459" s="4" t="s">
        <v>1387</v>
      </c>
      <c r="E459" s="2">
        <v>20186986</v>
      </c>
      <c r="F459" s="2">
        <v>3835527.34</v>
      </c>
      <c r="G459" s="2">
        <v>191668.78</v>
      </c>
      <c r="H459" s="4">
        <v>0</v>
      </c>
      <c r="I459" s="4">
        <v>0</v>
      </c>
      <c r="J459" s="4">
        <v>191668.78</v>
      </c>
      <c r="K459" s="4">
        <v>23830844.559999999</v>
      </c>
      <c r="L459" s="4" t="s">
        <v>1385</v>
      </c>
      <c r="M459" s="4" t="s">
        <v>1386</v>
      </c>
      <c r="N459" s="4" t="s">
        <v>504</v>
      </c>
      <c r="O459" s="4" t="s">
        <v>1277</v>
      </c>
      <c r="P459" s="4" t="s">
        <v>1277</v>
      </c>
      <c r="Q459" s="4" t="s">
        <v>100</v>
      </c>
      <c r="R459" s="9">
        <f t="shared" si="7"/>
        <v>4.0212321917724493E-4</v>
      </c>
    </row>
    <row r="460" spans="1:18" hidden="1" x14ac:dyDescent="0.2">
      <c r="A460" s="4">
        <v>561</v>
      </c>
      <c r="B460" s="2">
        <v>20168276</v>
      </c>
      <c r="C460" s="2">
        <v>0</v>
      </c>
      <c r="D460" s="4" t="s">
        <v>1176</v>
      </c>
      <c r="E460" s="2">
        <v>20168276</v>
      </c>
      <c r="F460" s="2">
        <v>3831972.44</v>
      </c>
      <c r="G460" s="2">
        <v>432202.26</v>
      </c>
      <c r="H460" s="4">
        <v>0</v>
      </c>
      <c r="I460" s="4">
        <v>0</v>
      </c>
      <c r="J460" s="4">
        <v>432202.26</v>
      </c>
      <c r="K460" s="4">
        <v>23568046.18</v>
      </c>
      <c r="L460" s="4" t="s">
        <v>1174</v>
      </c>
      <c r="M460" s="4" t="s">
        <v>1175</v>
      </c>
      <c r="N460" s="4" t="s">
        <v>272</v>
      </c>
      <c r="O460" s="4" t="s">
        <v>89</v>
      </c>
      <c r="P460" s="4" t="s">
        <v>89</v>
      </c>
      <c r="Q460" s="4" t="s">
        <v>100</v>
      </c>
      <c r="R460" s="9">
        <f t="shared" si="7"/>
        <v>4.0175051740637104E-4</v>
      </c>
    </row>
    <row r="461" spans="1:18" hidden="1" x14ac:dyDescent="0.2">
      <c r="A461" s="4">
        <v>1287</v>
      </c>
      <c r="B461" s="2">
        <v>20144679</v>
      </c>
      <c r="C461" s="2">
        <v>0</v>
      </c>
      <c r="D461" s="4" t="s">
        <v>985</v>
      </c>
      <c r="E461" s="2">
        <v>20144679</v>
      </c>
      <c r="F461" s="2">
        <v>3827489.01</v>
      </c>
      <c r="G461" s="2">
        <v>503616.98</v>
      </c>
      <c r="H461" s="4">
        <v>0</v>
      </c>
      <c r="I461" s="4">
        <v>0</v>
      </c>
      <c r="J461" s="4">
        <v>503616.98</v>
      </c>
      <c r="K461" s="4">
        <v>23468551.030000001</v>
      </c>
      <c r="L461" s="4" t="s">
        <v>983</v>
      </c>
      <c r="M461" s="4" t="s">
        <v>984</v>
      </c>
      <c r="N461" s="4" t="s">
        <v>172</v>
      </c>
      <c r="O461" s="4" t="s">
        <v>173</v>
      </c>
      <c r="P461" s="4" t="s">
        <v>173</v>
      </c>
      <c r="Q461" s="4" t="s">
        <v>100</v>
      </c>
      <c r="R461" s="9">
        <f t="shared" si="7"/>
        <v>4.0128046696878092E-4</v>
      </c>
    </row>
    <row r="462" spans="1:18" hidden="1" x14ac:dyDescent="0.2">
      <c r="A462" s="4">
        <v>1362</v>
      </c>
      <c r="B462" s="2">
        <v>19923176</v>
      </c>
      <c r="C462" s="2">
        <v>0</v>
      </c>
      <c r="D462" s="4" t="s">
        <v>1103</v>
      </c>
      <c r="E462" s="2">
        <v>19923176</v>
      </c>
      <c r="F462" s="2">
        <v>3785403.44</v>
      </c>
      <c r="G462" s="2">
        <v>436121.57</v>
      </c>
      <c r="H462" s="4">
        <v>0</v>
      </c>
      <c r="I462" s="4">
        <v>0</v>
      </c>
      <c r="J462" s="4">
        <v>436121.57</v>
      </c>
      <c r="K462" s="4">
        <v>23272457.870000001</v>
      </c>
      <c r="L462" s="4" t="s">
        <v>1101</v>
      </c>
      <c r="M462" s="4" t="s">
        <v>1102</v>
      </c>
      <c r="N462" s="4" t="s">
        <v>322</v>
      </c>
      <c r="O462" s="4" t="s">
        <v>229</v>
      </c>
      <c r="P462" s="4" t="s">
        <v>229</v>
      </c>
      <c r="Q462" s="4" t="s">
        <v>100</v>
      </c>
      <c r="R462" s="9">
        <f t="shared" si="7"/>
        <v>3.9686814412784679E-4</v>
      </c>
    </row>
    <row r="463" spans="1:18" hidden="1" x14ac:dyDescent="0.2">
      <c r="A463" s="4">
        <v>457</v>
      </c>
      <c r="B463" s="2">
        <v>20010800</v>
      </c>
      <c r="C463" s="2">
        <v>120420.78</v>
      </c>
      <c r="D463" s="4" t="s">
        <v>1581</v>
      </c>
      <c r="E463" s="2">
        <v>19890379.219999999</v>
      </c>
      <c r="F463" s="2">
        <v>3779172.05</v>
      </c>
      <c r="G463" s="2">
        <v>487226.29</v>
      </c>
      <c r="H463" s="4">
        <v>0</v>
      </c>
      <c r="I463" s="4">
        <v>0</v>
      </c>
      <c r="J463" s="4">
        <v>487226.29</v>
      </c>
      <c r="K463" s="4">
        <v>23182324.98</v>
      </c>
      <c r="L463" s="4" t="s">
        <v>1579</v>
      </c>
      <c r="M463" s="4" t="s">
        <v>1580</v>
      </c>
      <c r="N463" s="4" t="s">
        <v>200</v>
      </c>
      <c r="O463" s="4" t="s">
        <v>201</v>
      </c>
      <c r="P463" s="4" t="s">
        <v>201</v>
      </c>
      <c r="Q463" s="4" t="s">
        <v>100</v>
      </c>
      <c r="R463" s="9">
        <f t="shared" si="7"/>
        <v>3.9621483477536356E-4</v>
      </c>
    </row>
    <row r="464" spans="1:18" hidden="1" x14ac:dyDescent="0.2">
      <c r="A464" s="4">
        <v>1805</v>
      </c>
      <c r="B464" s="2">
        <v>19890348</v>
      </c>
      <c r="C464" s="2">
        <v>0</v>
      </c>
      <c r="D464" s="4" t="s">
        <v>1021</v>
      </c>
      <c r="E464" s="2">
        <v>19890348</v>
      </c>
      <c r="F464" s="2">
        <v>3779166.12</v>
      </c>
      <c r="G464" s="2">
        <v>382736.3</v>
      </c>
      <c r="H464" s="4">
        <v>0</v>
      </c>
      <c r="I464" s="4">
        <v>0</v>
      </c>
      <c r="J464" s="4">
        <v>382736.3</v>
      </c>
      <c r="K464" s="4">
        <v>23286777.82</v>
      </c>
      <c r="L464" s="4" t="s">
        <v>1019</v>
      </c>
      <c r="M464" s="4" t="s">
        <v>1020</v>
      </c>
      <c r="N464" s="4" t="s">
        <v>714</v>
      </c>
      <c r="O464" s="4" t="s">
        <v>382</v>
      </c>
      <c r="P464" s="4" t="s">
        <v>382</v>
      </c>
      <c r="Q464" s="4" t="s">
        <v>28</v>
      </c>
      <c r="R464" s="9">
        <f t="shared" si="7"/>
        <v>3.9621421287534825E-4</v>
      </c>
    </row>
    <row r="465" spans="1:18" hidden="1" x14ac:dyDescent="0.2">
      <c r="A465" s="4">
        <v>410</v>
      </c>
      <c r="B465" s="2">
        <v>20102235</v>
      </c>
      <c r="C465" s="2">
        <v>214917.57</v>
      </c>
      <c r="D465" s="4" t="s">
        <v>1292</v>
      </c>
      <c r="E465" s="2">
        <v>19887317.43</v>
      </c>
      <c r="F465" s="2">
        <v>3778590.31</v>
      </c>
      <c r="G465" s="2">
        <v>468695.03999999998</v>
      </c>
      <c r="H465" s="4">
        <v>0</v>
      </c>
      <c r="I465" s="4">
        <v>0</v>
      </c>
      <c r="J465" s="4">
        <v>468695.03999999998</v>
      </c>
      <c r="K465" s="4">
        <v>23197212.699999999</v>
      </c>
      <c r="L465" s="4" t="s">
        <v>1290</v>
      </c>
      <c r="M465" s="4" t="s">
        <v>1291</v>
      </c>
      <c r="N465" s="4" t="s">
        <v>487</v>
      </c>
      <c r="O465" s="4" t="s">
        <v>33</v>
      </c>
      <c r="P465" s="4" t="s">
        <v>33</v>
      </c>
      <c r="Q465" s="4" t="s">
        <v>100</v>
      </c>
      <c r="R465" s="9">
        <f t="shared" si="7"/>
        <v>3.9615384415243231E-4</v>
      </c>
    </row>
    <row r="466" spans="1:18" hidden="1" x14ac:dyDescent="0.2">
      <c r="A466" s="4">
        <v>539</v>
      </c>
      <c r="B466" s="2">
        <v>19889711</v>
      </c>
      <c r="C466" s="2">
        <v>3938.61</v>
      </c>
      <c r="D466" s="4" t="s">
        <v>1680</v>
      </c>
      <c r="E466" s="2">
        <v>19885772.390000001</v>
      </c>
      <c r="F466" s="2">
        <v>3778296.75</v>
      </c>
      <c r="G466" s="2">
        <v>0</v>
      </c>
      <c r="H466" s="4">
        <v>0</v>
      </c>
      <c r="I466" s="4">
        <v>0</v>
      </c>
      <c r="J466" s="4">
        <v>0</v>
      </c>
      <c r="K466" s="4">
        <v>23664069.140000001</v>
      </c>
      <c r="L466" s="4" t="s">
        <v>1678</v>
      </c>
      <c r="M466" s="4" t="s">
        <v>1679</v>
      </c>
      <c r="N466" s="4" t="s">
        <v>20</v>
      </c>
      <c r="O466" s="4" t="s">
        <v>1356</v>
      </c>
      <c r="P466" s="4" t="s">
        <v>1356</v>
      </c>
      <c r="Q466" s="4" t="s">
        <v>100</v>
      </c>
      <c r="R466" s="9">
        <f t="shared" si="7"/>
        <v>3.9612306707364716E-4</v>
      </c>
    </row>
    <row r="467" spans="1:18" hidden="1" x14ac:dyDescent="0.2">
      <c r="A467" s="4">
        <v>380</v>
      </c>
      <c r="B467" s="2">
        <v>19675976</v>
      </c>
      <c r="C467" s="2">
        <v>0</v>
      </c>
      <c r="D467" s="4" t="s">
        <v>1632</v>
      </c>
      <c r="E467" s="2">
        <v>19675976</v>
      </c>
      <c r="F467" s="2">
        <v>3738435.44</v>
      </c>
      <c r="G467" s="2">
        <v>430411.99</v>
      </c>
      <c r="H467" s="4">
        <v>0</v>
      </c>
      <c r="I467" s="4">
        <v>0</v>
      </c>
      <c r="J467" s="4">
        <v>430411.99</v>
      </c>
      <c r="K467" s="4">
        <v>22983999.449999999</v>
      </c>
      <c r="L467" s="4" t="s">
        <v>1631</v>
      </c>
      <c r="M467" s="4" t="s">
        <v>895</v>
      </c>
      <c r="N467" s="4" t="s">
        <v>20</v>
      </c>
      <c r="O467" s="4" t="s">
        <v>386</v>
      </c>
      <c r="P467" s="4" t="s">
        <v>386</v>
      </c>
      <c r="Q467" s="4" t="s">
        <v>585</v>
      </c>
      <c r="R467" s="9">
        <f t="shared" si="7"/>
        <v>3.9194393900972692E-4</v>
      </c>
    </row>
    <row r="468" spans="1:18" hidden="1" x14ac:dyDescent="0.2">
      <c r="A468" s="4">
        <v>1783</v>
      </c>
      <c r="B468" s="2">
        <v>19624972</v>
      </c>
      <c r="C468" s="2">
        <v>0</v>
      </c>
      <c r="D468" s="4" t="s">
        <v>1301</v>
      </c>
      <c r="E468" s="2">
        <v>19624972</v>
      </c>
      <c r="F468" s="2">
        <v>3728744.68</v>
      </c>
      <c r="G468" s="2">
        <v>0</v>
      </c>
      <c r="H468" s="4">
        <v>0</v>
      </c>
      <c r="I468" s="4">
        <v>0</v>
      </c>
      <c r="J468" s="4">
        <v>0</v>
      </c>
      <c r="K468" s="4">
        <v>23353716.68</v>
      </c>
      <c r="L468" s="4" t="s">
        <v>1299</v>
      </c>
      <c r="M468" s="4" t="s">
        <v>1300</v>
      </c>
      <c r="N468" s="4" t="s">
        <v>272</v>
      </c>
      <c r="O468" s="4" t="s">
        <v>89</v>
      </c>
      <c r="P468" s="4" t="s">
        <v>89</v>
      </c>
      <c r="Q468" s="4" t="s">
        <v>100</v>
      </c>
      <c r="R468" s="9">
        <f t="shared" si="7"/>
        <v>3.9092794322556596E-4</v>
      </c>
    </row>
    <row r="469" spans="1:18" hidden="1" x14ac:dyDescent="0.2">
      <c r="A469" s="4">
        <v>1274</v>
      </c>
      <c r="B469" s="2">
        <v>19686263</v>
      </c>
      <c r="C469" s="2">
        <v>79364.639999999999</v>
      </c>
      <c r="D469" s="4" t="s">
        <v>1641</v>
      </c>
      <c r="E469" s="2">
        <v>19606898.359999999</v>
      </c>
      <c r="F469" s="2">
        <v>3725310.69</v>
      </c>
      <c r="G469" s="2">
        <v>0</v>
      </c>
      <c r="H469" s="4">
        <v>0</v>
      </c>
      <c r="I469" s="4">
        <v>0</v>
      </c>
      <c r="J469" s="4">
        <v>0</v>
      </c>
      <c r="K469" s="4">
        <v>23332209.050000001</v>
      </c>
      <c r="L469" s="4" t="s">
        <v>1639</v>
      </c>
      <c r="M469" s="4" t="s">
        <v>1640</v>
      </c>
      <c r="N469" s="4" t="s">
        <v>20</v>
      </c>
      <c r="O469" s="4" t="s">
        <v>631</v>
      </c>
      <c r="P469" s="4" t="s">
        <v>631</v>
      </c>
      <c r="Q469" s="4" t="s">
        <v>100</v>
      </c>
      <c r="R469" s="9">
        <f t="shared" si="7"/>
        <v>3.9056791769728495E-4</v>
      </c>
    </row>
    <row r="470" spans="1:18" hidden="1" x14ac:dyDescent="0.2">
      <c r="A470" s="4">
        <v>1837</v>
      </c>
      <c r="B470" s="2">
        <v>19714524</v>
      </c>
      <c r="C470" s="2">
        <v>138870.72</v>
      </c>
      <c r="D470" s="4" t="s">
        <v>1798</v>
      </c>
      <c r="E470" s="2">
        <v>19575653.280000001</v>
      </c>
      <c r="F470" s="2">
        <v>3719374.13</v>
      </c>
      <c r="G470" s="2">
        <v>339555.08</v>
      </c>
      <c r="H470" s="4">
        <v>0</v>
      </c>
      <c r="I470" s="4">
        <v>0</v>
      </c>
      <c r="J470" s="4">
        <v>339555.08</v>
      </c>
      <c r="K470" s="4">
        <v>22955472.329999998</v>
      </c>
      <c r="L470" s="4" t="s">
        <v>1796</v>
      </c>
      <c r="M470" s="4" t="s">
        <v>1797</v>
      </c>
      <c r="N470" s="4" t="s">
        <v>1421</v>
      </c>
      <c r="O470" s="4" t="s">
        <v>340</v>
      </c>
      <c r="P470" s="4" t="s">
        <v>340</v>
      </c>
      <c r="Q470" s="4" t="s">
        <v>100</v>
      </c>
      <c r="R470" s="9">
        <f t="shared" si="7"/>
        <v>3.8994551809027825E-4</v>
      </c>
    </row>
    <row r="471" spans="1:18" hidden="1" x14ac:dyDescent="0.2">
      <c r="A471" s="4">
        <v>1669</v>
      </c>
      <c r="B471" s="2">
        <v>19490674</v>
      </c>
      <c r="C471" s="2">
        <v>0</v>
      </c>
      <c r="D471" s="4" t="s">
        <v>843</v>
      </c>
      <c r="E471" s="2">
        <v>19490674</v>
      </c>
      <c r="F471" s="2">
        <v>3703228.06</v>
      </c>
      <c r="G471" s="2">
        <v>294269.33</v>
      </c>
      <c r="H471" s="4">
        <v>0</v>
      </c>
      <c r="I471" s="4">
        <v>0</v>
      </c>
      <c r="J471" s="4">
        <v>294269.33</v>
      </c>
      <c r="K471" s="4">
        <v>22899632.73</v>
      </c>
      <c r="L471" s="4" t="s">
        <v>841</v>
      </c>
      <c r="M471" s="4" t="s">
        <v>842</v>
      </c>
      <c r="N471" s="4" t="s">
        <v>468</v>
      </c>
      <c r="O471" s="4" t="s">
        <v>105</v>
      </c>
      <c r="P471" s="4" t="s">
        <v>105</v>
      </c>
      <c r="Q471" s="4" t="s">
        <v>100</v>
      </c>
      <c r="R471" s="9">
        <f t="shared" si="7"/>
        <v>3.8825273732365142E-4</v>
      </c>
    </row>
    <row r="472" spans="1:18" hidden="1" x14ac:dyDescent="0.2">
      <c r="A472" s="4">
        <v>920</v>
      </c>
      <c r="B472" s="2">
        <v>19427159</v>
      </c>
      <c r="C472" s="2">
        <v>0</v>
      </c>
      <c r="D472" s="4" t="s">
        <v>1297</v>
      </c>
      <c r="E472" s="2">
        <v>19427159</v>
      </c>
      <c r="F472" s="2">
        <v>3691160.21</v>
      </c>
      <c r="G472" s="2">
        <v>0</v>
      </c>
      <c r="H472" s="4">
        <v>0</v>
      </c>
      <c r="I472" s="4">
        <v>0</v>
      </c>
      <c r="J472" s="4">
        <v>0</v>
      </c>
      <c r="K472" s="4">
        <v>23118319.210000001</v>
      </c>
      <c r="L472" s="4" t="s">
        <v>1295</v>
      </c>
      <c r="M472" s="4" t="s">
        <v>1296</v>
      </c>
      <c r="N472" s="4" t="s">
        <v>1298</v>
      </c>
      <c r="O472" s="4" t="s">
        <v>93</v>
      </c>
      <c r="P472" s="4" t="s">
        <v>93</v>
      </c>
      <c r="Q472" s="4" t="s">
        <v>100</v>
      </c>
      <c r="R472" s="9">
        <f t="shared" si="7"/>
        <v>3.8698752337511835E-4</v>
      </c>
    </row>
    <row r="473" spans="1:18" hidden="1" x14ac:dyDescent="0.2">
      <c r="A473" s="4">
        <v>114</v>
      </c>
      <c r="B473" s="2">
        <v>19334641</v>
      </c>
      <c r="C473" s="2">
        <v>0</v>
      </c>
      <c r="D473" s="4" t="s">
        <v>1170</v>
      </c>
      <c r="E473" s="2">
        <v>19334641</v>
      </c>
      <c r="F473" s="2">
        <v>3673581.79</v>
      </c>
      <c r="G473" s="2">
        <v>409324.15</v>
      </c>
      <c r="H473" s="4">
        <v>0</v>
      </c>
      <c r="I473" s="4">
        <v>0</v>
      </c>
      <c r="J473" s="4">
        <v>409324.15</v>
      </c>
      <c r="K473" s="4">
        <v>22598898.640000001</v>
      </c>
      <c r="L473" s="4" t="s">
        <v>1168</v>
      </c>
      <c r="M473" s="4" t="s">
        <v>1169</v>
      </c>
      <c r="N473" s="4" t="s">
        <v>200</v>
      </c>
      <c r="O473" s="4" t="s">
        <v>201</v>
      </c>
      <c r="P473" s="4" t="s">
        <v>201</v>
      </c>
      <c r="Q473" s="4" t="s">
        <v>100</v>
      </c>
      <c r="R473" s="9">
        <f t="shared" si="7"/>
        <v>3.8514457188192167E-4</v>
      </c>
    </row>
    <row r="474" spans="1:18" hidden="1" x14ac:dyDescent="0.2">
      <c r="A474" s="4">
        <v>169</v>
      </c>
      <c r="B474" s="2">
        <v>19304592</v>
      </c>
      <c r="C474" s="2">
        <v>0</v>
      </c>
      <c r="D474" s="4" t="s">
        <v>1408</v>
      </c>
      <c r="E474" s="2">
        <v>19304592</v>
      </c>
      <c r="F474" s="2">
        <v>3667872.48</v>
      </c>
      <c r="G474" s="2">
        <v>0</v>
      </c>
      <c r="H474" s="4">
        <v>0</v>
      </c>
      <c r="I474" s="4">
        <v>0</v>
      </c>
      <c r="J474" s="4">
        <v>0</v>
      </c>
      <c r="K474" s="4">
        <v>22972464.48</v>
      </c>
      <c r="L474" s="4" t="s">
        <v>1406</v>
      </c>
      <c r="M474" s="4" t="s">
        <v>1407</v>
      </c>
      <c r="N474" s="4" t="s">
        <v>20</v>
      </c>
      <c r="O474" s="4" t="s">
        <v>631</v>
      </c>
      <c r="P474" s="4" t="s">
        <v>631</v>
      </c>
      <c r="Q474" s="4" t="s">
        <v>100</v>
      </c>
      <c r="R474" s="9">
        <f t="shared" si="7"/>
        <v>3.845459980971547E-4</v>
      </c>
    </row>
    <row r="475" spans="1:18" hidden="1" x14ac:dyDescent="0.2">
      <c r="A475" s="4">
        <v>1059</v>
      </c>
      <c r="B475" s="2">
        <v>18838445</v>
      </c>
      <c r="C475" s="2">
        <v>0</v>
      </c>
      <c r="D475" s="4" t="s">
        <v>3099</v>
      </c>
      <c r="E475" s="2">
        <v>18838445</v>
      </c>
      <c r="F475" s="2">
        <v>3579304.55</v>
      </c>
      <c r="G475" s="2">
        <v>0</v>
      </c>
      <c r="H475" s="4">
        <v>0</v>
      </c>
      <c r="I475" s="4">
        <v>0</v>
      </c>
      <c r="J475" s="4">
        <v>0</v>
      </c>
      <c r="K475" s="4">
        <v>22417749.550000001</v>
      </c>
      <c r="L475" s="4" t="s">
        <v>3097</v>
      </c>
      <c r="M475" s="4" t="s">
        <v>3098</v>
      </c>
      <c r="N475" s="4" t="s">
        <v>998</v>
      </c>
      <c r="O475" s="4" t="s">
        <v>27</v>
      </c>
      <c r="P475" s="4" t="s">
        <v>27</v>
      </c>
      <c r="Q475" s="4" t="s">
        <v>100</v>
      </c>
      <c r="R475" s="9">
        <f t="shared" si="7"/>
        <v>3.7526038546286571E-4</v>
      </c>
    </row>
    <row r="476" spans="1:18" hidden="1" x14ac:dyDescent="0.2">
      <c r="A476" s="4">
        <v>752</v>
      </c>
      <c r="B476" s="2">
        <v>18820856</v>
      </c>
      <c r="C476" s="2">
        <v>0</v>
      </c>
      <c r="D476" s="4" t="s">
        <v>2106</v>
      </c>
      <c r="E476" s="2">
        <v>18820856</v>
      </c>
      <c r="F476" s="2">
        <v>3575962.64</v>
      </c>
      <c r="G476" s="2">
        <v>390362.06</v>
      </c>
      <c r="H476" s="4">
        <v>0</v>
      </c>
      <c r="I476" s="4">
        <v>0</v>
      </c>
      <c r="J476" s="4">
        <v>390362.06</v>
      </c>
      <c r="K476" s="4">
        <v>22006456.579999998</v>
      </c>
      <c r="L476" s="4" t="s">
        <v>2104</v>
      </c>
      <c r="M476" s="4" t="s">
        <v>2105</v>
      </c>
      <c r="N476" s="4" t="s">
        <v>397</v>
      </c>
      <c r="O476" s="4" t="s">
        <v>89</v>
      </c>
      <c r="P476" s="4" t="s">
        <v>89</v>
      </c>
      <c r="Q476" s="4" t="s">
        <v>100</v>
      </c>
      <c r="R476" s="9">
        <f t="shared" si="7"/>
        <v>3.7491001392636646E-4</v>
      </c>
    </row>
    <row r="477" spans="1:18" hidden="1" x14ac:dyDescent="0.2">
      <c r="A477" s="4">
        <v>777</v>
      </c>
      <c r="B477" s="2">
        <v>18798280</v>
      </c>
      <c r="C477" s="2">
        <v>29767.439999999999</v>
      </c>
      <c r="D477" s="4" t="s">
        <v>1561</v>
      </c>
      <c r="E477" s="2">
        <v>18768512.559999999</v>
      </c>
      <c r="F477" s="2">
        <v>3566017.39</v>
      </c>
      <c r="G477" s="2">
        <v>72470.97</v>
      </c>
      <c r="H477" s="4">
        <v>0</v>
      </c>
      <c r="I477" s="4">
        <v>0</v>
      </c>
      <c r="J477" s="4">
        <v>72470.97</v>
      </c>
      <c r="K477" s="4">
        <v>22262058.98</v>
      </c>
      <c r="L477" s="4" t="s">
        <v>1559</v>
      </c>
      <c r="M477" s="4" t="s">
        <v>1560</v>
      </c>
      <c r="N477" s="4" t="s">
        <v>20</v>
      </c>
      <c r="O477" s="4" t="s">
        <v>1562</v>
      </c>
      <c r="P477" s="4" t="s">
        <v>1562</v>
      </c>
      <c r="Q477" s="4" t="s">
        <v>100</v>
      </c>
      <c r="R477" s="9">
        <f t="shared" si="7"/>
        <v>3.7386733659971599E-4</v>
      </c>
    </row>
    <row r="478" spans="1:18" hidden="1" x14ac:dyDescent="0.2">
      <c r="A478" s="4">
        <v>1928</v>
      </c>
      <c r="B478" s="2">
        <v>18734053</v>
      </c>
      <c r="C478" s="2">
        <v>0</v>
      </c>
      <c r="D478" s="4" t="s">
        <v>1399</v>
      </c>
      <c r="E478" s="2">
        <v>18734053</v>
      </c>
      <c r="F478" s="2">
        <v>3559470.07</v>
      </c>
      <c r="G478" s="2">
        <v>164601.98000000001</v>
      </c>
      <c r="H478" s="4">
        <v>0</v>
      </c>
      <c r="I478" s="4">
        <v>0</v>
      </c>
      <c r="J478" s="4">
        <v>164601.98000000001</v>
      </c>
      <c r="K478" s="4">
        <v>22128921.09</v>
      </c>
      <c r="L478" s="4" t="s">
        <v>1397</v>
      </c>
      <c r="M478" s="4" t="s">
        <v>1398</v>
      </c>
      <c r="N478" s="4" t="s">
        <v>20</v>
      </c>
      <c r="O478" s="4" t="s">
        <v>768</v>
      </c>
      <c r="P478" s="4" t="s">
        <v>768</v>
      </c>
      <c r="Q478" s="4" t="s">
        <v>100</v>
      </c>
      <c r="R478" s="9">
        <f t="shared" si="7"/>
        <v>3.7318090479664091E-4</v>
      </c>
    </row>
    <row r="479" spans="1:18" hidden="1" x14ac:dyDescent="0.2">
      <c r="A479" s="4">
        <v>1894</v>
      </c>
      <c r="B479" s="2">
        <v>18603877</v>
      </c>
      <c r="C479" s="2">
        <v>0</v>
      </c>
      <c r="D479" s="4" t="s">
        <v>2123</v>
      </c>
      <c r="E479" s="2">
        <v>18603877</v>
      </c>
      <c r="F479" s="2">
        <v>3534736.63</v>
      </c>
      <c r="G479" s="2">
        <v>274136.34999999998</v>
      </c>
      <c r="H479" s="4">
        <v>0</v>
      </c>
      <c r="I479" s="4">
        <v>0</v>
      </c>
      <c r="J479" s="4">
        <v>274136.34999999998</v>
      </c>
      <c r="K479" s="4">
        <v>21864477.280000001</v>
      </c>
      <c r="L479" s="4" t="s">
        <v>2121</v>
      </c>
      <c r="M479" s="4" t="s">
        <v>2122</v>
      </c>
      <c r="N479" s="4" t="s">
        <v>20</v>
      </c>
      <c r="O479" s="4" t="s">
        <v>631</v>
      </c>
      <c r="P479" s="4" t="s">
        <v>631</v>
      </c>
      <c r="Q479" s="4" t="s">
        <v>100</v>
      </c>
      <c r="R479" s="9">
        <f t="shared" si="7"/>
        <v>3.7058780881987563E-4</v>
      </c>
    </row>
    <row r="480" spans="1:18" hidden="1" x14ac:dyDescent="0.2">
      <c r="A480" s="4">
        <v>1831</v>
      </c>
      <c r="B480" s="2">
        <v>18496287</v>
      </c>
      <c r="C480" s="2">
        <v>0</v>
      </c>
      <c r="D480" s="4" t="s">
        <v>2289</v>
      </c>
      <c r="E480" s="2">
        <v>18496287</v>
      </c>
      <c r="F480" s="2">
        <v>3514294.53</v>
      </c>
      <c r="G480" s="2">
        <v>0</v>
      </c>
      <c r="H480" s="4">
        <v>0</v>
      </c>
      <c r="I480" s="4">
        <v>0</v>
      </c>
      <c r="J480" s="4">
        <v>0</v>
      </c>
      <c r="K480" s="4">
        <v>22010581.530000001</v>
      </c>
      <c r="L480" s="4" t="s">
        <v>2287</v>
      </c>
      <c r="M480" s="4" t="s">
        <v>2288</v>
      </c>
      <c r="N480" s="4" t="s">
        <v>1273</v>
      </c>
      <c r="O480" s="4" t="s">
        <v>201</v>
      </c>
      <c r="P480" s="4" t="s">
        <v>201</v>
      </c>
      <c r="Q480" s="4" t="s">
        <v>100</v>
      </c>
      <c r="R480" s="9">
        <f t="shared" si="7"/>
        <v>3.6844462423792367E-4</v>
      </c>
    </row>
    <row r="481" spans="1:18" hidden="1" x14ac:dyDescent="0.2">
      <c r="A481" s="4">
        <v>1546</v>
      </c>
      <c r="B481" s="2">
        <v>18367905</v>
      </c>
      <c r="C481" s="2">
        <v>0</v>
      </c>
      <c r="D481" s="4" t="s">
        <v>1447</v>
      </c>
      <c r="E481" s="2">
        <v>18367905</v>
      </c>
      <c r="F481" s="2">
        <v>3489901.95</v>
      </c>
      <c r="G481" s="2">
        <v>459197.63</v>
      </c>
      <c r="H481" s="4">
        <v>0</v>
      </c>
      <c r="I481" s="4">
        <v>0</v>
      </c>
      <c r="J481" s="4">
        <v>459197.63</v>
      </c>
      <c r="K481" s="4">
        <v>21398609.32</v>
      </c>
      <c r="L481" s="4" t="s">
        <v>1445</v>
      </c>
      <c r="M481" s="4" t="s">
        <v>1446</v>
      </c>
      <c r="N481" s="4" t="s">
        <v>1348</v>
      </c>
      <c r="O481" s="4" t="s">
        <v>747</v>
      </c>
      <c r="P481" s="4" t="s">
        <v>747</v>
      </c>
      <c r="Q481" s="4" t="s">
        <v>100</v>
      </c>
      <c r="R481" s="9">
        <f t="shared" si="7"/>
        <v>3.6588726460412731E-4</v>
      </c>
    </row>
    <row r="482" spans="1:18" hidden="1" x14ac:dyDescent="0.2">
      <c r="A482" s="4">
        <v>76</v>
      </c>
      <c r="B482" s="2">
        <v>18245532</v>
      </c>
      <c r="C482" s="2">
        <v>0</v>
      </c>
      <c r="D482" s="4" t="s">
        <v>1949</v>
      </c>
      <c r="E482" s="2">
        <v>18245532</v>
      </c>
      <c r="F482" s="2">
        <v>3466651.08</v>
      </c>
      <c r="G482" s="2">
        <v>428670.63</v>
      </c>
      <c r="H482" s="4">
        <v>0</v>
      </c>
      <c r="I482" s="4">
        <v>0</v>
      </c>
      <c r="J482" s="4">
        <v>428670.63</v>
      </c>
      <c r="K482" s="4">
        <v>21283512.449999999</v>
      </c>
      <c r="L482" s="4" t="s">
        <v>1947</v>
      </c>
      <c r="M482" s="4" t="s">
        <v>1948</v>
      </c>
      <c r="N482" s="4" t="s">
        <v>1746</v>
      </c>
      <c r="O482" s="4" t="s">
        <v>89</v>
      </c>
      <c r="P482" s="4" t="s">
        <v>89</v>
      </c>
      <c r="Q482" s="4" t="s">
        <v>100</v>
      </c>
      <c r="R482" s="9">
        <f t="shared" si="7"/>
        <v>3.6344960379134538E-4</v>
      </c>
    </row>
    <row r="483" spans="1:18" hidden="1" x14ac:dyDescent="0.2">
      <c r="A483" s="4">
        <v>398</v>
      </c>
      <c r="B483" s="2">
        <v>18244552</v>
      </c>
      <c r="C483" s="2">
        <v>0</v>
      </c>
      <c r="D483" s="4" t="s">
        <v>1733</v>
      </c>
      <c r="E483" s="2">
        <v>18244552</v>
      </c>
      <c r="F483" s="2">
        <v>3466464.88</v>
      </c>
      <c r="G483" s="2">
        <v>0</v>
      </c>
      <c r="H483" s="4">
        <v>0</v>
      </c>
      <c r="I483" s="4">
        <v>0</v>
      </c>
      <c r="J483" s="4">
        <v>0</v>
      </c>
      <c r="K483" s="4">
        <v>21711016.879999999</v>
      </c>
      <c r="L483" s="4" t="s">
        <v>1731</v>
      </c>
      <c r="M483" s="4" t="s">
        <v>1732</v>
      </c>
      <c r="N483" s="4" t="s">
        <v>20</v>
      </c>
      <c r="O483" s="4" t="s">
        <v>925</v>
      </c>
      <c r="P483" s="4" t="s">
        <v>925</v>
      </c>
      <c r="Q483" s="4" t="s">
        <v>100</v>
      </c>
      <c r="R483" s="9">
        <f t="shared" si="7"/>
        <v>3.6343008226620072E-4</v>
      </c>
    </row>
    <row r="484" spans="1:18" hidden="1" x14ac:dyDescent="0.2">
      <c r="A484" s="4">
        <v>698</v>
      </c>
      <c r="B484" s="2">
        <v>18179102</v>
      </c>
      <c r="C484" s="2">
        <v>0</v>
      </c>
      <c r="D484" s="4" t="s">
        <v>2155</v>
      </c>
      <c r="E484" s="2">
        <v>18179102</v>
      </c>
      <c r="F484" s="2">
        <v>3454029.38</v>
      </c>
      <c r="G484" s="2">
        <v>326371.56</v>
      </c>
      <c r="H484" s="4">
        <v>0</v>
      </c>
      <c r="I484" s="4">
        <v>0</v>
      </c>
      <c r="J484" s="4">
        <v>326371.56</v>
      </c>
      <c r="K484" s="4">
        <v>21306759.82</v>
      </c>
      <c r="L484" s="4" t="s">
        <v>2154</v>
      </c>
      <c r="M484" s="4" t="s">
        <v>304</v>
      </c>
      <c r="N484" s="4" t="s">
        <v>306</v>
      </c>
      <c r="O484" s="4" t="s">
        <v>42</v>
      </c>
      <c r="P484" s="4" t="s">
        <v>42</v>
      </c>
      <c r="Q484" s="4" t="s">
        <v>28</v>
      </c>
      <c r="R484" s="9">
        <f t="shared" si="7"/>
        <v>3.6212632326546875E-4</v>
      </c>
    </row>
    <row r="485" spans="1:18" hidden="1" x14ac:dyDescent="0.2">
      <c r="A485" s="4">
        <v>1370</v>
      </c>
      <c r="B485" s="2">
        <v>18156106</v>
      </c>
      <c r="C485" s="2">
        <v>82182.66</v>
      </c>
      <c r="D485" s="4" t="s">
        <v>1795</v>
      </c>
      <c r="E485" s="2">
        <v>18073923.34</v>
      </c>
      <c r="F485" s="2">
        <v>3434045.43</v>
      </c>
      <c r="G485" s="2">
        <v>0</v>
      </c>
      <c r="H485" s="4">
        <v>0</v>
      </c>
      <c r="I485" s="4">
        <v>0</v>
      </c>
      <c r="J485" s="4">
        <v>0</v>
      </c>
      <c r="K485" s="4">
        <v>21507968.77</v>
      </c>
      <c r="L485" s="4" t="s">
        <v>1793</v>
      </c>
      <c r="M485" s="4" t="s">
        <v>1794</v>
      </c>
      <c r="N485" s="4" t="s">
        <v>20</v>
      </c>
      <c r="O485" s="4" t="s">
        <v>692</v>
      </c>
      <c r="P485" s="4" t="s">
        <v>692</v>
      </c>
      <c r="Q485" s="4" t="s">
        <v>100</v>
      </c>
      <c r="R485" s="9">
        <f t="shared" si="7"/>
        <v>3.6003117239213135E-4</v>
      </c>
    </row>
    <row r="486" spans="1:18" hidden="1" x14ac:dyDescent="0.2">
      <c r="A486" s="4">
        <v>965</v>
      </c>
      <c r="B486" s="2">
        <v>18052809</v>
      </c>
      <c r="C486" s="2">
        <v>0</v>
      </c>
      <c r="D486" s="4" t="s">
        <v>1739</v>
      </c>
      <c r="E486" s="2">
        <v>18052809</v>
      </c>
      <c r="F486" s="2">
        <v>3430033.71</v>
      </c>
      <c r="G486" s="2">
        <v>451320.25</v>
      </c>
      <c r="H486" s="4">
        <v>0</v>
      </c>
      <c r="I486" s="4">
        <v>0</v>
      </c>
      <c r="J486" s="4">
        <v>451320.25</v>
      </c>
      <c r="K486" s="4">
        <v>21031522.460000001</v>
      </c>
      <c r="L486" s="4" t="s">
        <v>1737</v>
      </c>
      <c r="M486" s="4" t="s">
        <v>1738</v>
      </c>
      <c r="N486" s="4" t="s">
        <v>20</v>
      </c>
      <c r="O486" s="4" t="s">
        <v>386</v>
      </c>
      <c r="P486" s="4" t="s">
        <v>386</v>
      </c>
      <c r="Q486" s="4" t="s">
        <v>408</v>
      </c>
      <c r="R486" s="9">
        <f t="shared" si="7"/>
        <v>3.5961057635210825E-4</v>
      </c>
    </row>
    <row r="487" spans="1:18" hidden="1" x14ac:dyDescent="0.2">
      <c r="A487" s="4">
        <v>415</v>
      </c>
      <c r="B487" s="2">
        <v>17999219</v>
      </c>
      <c r="C487" s="2">
        <v>0</v>
      </c>
      <c r="D487" s="4" t="s">
        <v>1543</v>
      </c>
      <c r="E487" s="2">
        <v>17999219</v>
      </c>
      <c r="F487" s="2">
        <v>3419851.61</v>
      </c>
      <c r="G487" s="2">
        <v>0</v>
      </c>
      <c r="H487" s="4">
        <v>0</v>
      </c>
      <c r="I487" s="4">
        <v>0</v>
      </c>
      <c r="J487" s="4">
        <v>0</v>
      </c>
      <c r="K487" s="4">
        <v>21419070.609999999</v>
      </c>
      <c r="L487" s="4" t="s">
        <v>1541</v>
      </c>
      <c r="M487" s="4" t="s">
        <v>1542</v>
      </c>
      <c r="N487" s="4" t="s">
        <v>272</v>
      </c>
      <c r="O487" s="4" t="s">
        <v>89</v>
      </c>
      <c r="P487" s="4" t="s">
        <v>89</v>
      </c>
      <c r="Q487" s="4" t="s">
        <v>100</v>
      </c>
      <c r="R487" s="9">
        <f t="shared" si="7"/>
        <v>3.5854306764547376E-4</v>
      </c>
    </row>
    <row r="488" spans="1:18" hidden="1" x14ac:dyDescent="0.2">
      <c r="A488" s="4">
        <v>1730</v>
      </c>
      <c r="B488" s="2">
        <v>17915142</v>
      </c>
      <c r="C488" s="2">
        <v>0</v>
      </c>
      <c r="D488" s="4" t="s">
        <v>1552</v>
      </c>
      <c r="E488" s="2">
        <v>17915142</v>
      </c>
      <c r="F488" s="2">
        <v>3403876.98</v>
      </c>
      <c r="G488" s="2">
        <v>0</v>
      </c>
      <c r="H488" s="4">
        <v>0</v>
      </c>
      <c r="I488" s="4">
        <v>0</v>
      </c>
      <c r="J488" s="4">
        <v>0</v>
      </c>
      <c r="K488" s="4">
        <v>21319018.98</v>
      </c>
      <c r="L488" s="4" t="s">
        <v>1550</v>
      </c>
      <c r="M488" s="4" t="s">
        <v>1551</v>
      </c>
      <c r="N488" s="4" t="s">
        <v>1553</v>
      </c>
      <c r="O488" s="4" t="s">
        <v>747</v>
      </c>
      <c r="P488" s="4" t="s">
        <v>747</v>
      </c>
      <c r="Q488" s="4" t="s">
        <v>100</v>
      </c>
      <c r="R488" s="9">
        <f t="shared" si="7"/>
        <v>3.568682602275281E-4</v>
      </c>
    </row>
    <row r="489" spans="1:18" hidden="1" x14ac:dyDescent="0.2">
      <c r="A489" s="4">
        <v>1598</v>
      </c>
      <c r="B489" s="2">
        <v>17710606</v>
      </c>
      <c r="C489" s="2">
        <v>0</v>
      </c>
      <c r="D489" s="4" t="s">
        <v>1396</v>
      </c>
      <c r="E489" s="2">
        <v>17710606</v>
      </c>
      <c r="F489" s="2">
        <v>3365015.14</v>
      </c>
      <c r="G489" s="2">
        <v>269140.95</v>
      </c>
      <c r="H489" s="4">
        <v>0</v>
      </c>
      <c r="I489" s="4">
        <v>0</v>
      </c>
      <c r="J489" s="4">
        <v>269140.95</v>
      </c>
      <c r="K489" s="4">
        <v>20806480.190000001</v>
      </c>
      <c r="L489" s="4" t="s">
        <v>1394</v>
      </c>
      <c r="M489" s="4" t="s">
        <v>1395</v>
      </c>
      <c r="N489" s="4" t="s">
        <v>20</v>
      </c>
      <c r="O489" s="4" t="s">
        <v>603</v>
      </c>
      <c r="P489" s="4" t="s">
        <v>603</v>
      </c>
      <c r="Q489" s="4" t="s">
        <v>100</v>
      </c>
      <c r="R489" s="9">
        <f t="shared" si="7"/>
        <v>3.5279391873060343E-4</v>
      </c>
    </row>
    <row r="490" spans="1:18" hidden="1" x14ac:dyDescent="0.2">
      <c r="A490" s="4">
        <v>657</v>
      </c>
      <c r="B490" s="2">
        <v>17543262</v>
      </c>
      <c r="C490" s="2">
        <v>0</v>
      </c>
      <c r="D490" s="4" t="s">
        <v>2628</v>
      </c>
      <c r="E490" s="2">
        <v>17543262</v>
      </c>
      <c r="F490" s="2">
        <v>3333219.78</v>
      </c>
      <c r="G490" s="2">
        <v>0</v>
      </c>
      <c r="H490" s="4">
        <v>0</v>
      </c>
      <c r="I490" s="4">
        <v>0</v>
      </c>
      <c r="J490" s="4">
        <v>0</v>
      </c>
      <c r="K490" s="4">
        <v>20876481.780000001</v>
      </c>
      <c r="L490" s="4" t="s">
        <v>2626</v>
      </c>
      <c r="M490" s="4" t="s">
        <v>2627</v>
      </c>
      <c r="N490" s="4" t="s">
        <v>272</v>
      </c>
      <c r="O490" s="4" t="s">
        <v>89</v>
      </c>
      <c r="P490" s="4" t="s">
        <v>89</v>
      </c>
      <c r="Q490" s="4" t="s">
        <v>100</v>
      </c>
      <c r="R490" s="9">
        <f t="shared" si="7"/>
        <v>3.4946043903284188E-4</v>
      </c>
    </row>
    <row r="491" spans="1:18" hidden="1" x14ac:dyDescent="0.2">
      <c r="A491" s="4">
        <v>396</v>
      </c>
      <c r="B491" s="2">
        <v>17402861</v>
      </c>
      <c r="C491" s="2">
        <v>0</v>
      </c>
      <c r="D491" s="4" t="s">
        <v>1523</v>
      </c>
      <c r="E491" s="2">
        <v>17402861</v>
      </c>
      <c r="F491" s="2">
        <v>3306543.59</v>
      </c>
      <c r="G491" s="2">
        <v>0</v>
      </c>
      <c r="H491" s="4">
        <v>0</v>
      </c>
      <c r="I491" s="4">
        <v>0</v>
      </c>
      <c r="J491" s="4">
        <v>0</v>
      </c>
      <c r="K491" s="4">
        <v>20709404.59</v>
      </c>
      <c r="L491" s="4" t="s">
        <v>1521</v>
      </c>
      <c r="M491" s="4" t="s">
        <v>1522</v>
      </c>
      <c r="N491" s="4" t="s">
        <v>975</v>
      </c>
      <c r="O491" s="4" t="s">
        <v>89</v>
      </c>
      <c r="P491" s="4" t="s">
        <v>89</v>
      </c>
      <c r="Q491" s="4" t="s">
        <v>100</v>
      </c>
      <c r="R491" s="9">
        <f t="shared" si="7"/>
        <v>3.4666366183709287E-4</v>
      </c>
    </row>
    <row r="492" spans="1:18" hidden="1" x14ac:dyDescent="0.2">
      <c r="A492" s="4">
        <v>832</v>
      </c>
      <c r="B492" s="2">
        <v>17394099</v>
      </c>
      <c r="C492" s="2">
        <v>0</v>
      </c>
      <c r="D492" s="4" t="s">
        <v>1813</v>
      </c>
      <c r="E492" s="2">
        <v>17394099</v>
      </c>
      <c r="F492" s="2">
        <v>3304878.81</v>
      </c>
      <c r="G492" s="2">
        <v>0</v>
      </c>
      <c r="H492" s="4">
        <v>0</v>
      </c>
      <c r="I492" s="4">
        <v>0</v>
      </c>
      <c r="J492" s="4">
        <v>0</v>
      </c>
      <c r="K492" s="4">
        <v>20698977.809999999</v>
      </c>
      <c r="L492" s="4" t="s">
        <v>1811</v>
      </c>
      <c r="M492" s="4" t="s">
        <v>1812</v>
      </c>
      <c r="N492" s="4" t="s">
        <v>20</v>
      </c>
      <c r="O492" s="4" t="s">
        <v>372</v>
      </c>
      <c r="P492" s="4" t="s">
        <v>372</v>
      </c>
      <c r="Q492" s="4" t="s">
        <v>100</v>
      </c>
      <c r="R492" s="9">
        <f t="shared" si="7"/>
        <v>3.4648912346636079E-4</v>
      </c>
    </row>
    <row r="493" spans="1:18" hidden="1" x14ac:dyDescent="0.2">
      <c r="A493" s="4">
        <v>660</v>
      </c>
      <c r="B493" s="2">
        <v>17354867</v>
      </c>
      <c r="C493" s="2">
        <v>0</v>
      </c>
      <c r="D493" s="4" t="s">
        <v>1862</v>
      </c>
      <c r="E493" s="2">
        <v>17354867</v>
      </c>
      <c r="F493" s="2">
        <v>3297424.73</v>
      </c>
      <c r="G493" s="2">
        <v>388855.62</v>
      </c>
      <c r="H493" s="4">
        <v>0</v>
      </c>
      <c r="I493" s="4">
        <v>0</v>
      </c>
      <c r="J493" s="4">
        <v>388855.62</v>
      </c>
      <c r="K493" s="4">
        <v>20263436.109999999</v>
      </c>
      <c r="L493" s="4" t="s">
        <v>1860</v>
      </c>
      <c r="M493" s="4" t="s">
        <v>1861</v>
      </c>
      <c r="N493" s="4" t="s">
        <v>88</v>
      </c>
      <c r="O493" s="4" t="s">
        <v>89</v>
      </c>
      <c r="P493" s="4" t="s">
        <v>89</v>
      </c>
      <c r="Q493" s="4" t="s">
        <v>100</v>
      </c>
      <c r="R493" s="9">
        <f t="shared" si="7"/>
        <v>3.4570762502301902E-4</v>
      </c>
    </row>
    <row r="494" spans="1:18" x14ac:dyDescent="0.2">
      <c r="A494" s="4">
        <v>822</v>
      </c>
      <c r="B494" s="2">
        <v>17260918</v>
      </c>
      <c r="C494" s="2">
        <v>0</v>
      </c>
      <c r="D494" s="4" t="s">
        <v>1226</v>
      </c>
      <c r="E494" s="2">
        <v>17260918</v>
      </c>
      <c r="F494" s="2">
        <v>3279574.42</v>
      </c>
      <c r="G494" s="2">
        <v>431522.95</v>
      </c>
      <c r="H494" s="4">
        <v>491936.16</v>
      </c>
      <c r="I494" s="4">
        <v>0</v>
      </c>
      <c r="J494" s="4">
        <v>923459.11</v>
      </c>
      <c r="K494" s="4">
        <v>19617033.309999999</v>
      </c>
      <c r="L494" s="4" t="s">
        <v>1225</v>
      </c>
      <c r="M494" s="4" t="s">
        <v>81</v>
      </c>
      <c r="N494" s="4" t="s">
        <v>293</v>
      </c>
      <c r="O494" s="4" t="s">
        <v>229</v>
      </c>
      <c r="P494" s="4" t="s">
        <v>229</v>
      </c>
      <c r="Q494" s="4" t="s">
        <v>28</v>
      </c>
      <c r="R494" s="9">
        <f t="shared" si="7"/>
        <v>3.4383616811912645E-4</v>
      </c>
    </row>
    <row r="495" spans="1:18" hidden="1" x14ac:dyDescent="0.2">
      <c r="A495" s="4">
        <v>676</v>
      </c>
      <c r="B495" s="2">
        <v>17244914</v>
      </c>
      <c r="C495" s="2">
        <v>0</v>
      </c>
      <c r="D495" s="4" t="s">
        <v>2042</v>
      </c>
      <c r="E495" s="2">
        <v>17244914</v>
      </c>
      <c r="F495" s="2">
        <v>3276533.66</v>
      </c>
      <c r="G495" s="2">
        <v>426930.63</v>
      </c>
      <c r="H495" s="4">
        <v>0</v>
      </c>
      <c r="I495" s="4">
        <v>0</v>
      </c>
      <c r="J495" s="4">
        <v>426930.63</v>
      </c>
      <c r="K495" s="4">
        <v>20094517.030000001</v>
      </c>
      <c r="L495" s="4" t="s">
        <v>2041</v>
      </c>
      <c r="M495" s="4" t="s">
        <v>2041</v>
      </c>
      <c r="N495" s="4" t="s">
        <v>522</v>
      </c>
      <c r="O495" s="4" t="s">
        <v>105</v>
      </c>
      <c r="P495" s="4" t="s">
        <v>105</v>
      </c>
      <c r="Q495" s="4" t="s">
        <v>100</v>
      </c>
      <c r="R495" s="9">
        <f t="shared" si="7"/>
        <v>3.4351736966156015E-4</v>
      </c>
    </row>
    <row r="496" spans="1:18" x14ac:dyDescent="0.2">
      <c r="A496" s="4">
        <v>815</v>
      </c>
      <c r="B496" s="2">
        <v>17141624</v>
      </c>
      <c r="C496" s="2">
        <v>0</v>
      </c>
      <c r="D496" s="4" t="s">
        <v>577</v>
      </c>
      <c r="E496" s="2">
        <v>17141624</v>
      </c>
      <c r="F496" s="2">
        <v>3256908.56</v>
      </c>
      <c r="G496" s="2">
        <v>428540.6</v>
      </c>
      <c r="H496" s="4">
        <v>488536.28</v>
      </c>
      <c r="I496" s="4">
        <v>0</v>
      </c>
      <c r="J496" s="4">
        <v>917076.88</v>
      </c>
      <c r="K496" s="4">
        <v>19481455.68</v>
      </c>
      <c r="L496" s="4" t="s">
        <v>576</v>
      </c>
      <c r="M496" s="4" t="s">
        <v>81</v>
      </c>
      <c r="N496" s="4" t="s">
        <v>404</v>
      </c>
      <c r="O496" s="4" t="s">
        <v>42</v>
      </c>
      <c r="P496" s="4" t="s">
        <v>42</v>
      </c>
      <c r="Q496" s="4" t="s">
        <v>28</v>
      </c>
      <c r="R496" s="9">
        <f t="shared" si="7"/>
        <v>3.4145984075116125E-4</v>
      </c>
    </row>
    <row r="497" spans="1:18" hidden="1" x14ac:dyDescent="0.2">
      <c r="A497" s="4">
        <v>1659</v>
      </c>
      <c r="B497" s="2">
        <v>17205317</v>
      </c>
      <c r="C497" s="2">
        <v>72755.58</v>
      </c>
      <c r="D497" s="4" t="s">
        <v>1457</v>
      </c>
      <c r="E497" s="2">
        <v>17132561.420000002</v>
      </c>
      <c r="F497" s="2">
        <v>3255186.67</v>
      </c>
      <c r="G497" s="2">
        <v>306487.74</v>
      </c>
      <c r="H497" s="4">
        <v>0</v>
      </c>
      <c r="I497" s="4">
        <v>0</v>
      </c>
      <c r="J497" s="4">
        <v>306487.74</v>
      </c>
      <c r="K497" s="4">
        <v>20081260.350000001</v>
      </c>
      <c r="L497" s="4" t="s">
        <v>1455</v>
      </c>
      <c r="M497" s="4" t="s">
        <v>1456</v>
      </c>
      <c r="N497" s="4" t="s">
        <v>124</v>
      </c>
      <c r="O497" s="4" t="s">
        <v>33</v>
      </c>
      <c r="P497" s="4" t="s">
        <v>33</v>
      </c>
      <c r="Q497" s="4" t="s">
        <v>28</v>
      </c>
      <c r="R497" s="9">
        <f t="shared" si="7"/>
        <v>3.4127931484978844E-4</v>
      </c>
    </row>
    <row r="498" spans="1:18" hidden="1" x14ac:dyDescent="0.2">
      <c r="A498" s="4">
        <v>1296</v>
      </c>
      <c r="B498" s="2">
        <v>17205760</v>
      </c>
      <c r="C498" s="2">
        <v>73902.36</v>
      </c>
      <c r="D498" s="4" t="s">
        <v>1874</v>
      </c>
      <c r="E498" s="2">
        <v>17131857.640000001</v>
      </c>
      <c r="F498" s="2">
        <v>3255052.95</v>
      </c>
      <c r="G498" s="2">
        <v>0</v>
      </c>
      <c r="H498" s="4">
        <v>0</v>
      </c>
      <c r="I498" s="4">
        <v>0</v>
      </c>
      <c r="J498" s="4">
        <v>0</v>
      </c>
      <c r="K498" s="4">
        <v>20386910.59</v>
      </c>
      <c r="L498" s="4" t="s">
        <v>1872</v>
      </c>
      <c r="M498" s="4" t="s">
        <v>1873</v>
      </c>
      <c r="N498" s="4" t="s">
        <v>20</v>
      </c>
      <c r="O498" s="4" t="s">
        <v>540</v>
      </c>
      <c r="P498" s="4" t="s">
        <v>540</v>
      </c>
      <c r="Q498" s="4" t="s">
        <v>100</v>
      </c>
      <c r="R498" s="9">
        <f t="shared" si="7"/>
        <v>3.4126529560594526E-4</v>
      </c>
    </row>
    <row r="499" spans="1:18" hidden="1" x14ac:dyDescent="0.2">
      <c r="A499" s="4">
        <v>1394</v>
      </c>
      <c r="B499" s="2">
        <v>17051206</v>
      </c>
      <c r="C499" s="2">
        <v>0</v>
      </c>
      <c r="D499" s="4" t="s">
        <v>1897</v>
      </c>
      <c r="E499" s="2">
        <v>17051206</v>
      </c>
      <c r="F499" s="2">
        <v>3239729.14</v>
      </c>
      <c r="G499" s="2">
        <v>0</v>
      </c>
      <c r="H499" s="4">
        <v>0</v>
      </c>
      <c r="I499" s="4">
        <v>0</v>
      </c>
      <c r="J499" s="4">
        <v>0</v>
      </c>
      <c r="K499" s="4">
        <v>20290935.140000001</v>
      </c>
      <c r="L499" s="4" t="s">
        <v>1895</v>
      </c>
      <c r="M499" s="4" t="s">
        <v>1896</v>
      </c>
      <c r="N499" s="4" t="s">
        <v>186</v>
      </c>
      <c r="O499" s="4" t="s">
        <v>59</v>
      </c>
      <c r="P499" s="4" t="s">
        <v>59</v>
      </c>
      <c r="Q499" s="4" t="s">
        <v>100</v>
      </c>
      <c r="R499" s="9">
        <f t="shared" si="7"/>
        <v>3.3965872109756025E-4</v>
      </c>
    </row>
    <row r="500" spans="1:18" hidden="1" x14ac:dyDescent="0.2">
      <c r="A500" s="4">
        <v>990</v>
      </c>
      <c r="B500" s="2">
        <v>17114091</v>
      </c>
      <c r="C500" s="2">
        <v>80657.789999999994</v>
      </c>
      <c r="D500" s="4" t="s">
        <v>3162</v>
      </c>
      <c r="E500" s="2">
        <v>17033433.210000001</v>
      </c>
      <c r="F500" s="2">
        <v>3236352.31</v>
      </c>
      <c r="G500" s="2">
        <v>425835.83</v>
      </c>
      <c r="H500" s="4">
        <v>485452.84</v>
      </c>
      <c r="I500" s="4">
        <v>0</v>
      </c>
      <c r="J500" s="4">
        <v>911288.67</v>
      </c>
      <c r="K500" s="4">
        <v>19358496.850000001</v>
      </c>
      <c r="L500" s="4" t="s">
        <v>3161</v>
      </c>
      <c r="M500" s="4" t="s">
        <v>95</v>
      </c>
      <c r="N500" s="4" t="s">
        <v>3163</v>
      </c>
      <c r="O500" s="4" t="s">
        <v>67</v>
      </c>
      <c r="P500" s="4" t="s">
        <v>67</v>
      </c>
      <c r="Q500" s="4" t="s">
        <v>28</v>
      </c>
      <c r="R500" s="9">
        <f t="shared" si="7"/>
        <v>3.3930468847829951E-4</v>
      </c>
    </row>
    <row r="501" spans="1:18" hidden="1" x14ac:dyDescent="0.2">
      <c r="A501" s="4">
        <v>456</v>
      </c>
      <c r="B501" s="2">
        <v>17020363</v>
      </c>
      <c r="C501" s="2">
        <v>0</v>
      </c>
      <c r="D501" s="4" t="s">
        <v>1822</v>
      </c>
      <c r="E501" s="2">
        <v>17020363</v>
      </c>
      <c r="F501" s="2">
        <v>3233868.97</v>
      </c>
      <c r="G501" s="2">
        <v>0</v>
      </c>
      <c r="H501" s="4">
        <v>0</v>
      </c>
      <c r="I501" s="4">
        <v>0</v>
      </c>
      <c r="J501" s="4">
        <v>0</v>
      </c>
      <c r="K501" s="4">
        <v>20254231.969999999</v>
      </c>
      <c r="L501" s="4" t="s">
        <v>1820</v>
      </c>
      <c r="M501" s="4" t="s">
        <v>1821</v>
      </c>
      <c r="N501" s="4" t="s">
        <v>20</v>
      </c>
      <c r="O501" s="4" t="s">
        <v>372</v>
      </c>
      <c r="P501" s="4" t="s">
        <v>372</v>
      </c>
      <c r="Q501" s="4" t="s">
        <v>100</v>
      </c>
      <c r="R501" s="9">
        <f t="shared" si="7"/>
        <v>3.3904433089344143E-4</v>
      </c>
    </row>
    <row r="502" spans="1:18" hidden="1" x14ac:dyDescent="0.2">
      <c r="A502" s="4">
        <v>1785</v>
      </c>
      <c r="B502" s="2">
        <v>17019416</v>
      </c>
      <c r="C502" s="2">
        <v>0</v>
      </c>
      <c r="D502" s="4" t="s">
        <v>1587</v>
      </c>
      <c r="E502" s="2">
        <v>17019416</v>
      </c>
      <c r="F502" s="2">
        <v>3233689.04</v>
      </c>
      <c r="G502" s="2">
        <v>0</v>
      </c>
      <c r="H502" s="4">
        <v>0</v>
      </c>
      <c r="I502" s="4">
        <v>0</v>
      </c>
      <c r="J502" s="4">
        <v>0</v>
      </c>
      <c r="K502" s="4">
        <v>20253105.039999999</v>
      </c>
      <c r="L502" s="4" t="s">
        <v>1585</v>
      </c>
      <c r="M502" s="4" t="s">
        <v>1586</v>
      </c>
      <c r="N502" s="4" t="s">
        <v>1588</v>
      </c>
      <c r="O502" s="4" t="s">
        <v>89</v>
      </c>
      <c r="P502" s="4" t="s">
        <v>89</v>
      </c>
      <c r="Q502" s="4" t="s">
        <v>100</v>
      </c>
      <c r="R502" s="9">
        <f t="shared" si="7"/>
        <v>3.3902546672577615E-4</v>
      </c>
    </row>
    <row r="503" spans="1:18" hidden="1" x14ac:dyDescent="0.2">
      <c r="A503" s="4">
        <v>319</v>
      </c>
      <c r="B503" s="2">
        <v>17015186</v>
      </c>
      <c r="C503" s="2">
        <v>0</v>
      </c>
      <c r="D503" s="4" t="s">
        <v>1526</v>
      </c>
      <c r="E503" s="2">
        <v>17015186</v>
      </c>
      <c r="F503" s="2">
        <v>3232885.34</v>
      </c>
      <c r="G503" s="2">
        <v>0</v>
      </c>
      <c r="H503" s="4">
        <v>0</v>
      </c>
      <c r="I503" s="4">
        <v>0</v>
      </c>
      <c r="J503" s="4">
        <v>0</v>
      </c>
      <c r="K503" s="4">
        <v>20248071.34</v>
      </c>
      <c r="L503" s="4" t="s">
        <v>1524</v>
      </c>
      <c r="M503" s="4" t="s">
        <v>1525</v>
      </c>
      <c r="N503" s="4" t="s">
        <v>20</v>
      </c>
      <c r="O503" s="4" t="s">
        <v>316</v>
      </c>
      <c r="P503" s="4" t="s">
        <v>316</v>
      </c>
      <c r="Q503" s="4" t="s">
        <v>100</v>
      </c>
      <c r="R503" s="9">
        <f t="shared" si="7"/>
        <v>3.3894120544887627E-4</v>
      </c>
    </row>
    <row r="504" spans="1:18" hidden="1" x14ac:dyDescent="0.2">
      <c r="A504" s="4">
        <v>903</v>
      </c>
      <c r="B504" s="2">
        <v>16928158</v>
      </c>
      <c r="C504" s="2">
        <v>0</v>
      </c>
      <c r="D504" s="4" t="s">
        <v>1846</v>
      </c>
      <c r="E504" s="2">
        <v>16928158</v>
      </c>
      <c r="F504" s="2">
        <v>3216350.02</v>
      </c>
      <c r="G504" s="2">
        <v>423203.95</v>
      </c>
      <c r="H504" s="4">
        <v>0</v>
      </c>
      <c r="I504" s="4">
        <v>0</v>
      </c>
      <c r="J504" s="4">
        <v>423203.95</v>
      </c>
      <c r="K504" s="4">
        <v>19721304.07</v>
      </c>
      <c r="L504" s="4" t="s">
        <v>1844</v>
      </c>
      <c r="M504" s="4" t="s">
        <v>1845</v>
      </c>
      <c r="N504" s="4" t="s">
        <v>293</v>
      </c>
      <c r="O504" s="4" t="s">
        <v>229</v>
      </c>
      <c r="P504" s="4" t="s">
        <v>229</v>
      </c>
      <c r="Q504" s="4" t="s">
        <v>100</v>
      </c>
      <c r="R504" s="9">
        <f t="shared" si="7"/>
        <v>3.3720761433633691E-4</v>
      </c>
    </row>
    <row r="505" spans="1:18" hidden="1" x14ac:dyDescent="0.2">
      <c r="A505" s="4">
        <v>390</v>
      </c>
      <c r="B505" s="2">
        <v>16894930</v>
      </c>
      <c r="C505" s="2">
        <v>0</v>
      </c>
      <c r="D505" s="4" t="s">
        <v>1381</v>
      </c>
      <c r="E505" s="2">
        <v>16894930</v>
      </c>
      <c r="F505" s="2">
        <v>3210036.7</v>
      </c>
      <c r="G505" s="2">
        <v>0</v>
      </c>
      <c r="H505" s="4">
        <v>0</v>
      </c>
      <c r="I505" s="4">
        <v>0</v>
      </c>
      <c r="J505" s="4">
        <v>0</v>
      </c>
      <c r="K505" s="4">
        <v>20104966.699999999</v>
      </c>
      <c r="L505" s="4" t="s">
        <v>1379</v>
      </c>
      <c r="M505" s="4" t="s">
        <v>1380</v>
      </c>
      <c r="N505" s="4" t="s">
        <v>975</v>
      </c>
      <c r="O505" s="4" t="s">
        <v>89</v>
      </c>
      <c r="P505" s="4" t="s">
        <v>89</v>
      </c>
      <c r="Q505" s="4" t="s">
        <v>100</v>
      </c>
      <c r="R505" s="9">
        <f t="shared" si="7"/>
        <v>3.3654571511439153E-4</v>
      </c>
    </row>
    <row r="506" spans="1:18" hidden="1" x14ac:dyDescent="0.2">
      <c r="A506" s="4">
        <v>2032</v>
      </c>
      <c r="B506" s="2">
        <v>16877485</v>
      </c>
      <c r="C506" s="2">
        <v>0</v>
      </c>
      <c r="D506" s="4" t="s">
        <v>1479</v>
      </c>
      <c r="E506" s="2">
        <v>16877485</v>
      </c>
      <c r="F506" s="2">
        <v>3206722.15</v>
      </c>
      <c r="G506" s="2">
        <v>0</v>
      </c>
      <c r="H506" s="4">
        <v>0</v>
      </c>
      <c r="I506" s="4">
        <v>0</v>
      </c>
      <c r="J506" s="4">
        <v>0</v>
      </c>
      <c r="K506" s="4">
        <v>20084207.149999999</v>
      </c>
      <c r="L506" s="4" t="s">
        <v>1477</v>
      </c>
      <c r="M506" s="4" t="s">
        <v>1478</v>
      </c>
      <c r="N506" s="4" t="s">
        <v>83</v>
      </c>
      <c r="O506" s="4" t="s">
        <v>84</v>
      </c>
      <c r="P506" s="4" t="s">
        <v>84</v>
      </c>
      <c r="Q506" s="4" t="s">
        <v>100</v>
      </c>
      <c r="R506" s="9">
        <f t="shared" si="7"/>
        <v>3.3619821204689318E-4</v>
      </c>
    </row>
    <row r="507" spans="1:18" hidden="1" x14ac:dyDescent="0.2">
      <c r="A507" s="4">
        <v>343</v>
      </c>
      <c r="B507" s="2">
        <v>16796129</v>
      </c>
      <c r="C507" s="2">
        <v>0</v>
      </c>
      <c r="D507" s="4" t="s">
        <v>1967</v>
      </c>
      <c r="E507" s="2">
        <v>16796129</v>
      </c>
      <c r="F507" s="2">
        <v>3191264.51</v>
      </c>
      <c r="G507" s="2">
        <v>227015.9</v>
      </c>
      <c r="H507" s="4">
        <v>0</v>
      </c>
      <c r="I507" s="4">
        <v>0</v>
      </c>
      <c r="J507" s="4">
        <v>227015.9</v>
      </c>
      <c r="K507" s="4">
        <v>19760377.609999999</v>
      </c>
      <c r="L507" s="4" t="s">
        <v>1965</v>
      </c>
      <c r="M507" s="4" t="s">
        <v>1966</v>
      </c>
      <c r="N507" s="4" t="s">
        <v>20</v>
      </c>
      <c r="O507" s="4" t="s">
        <v>925</v>
      </c>
      <c r="P507" s="4" t="s">
        <v>925</v>
      </c>
      <c r="Q507" s="4" t="s">
        <v>100</v>
      </c>
      <c r="R507" s="9">
        <f t="shared" si="7"/>
        <v>3.3457760674110931E-4</v>
      </c>
    </row>
    <row r="508" spans="1:18" hidden="1" x14ac:dyDescent="0.2">
      <c r="A508" s="4">
        <v>1277</v>
      </c>
      <c r="B508" s="2">
        <v>16972546</v>
      </c>
      <c r="C508" s="2">
        <v>217829.4</v>
      </c>
      <c r="D508" s="4" t="s">
        <v>2091</v>
      </c>
      <c r="E508" s="2">
        <v>16754716.6</v>
      </c>
      <c r="F508" s="2">
        <v>3236829.85</v>
      </c>
      <c r="G508" s="2">
        <v>0</v>
      </c>
      <c r="H508" s="4">
        <v>0</v>
      </c>
      <c r="I508" s="4">
        <v>0</v>
      </c>
      <c r="J508" s="4">
        <v>0</v>
      </c>
      <c r="K508" s="4">
        <v>19991546.449999999</v>
      </c>
      <c r="L508" s="4" t="s">
        <v>2089</v>
      </c>
      <c r="M508" s="4" t="s">
        <v>2090</v>
      </c>
      <c r="N508" s="4" t="s">
        <v>2092</v>
      </c>
      <c r="O508" s="4" t="s">
        <v>2093</v>
      </c>
      <c r="P508" s="4" t="s">
        <v>2093</v>
      </c>
      <c r="Q508" s="4" t="s">
        <v>100</v>
      </c>
      <c r="R508" s="9">
        <f t="shared" si="7"/>
        <v>3.3375267489631308E-4</v>
      </c>
    </row>
    <row r="509" spans="1:18" hidden="1" x14ac:dyDescent="0.2">
      <c r="A509" s="4">
        <v>1582</v>
      </c>
      <c r="B509" s="2">
        <v>16572420</v>
      </c>
      <c r="C509" s="2">
        <v>0</v>
      </c>
      <c r="D509" s="4" t="s">
        <v>1673</v>
      </c>
      <c r="E509" s="2">
        <v>16572420</v>
      </c>
      <c r="F509" s="2">
        <v>3148759.8</v>
      </c>
      <c r="G509" s="2">
        <v>0</v>
      </c>
      <c r="H509" s="4">
        <v>0</v>
      </c>
      <c r="I509" s="4">
        <v>0</v>
      </c>
      <c r="J509" s="4">
        <v>0</v>
      </c>
      <c r="K509" s="4">
        <v>19721179.800000001</v>
      </c>
      <c r="L509" s="4" t="s">
        <v>1671</v>
      </c>
      <c r="M509" s="4" t="s">
        <v>1672</v>
      </c>
      <c r="N509" s="4" t="s">
        <v>826</v>
      </c>
      <c r="O509" s="4" t="s">
        <v>89</v>
      </c>
      <c r="P509" s="4" t="s">
        <v>89</v>
      </c>
      <c r="Q509" s="4" t="s">
        <v>100</v>
      </c>
      <c r="R509" s="9">
        <f t="shared" si="7"/>
        <v>3.3012134054867612E-4</v>
      </c>
    </row>
    <row r="510" spans="1:18" hidden="1" x14ac:dyDescent="0.2">
      <c r="A510" s="4">
        <v>263</v>
      </c>
      <c r="B510" s="2">
        <v>16527810</v>
      </c>
      <c r="C510" s="2">
        <v>0</v>
      </c>
      <c r="D510" s="4" t="s">
        <v>1469</v>
      </c>
      <c r="E510" s="2">
        <v>16527810</v>
      </c>
      <c r="F510" s="2">
        <v>3140283.9</v>
      </c>
      <c r="G510" s="2">
        <v>0</v>
      </c>
      <c r="H510" s="4">
        <v>0</v>
      </c>
      <c r="I510" s="4">
        <v>0</v>
      </c>
      <c r="J510" s="4">
        <v>0</v>
      </c>
      <c r="K510" s="4">
        <v>19668093.899999999</v>
      </c>
      <c r="L510" s="4" t="s">
        <v>1467</v>
      </c>
      <c r="M510" s="4" t="s">
        <v>1468</v>
      </c>
      <c r="N510" s="4" t="s">
        <v>20</v>
      </c>
      <c r="O510" s="4" t="s">
        <v>768</v>
      </c>
      <c r="P510" s="4" t="s">
        <v>768</v>
      </c>
      <c r="Q510" s="4" t="s">
        <v>100</v>
      </c>
      <c r="R510" s="9">
        <f t="shared" si="7"/>
        <v>3.2923271275612224E-4</v>
      </c>
    </row>
    <row r="511" spans="1:18" hidden="1" x14ac:dyDescent="0.2">
      <c r="A511" s="4">
        <v>1890</v>
      </c>
      <c r="B511" s="2">
        <v>16500474</v>
      </c>
      <c r="C511" s="2">
        <v>0</v>
      </c>
      <c r="D511" s="4" t="s">
        <v>1503</v>
      </c>
      <c r="E511" s="2">
        <v>16500474</v>
      </c>
      <c r="F511" s="2">
        <v>3135090.06</v>
      </c>
      <c r="G511" s="2">
        <v>335880.48</v>
      </c>
      <c r="H511" s="4">
        <v>0</v>
      </c>
      <c r="I511" s="4">
        <v>0</v>
      </c>
      <c r="J511" s="4">
        <v>335880.48</v>
      </c>
      <c r="K511" s="4">
        <v>19299683.579999998</v>
      </c>
      <c r="L511" s="4" t="s">
        <v>1501</v>
      </c>
      <c r="M511" s="4" t="s">
        <v>1502</v>
      </c>
      <c r="N511" s="4" t="s">
        <v>46</v>
      </c>
      <c r="O511" s="4" t="s">
        <v>27</v>
      </c>
      <c r="P511" s="4" t="s">
        <v>27</v>
      </c>
      <c r="Q511" s="4" t="s">
        <v>100</v>
      </c>
      <c r="R511" s="9">
        <f t="shared" si="7"/>
        <v>3.286881817241282E-4</v>
      </c>
    </row>
    <row r="512" spans="1:18" hidden="1" x14ac:dyDescent="0.2">
      <c r="A512" s="4">
        <v>833</v>
      </c>
      <c r="B512" s="2">
        <v>16449732</v>
      </c>
      <c r="C512" s="2">
        <v>0</v>
      </c>
      <c r="D512" s="4" t="s">
        <v>1937</v>
      </c>
      <c r="E512" s="2">
        <v>16449732</v>
      </c>
      <c r="F512" s="2">
        <v>3125449.08</v>
      </c>
      <c r="G512" s="2">
        <v>411243.3</v>
      </c>
      <c r="H512" s="4">
        <v>0</v>
      </c>
      <c r="I512" s="4">
        <v>0</v>
      </c>
      <c r="J512" s="4">
        <v>411243.3</v>
      </c>
      <c r="K512" s="4">
        <v>19163937.780000001</v>
      </c>
      <c r="L512" s="4" t="s">
        <v>1935</v>
      </c>
      <c r="M512" s="4" t="s">
        <v>1936</v>
      </c>
      <c r="N512" s="4" t="s">
        <v>186</v>
      </c>
      <c r="O512" s="4" t="s">
        <v>59</v>
      </c>
      <c r="P512" s="4" t="s">
        <v>59</v>
      </c>
      <c r="Q512" s="4" t="s">
        <v>100</v>
      </c>
      <c r="R512" s="9">
        <f t="shared" si="7"/>
        <v>3.2767740495995485E-4</v>
      </c>
    </row>
    <row r="513" spans="1:18" hidden="1" x14ac:dyDescent="0.2">
      <c r="A513" s="4">
        <v>1286</v>
      </c>
      <c r="B513" s="2">
        <v>16428832</v>
      </c>
      <c r="C513" s="2">
        <v>0</v>
      </c>
      <c r="D513" s="4" t="s">
        <v>1695</v>
      </c>
      <c r="E513" s="2">
        <v>16428832</v>
      </c>
      <c r="F513" s="2">
        <v>3121478.08</v>
      </c>
      <c r="G513" s="2">
        <v>400369.82</v>
      </c>
      <c r="H513" s="4">
        <v>0</v>
      </c>
      <c r="I513" s="4">
        <v>0</v>
      </c>
      <c r="J513" s="4">
        <v>400369.82</v>
      </c>
      <c r="K513" s="4">
        <v>19149940.260000002</v>
      </c>
      <c r="L513" s="4" t="s">
        <v>1694</v>
      </c>
      <c r="M513" s="4" t="s">
        <v>984</v>
      </c>
      <c r="N513" s="4" t="s">
        <v>1418</v>
      </c>
      <c r="O513" s="4" t="s">
        <v>173</v>
      </c>
      <c r="P513" s="4" t="s">
        <v>173</v>
      </c>
      <c r="Q513" s="4" t="s">
        <v>100</v>
      </c>
      <c r="R513" s="9">
        <f t="shared" si="7"/>
        <v>3.2726107855635979E-4</v>
      </c>
    </row>
    <row r="514" spans="1:18" hidden="1" x14ac:dyDescent="0.2">
      <c r="A514" s="4">
        <v>281</v>
      </c>
      <c r="B514" s="2">
        <v>16367566</v>
      </c>
      <c r="C514" s="2">
        <v>0</v>
      </c>
      <c r="D514" s="4" t="s">
        <v>1745</v>
      </c>
      <c r="E514" s="2">
        <v>16367566</v>
      </c>
      <c r="F514" s="2">
        <v>3109837.54</v>
      </c>
      <c r="G514" s="2">
        <v>0</v>
      </c>
      <c r="H514" s="4">
        <v>0</v>
      </c>
      <c r="I514" s="4">
        <v>0</v>
      </c>
      <c r="J514" s="4">
        <v>0</v>
      </c>
      <c r="K514" s="4">
        <v>19477403.539999999</v>
      </c>
      <c r="L514" s="4" t="s">
        <v>1743</v>
      </c>
      <c r="M514" s="4" t="s">
        <v>1744</v>
      </c>
      <c r="N514" s="4" t="s">
        <v>1746</v>
      </c>
      <c r="O514" s="4" t="s">
        <v>89</v>
      </c>
      <c r="P514" s="4" t="s">
        <v>89</v>
      </c>
      <c r="Q514" s="4" t="s">
        <v>100</v>
      </c>
      <c r="R514" s="9">
        <f t="shared" si="7"/>
        <v>3.260406645160413E-4</v>
      </c>
    </row>
    <row r="515" spans="1:18" hidden="1" x14ac:dyDescent="0.2">
      <c r="A515" s="4">
        <v>518</v>
      </c>
      <c r="B515" s="2">
        <v>16472372</v>
      </c>
      <c r="C515" s="2">
        <v>132000.57</v>
      </c>
      <c r="D515" s="4" t="s">
        <v>4283</v>
      </c>
      <c r="E515" s="2">
        <v>16340371.43</v>
      </c>
      <c r="F515" s="2">
        <v>3104670.57</v>
      </c>
      <c r="G515" s="2">
        <v>0</v>
      </c>
      <c r="H515" s="4">
        <v>0</v>
      </c>
      <c r="I515" s="4">
        <v>0</v>
      </c>
      <c r="J515" s="4">
        <v>0</v>
      </c>
      <c r="K515" s="4">
        <v>19445042</v>
      </c>
      <c r="L515" s="4" t="s">
        <v>4281</v>
      </c>
      <c r="M515" s="4" t="s">
        <v>4282</v>
      </c>
      <c r="N515" s="4" t="s">
        <v>20</v>
      </c>
      <c r="O515" s="4" t="s">
        <v>1517</v>
      </c>
      <c r="P515" s="4" t="s">
        <v>603</v>
      </c>
      <c r="Q515" s="4" t="s">
        <v>100</v>
      </c>
      <c r="R515" s="9">
        <f t="shared" ref="R515:R578" si="8">E515/$E$2034</f>
        <v>3.2549895075884439E-4</v>
      </c>
    </row>
    <row r="516" spans="1:18" hidden="1" x14ac:dyDescent="0.2">
      <c r="A516" s="4">
        <v>773</v>
      </c>
      <c r="B516" s="2">
        <v>16283926</v>
      </c>
      <c r="C516" s="2">
        <v>0</v>
      </c>
      <c r="D516" s="4" t="s">
        <v>1506</v>
      </c>
      <c r="E516" s="2">
        <v>16283926</v>
      </c>
      <c r="F516" s="2">
        <v>3093945.94</v>
      </c>
      <c r="G516" s="2">
        <v>368222.14</v>
      </c>
      <c r="H516" s="4">
        <v>0</v>
      </c>
      <c r="I516" s="4">
        <v>0</v>
      </c>
      <c r="J516" s="4">
        <v>368222.14</v>
      </c>
      <c r="K516" s="4">
        <v>19009649.800000001</v>
      </c>
      <c r="L516" s="4" t="s">
        <v>1504</v>
      </c>
      <c r="M516" s="4" t="s">
        <v>1505</v>
      </c>
      <c r="N516" s="4" t="s">
        <v>464</v>
      </c>
      <c r="O516" s="4" t="s">
        <v>105</v>
      </c>
      <c r="P516" s="4" t="s">
        <v>105</v>
      </c>
      <c r="Q516" s="4" t="s">
        <v>100</v>
      </c>
      <c r="R516" s="9">
        <f t="shared" si="8"/>
        <v>3.2437456210471623E-4</v>
      </c>
    </row>
    <row r="517" spans="1:18" hidden="1" x14ac:dyDescent="0.2">
      <c r="A517" s="4">
        <v>711</v>
      </c>
      <c r="B517" s="2">
        <v>16262787</v>
      </c>
      <c r="C517" s="2">
        <v>0</v>
      </c>
      <c r="D517" s="4" t="s">
        <v>3605</v>
      </c>
      <c r="E517" s="2">
        <v>16262787</v>
      </c>
      <c r="F517" s="2">
        <v>3089929.53</v>
      </c>
      <c r="G517" s="2">
        <v>406569.68</v>
      </c>
      <c r="H517" s="4">
        <v>0</v>
      </c>
      <c r="I517" s="4">
        <v>0</v>
      </c>
      <c r="J517" s="4">
        <v>406569.68</v>
      </c>
      <c r="K517" s="4">
        <v>18946146.850000001</v>
      </c>
      <c r="L517" s="4" t="s">
        <v>3603</v>
      </c>
      <c r="M517" s="4" t="s">
        <v>3604</v>
      </c>
      <c r="N517" s="4" t="s">
        <v>415</v>
      </c>
      <c r="O517" s="4" t="s">
        <v>382</v>
      </c>
      <c r="P517" s="4" t="s">
        <v>382</v>
      </c>
      <c r="Q517" s="4" t="s">
        <v>585</v>
      </c>
      <c r="R517" s="9">
        <f t="shared" si="8"/>
        <v>3.2395347483937667E-4</v>
      </c>
    </row>
    <row r="518" spans="1:18" hidden="1" x14ac:dyDescent="0.2">
      <c r="A518" s="4">
        <v>198</v>
      </c>
      <c r="B518" s="2">
        <v>16239428</v>
      </c>
      <c r="C518" s="2">
        <v>0</v>
      </c>
      <c r="D518" s="4" t="s">
        <v>3294</v>
      </c>
      <c r="E518" s="2">
        <v>16239428</v>
      </c>
      <c r="F518" s="2">
        <v>3085491.32</v>
      </c>
      <c r="G518" s="2">
        <v>230825.12</v>
      </c>
      <c r="H518" s="4">
        <v>0</v>
      </c>
      <c r="I518" s="4">
        <v>0</v>
      </c>
      <c r="J518" s="4">
        <v>230825.12</v>
      </c>
      <c r="K518" s="4">
        <v>19094094.199999999</v>
      </c>
      <c r="L518" s="4" t="s">
        <v>3292</v>
      </c>
      <c r="M518" s="4" t="s">
        <v>3293</v>
      </c>
      <c r="N518" s="4" t="s">
        <v>88</v>
      </c>
      <c r="O518" s="4" t="s">
        <v>76</v>
      </c>
      <c r="P518" s="4" t="s">
        <v>76</v>
      </c>
      <c r="Q518" s="4" t="s">
        <v>1378</v>
      </c>
      <c r="R518" s="9">
        <f t="shared" si="8"/>
        <v>3.2348816534360743E-4</v>
      </c>
    </row>
    <row r="519" spans="1:18" hidden="1" x14ac:dyDescent="0.2">
      <c r="A519" s="4">
        <v>1035</v>
      </c>
      <c r="B519" s="2">
        <v>16205995</v>
      </c>
      <c r="C519" s="2">
        <v>0</v>
      </c>
      <c r="D519" s="4" t="s">
        <v>1830</v>
      </c>
      <c r="E519" s="2">
        <v>16205995</v>
      </c>
      <c r="F519" s="2">
        <v>3079139.05</v>
      </c>
      <c r="G519" s="2">
        <v>0</v>
      </c>
      <c r="H519" s="4">
        <v>0</v>
      </c>
      <c r="I519" s="4">
        <v>0</v>
      </c>
      <c r="J519" s="4">
        <v>0</v>
      </c>
      <c r="K519" s="4">
        <v>19285134.050000001</v>
      </c>
      <c r="L519" s="4" t="s">
        <v>1828</v>
      </c>
      <c r="M519" s="4" t="s">
        <v>1829</v>
      </c>
      <c r="N519" s="4" t="s">
        <v>1831</v>
      </c>
      <c r="O519" s="4" t="s">
        <v>33</v>
      </c>
      <c r="P519" s="4" t="s">
        <v>33</v>
      </c>
      <c r="Q519" s="4" t="s">
        <v>100</v>
      </c>
      <c r="R519" s="9">
        <f t="shared" si="8"/>
        <v>3.2282218253732061E-4</v>
      </c>
    </row>
    <row r="520" spans="1:18" hidden="1" x14ac:dyDescent="0.2">
      <c r="A520" s="4">
        <v>1567</v>
      </c>
      <c r="B520" s="2">
        <v>16189722</v>
      </c>
      <c r="C520" s="2">
        <v>0</v>
      </c>
      <c r="D520" s="4" t="s">
        <v>1782</v>
      </c>
      <c r="E520" s="2">
        <v>16189722</v>
      </c>
      <c r="F520" s="2">
        <v>3076047.18</v>
      </c>
      <c r="G520" s="2">
        <v>166070.57999999999</v>
      </c>
      <c r="H520" s="4">
        <v>0</v>
      </c>
      <c r="I520" s="4">
        <v>0</v>
      </c>
      <c r="J520" s="4">
        <v>166070.57999999999</v>
      </c>
      <c r="K520" s="4">
        <v>19099698.600000001</v>
      </c>
      <c r="L520" s="4" t="s">
        <v>1780</v>
      </c>
      <c r="M520" s="4" t="s">
        <v>1781</v>
      </c>
      <c r="N520" s="4" t="s">
        <v>1783</v>
      </c>
      <c r="O520" s="4" t="s">
        <v>89</v>
      </c>
      <c r="P520" s="4" t="s">
        <v>89</v>
      </c>
      <c r="Q520" s="4" t="s">
        <v>100</v>
      </c>
      <c r="R520" s="9">
        <f t="shared" si="8"/>
        <v>3.2249802562030135E-4</v>
      </c>
    </row>
    <row r="521" spans="1:18" hidden="1" x14ac:dyDescent="0.2">
      <c r="A521" s="4">
        <v>761</v>
      </c>
      <c r="B521" s="2">
        <v>16165910</v>
      </c>
      <c r="C521" s="2">
        <v>0</v>
      </c>
      <c r="D521" s="4" t="s">
        <v>1569</v>
      </c>
      <c r="E521" s="2">
        <v>16165910</v>
      </c>
      <c r="F521" s="2">
        <v>3071522.9</v>
      </c>
      <c r="G521" s="2">
        <v>404147.75</v>
      </c>
      <c r="H521" s="4">
        <v>0</v>
      </c>
      <c r="I521" s="4">
        <v>0</v>
      </c>
      <c r="J521" s="4">
        <v>404147.75</v>
      </c>
      <c r="K521" s="4">
        <v>18833285.149999999</v>
      </c>
      <c r="L521" s="4" t="s">
        <v>1567</v>
      </c>
      <c r="M521" s="4" t="s">
        <v>1568</v>
      </c>
      <c r="N521" s="4" t="s">
        <v>627</v>
      </c>
      <c r="O521" s="4" t="s">
        <v>1277</v>
      </c>
      <c r="P521" s="4" t="s">
        <v>1277</v>
      </c>
      <c r="Q521" s="4" t="s">
        <v>100</v>
      </c>
      <c r="R521" s="9">
        <f t="shared" si="8"/>
        <v>3.2202369239913358E-4</v>
      </c>
    </row>
    <row r="522" spans="1:18" hidden="1" x14ac:dyDescent="0.2">
      <c r="A522" s="4">
        <v>1411</v>
      </c>
      <c r="B522" s="2">
        <v>16070775</v>
      </c>
      <c r="C522" s="2">
        <v>0</v>
      </c>
      <c r="D522" s="4" t="s">
        <v>1026</v>
      </c>
      <c r="E522" s="2">
        <v>16070775</v>
      </c>
      <c r="F522" s="2">
        <v>3053447.25</v>
      </c>
      <c r="G522" s="2">
        <v>0</v>
      </c>
      <c r="H522" s="4">
        <v>0</v>
      </c>
      <c r="I522" s="4">
        <v>0</v>
      </c>
      <c r="J522" s="4">
        <v>0</v>
      </c>
      <c r="K522" s="4">
        <v>19124222.25</v>
      </c>
      <c r="L522" s="4" t="s">
        <v>1024</v>
      </c>
      <c r="M522" s="4" t="s">
        <v>1025</v>
      </c>
      <c r="N522" s="4" t="s">
        <v>482</v>
      </c>
      <c r="O522" s="4" t="s">
        <v>89</v>
      </c>
      <c r="P522" s="4" t="s">
        <v>89</v>
      </c>
      <c r="Q522" s="4" t="s">
        <v>100</v>
      </c>
      <c r="R522" s="9">
        <f t="shared" si="8"/>
        <v>3.2012861046583124E-4</v>
      </c>
    </row>
    <row r="523" spans="1:18" hidden="1" x14ac:dyDescent="0.2">
      <c r="A523" s="4">
        <v>1185</v>
      </c>
      <c r="B523" s="2">
        <v>16156843</v>
      </c>
      <c r="C523" s="2">
        <v>118389.99</v>
      </c>
      <c r="D523" s="4" t="s">
        <v>1351</v>
      </c>
      <c r="E523" s="2">
        <v>16038453.01</v>
      </c>
      <c r="F523" s="2">
        <v>3047306.07</v>
      </c>
      <c r="G523" s="2">
        <v>350233.93</v>
      </c>
      <c r="H523" s="4">
        <v>0</v>
      </c>
      <c r="I523" s="4">
        <v>0</v>
      </c>
      <c r="J523" s="4">
        <v>350233.93</v>
      </c>
      <c r="K523" s="4">
        <v>18735525.149999999</v>
      </c>
      <c r="L523" s="4" t="s">
        <v>1349</v>
      </c>
      <c r="M523" s="4" t="s">
        <v>1350</v>
      </c>
      <c r="N523" s="4" t="s">
        <v>1352</v>
      </c>
      <c r="O523" s="4" t="s">
        <v>201</v>
      </c>
      <c r="P523" s="4" t="s">
        <v>201</v>
      </c>
      <c r="Q523" s="4" t="s">
        <v>28</v>
      </c>
      <c r="R523" s="9">
        <f t="shared" si="8"/>
        <v>3.1948475889388212E-4</v>
      </c>
    </row>
    <row r="524" spans="1:18" hidden="1" x14ac:dyDescent="0.2">
      <c r="A524" s="4">
        <v>255</v>
      </c>
      <c r="B524" s="2">
        <v>16071861</v>
      </c>
      <c r="C524" s="2">
        <v>53860.5</v>
      </c>
      <c r="D524" s="4" t="s">
        <v>1371</v>
      </c>
      <c r="E524" s="2">
        <v>16018000.5</v>
      </c>
      <c r="F524" s="2">
        <v>3043420.1</v>
      </c>
      <c r="G524" s="2">
        <v>0</v>
      </c>
      <c r="H524" s="4">
        <v>0</v>
      </c>
      <c r="I524" s="4">
        <v>0</v>
      </c>
      <c r="J524" s="4">
        <v>0</v>
      </c>
      <c r="K524" s="4">
        <v>19061420.600000001</v>
      </c>
      <c r="L524" s="4" t="s">
        <v>1369</v>
      </c>
      <c r="M524" s="4" t="s">
        <v>1370</v>
      </c>
      <c r="N524" s="4" t="s">
        <v>20</v>
      </c>
      <c r="O524" s="4" t="s">
        <v>316</v>
      </c>
      <c r="P524" s="4" t="s">
        <v>316</v>
      </c>
      <c r="Q524" s="4" t="s">
        <v>100</v>
      </c>
      <c r="R524" s="9">
        <f t="shared" si="8"/>
        <v>3.1907734645690637E-4</v>
      </c>
    </row>
    <row r="525" spans="1:18" x14ac:dyDescent="0.2">
      <c r="A525" s="4">
        <v>826</v>
      </c>
      <c r="B525" s="2">
        <v>16016670</v>
      </c>
      <c r="C525" s="2">
        <v>0</v>
      </c>
      <c r="D525" s="4" t="s">
        <v>2828</v>
      </c>
      <c r="E525" s="2">
        <v>16016670</v>
      </c>
      <c r="F525" s="2">
        <v>3043167.3</v>
      </c>
      <c r="G525" s="2">
        <v>341420.93</v>
      </c>
      <c r="H525" s="4">
        <v>456475.09</v>
      </c>
      <c r="I525" s="4">
        <v>0</v>
      </c>
      <c r="J525" s="4">
        <v>797896.02</v>
      </c>
      <c r="K525" s="4">
        <v>18261941.280000001</v>
      </c>
      <c r="L525" s="4" t="s">
        <v>2827</v>
      </c>
      <c r="M525" s="4" t="s">
        <v>81</v>
      </c>
      <c r="N525" s="4" t="s">
        <v>200</v>
      </c>
      <c r="O525" s="4" t="s">
        <v>201</v>
      </c>
      <c r="P525" s="4" t="s">
        <v>201</v>
      </c>
      <c r="Q525" s="4" t="s">
        <v>28</v>
      </c>
      <c r="R525" s="9">
        <f t="shared" si="8"/>
        <v>3.1905084299853396E-4</v>
      </c>
    </row>
    <row r="526" spans="1:18" hidden="1" x14ac:dyDescent="0.2">
      <c r="A526" s="4">
        <v>426</v>
      </c>
      <c r="B526" s="2">
        <v>15919845</v>
      </c>
      <c r="C526" s="2">
        <v>0</v>
      </c>
      <c r="D526" s="4" t="s">
        <v>1969</v>
      </c>
      <c r="E526" s="2">
        <v>15919845</v>
      </c>
      <c r="F526" s="2">
        <v>3024770.55</v>
      </c>
      <c r="G526" s="2">
        <v>283401.5</v>
      </c>
      <c r="H526" s="4">
        <v>374651.31</v>
      </c>
      <c r="I526" s="4">
        <v>0</v>
      </c>
      <c r="J526" s="4">
        <v>658052.81000000006</v>
      </c>
      <c r="K526" s="4">
        <v>18286562.739999998</v>
      </c>
      <c r="L526" s="4" t="s">
        <v>1968</v>
      </c>
      <c r="M526" s="4" t="s">
        <v>137</v>
      </c>
      <c r="N526" s="4" t="s">
        <v>975</v>
      </c>
      <c r="O526" s="4" t="s">
        <v>89</v>
      </c>
      <c r="P526" s="4" t="s">
        <v>89</v>
      </c>
      <c r="Q526" s="4" t="s">
        <v>22</v>
      </c>
      <c r="R526" s="9">
        <f t="shared" si="8"/>
        <v>3.1712209639431894E-4</v>
      </c>
    </row>
    <row r="527" spans="1:18" hidden="1" x14ac:dyDescent="0.2">
      <c r="A527" s="4">
        <v>304</v>
      </c>
      <c r="B527" s="2">
        <v>15863258</v>
      </c>
      <c r="C527" s="2">
        <v>0</v>
      </c>
      <c r="D527" s="4" t="s">
        <v>1856</v>
      </c>
      <c r="E527" s="2">
        <v>15863258</v>
      </c>
      <c r="F527" s="2">
        <v>3014019.02</v>
      </c>
      <c r="G527" s="2">
        <v>58541.48</v>
      </c>
      <c r="H527" s="4">
        <v>0</v>
      </c>
      <c r="I527" s="4">
        <v>0</v>
      </c>
      <c r="J527" s="4">
        <v>58541.48</v>
      </c>
      <c r="K527" s="4">
        <v>18818735.539999999</v>
      </c>
      <c r="L527" s="4" t="s">
        <v>1854</v>
      </c>
      <c r="M527" s="4" t="s">
        <v>1855</v>
      </c>
      <c r="N527" s="4" t="s">
        <v>20</v>
      </c>
      <c r="O527" s="4" t="s">
        <v>1356</v>
      </c>
      <c r="P527" s="4" t="s">
        <v>1356</v>
      </c>
      <c r="Q527" s="4" t="s">
        <v>100</v>
      </c>
      <c r="R527" s="9">
        <f t="shared" si="8"/>
        <v>3.1599488767660431E-4</v>
      </c>
    </row>
    <row r="528" spans="1:18" hidden="1" x14ac:dyDescent="0.2">
      <c r="A528" s="4">
        <v>1688</v>
      </c>
      <c r="B528" s="2">
        <v>15822895</v>
      </c>
      <c r="C528" s="2">
        <v>0</v>
      </c>
      <c r="D528" s="4" t="s">
        <v>2274</v>
      </c>
      <c r="E528" s="2">
        <v>15822895</v>
      </c>
      <c r="F528" s="2">
        <v>3006350.05</v>
      </c>
      <c r="G528" s="2">
        <v>0</v>
      </c>
      <c r="H528" s="4">
        <v>0</v>
      </c>
      <c r="I528" s="4">
        <v>0</v>
      </c>
      <c r="J528" s="4">
        <v>0</v>
      </c>
      <c r="K528" s="4">
        <v>18829245.050000001</v>
      </c>
      <c r="L528" s="4" t="s">
        <v>2272</v>
      </c>
      <c r="M528" s="4" t="s">
        <v>2273</v>
      </c>
      <c r="N528" s="4" t="s">
        <v>2206</v>
      </c>
      <c r="O528" s="4" t="s">
        <v>196</v>
      </c>
      <c r="P528" s="4" t="s">
        <v>196</v>
      </c>
      <c r="Q528" s="4" t="s">
        <v>100</v>
      </c>
      <c r="R528" s="9">
        <f t="shared" si="8"/>
        <v>3.1519085979965175E-4</v>
      </c>
    </row>
    <row r="529" spans="1:18" hidden="1" x14ac:dyDescent="0.2">
      <c r="A529" s="4">
        <v>785</v>
      </c>
      <c r="B529" s="2">
        <v>15796708</v>
      </c>
      <c r="C529" s="2">
        <v>0</v>
      </c>
      <c r="D529" s="4" t="s">
        <v>3063</v>
      </c>
      <c r="E529" s="2">
        <v>15796708</v>
      </c>
      <c r="F529" s="2">
        <v>3001374.52</v>
      </c>
      <c r="G529" s="2">
        <v>0</v>
      </c>
      <c r="H529" s="4">
        <v>0</v>
      </c>
      <c r="I529" s="4">
        <v>0</v>
      </c>
      <c r="J529" s="4">
        <v>0</v>
      </c>
      <c r="K529" s="4">
        <v>18798082.52</v>
      </c>
      <c r="L529" s="4" t="s">
        <v>3061</v>
      </c>
      <c r="M529" s="4" t="s">
        <v>3062</v>
      </c>
      <c r="N529" s="4" t="s">
        <v>975</v>
      </c>
      <c r="O529" s="4" t="s">
        <v>89</v>
      </c>
      <c r="P529" s="4" t="s">
        <v>89</v>
      </c>
      <c r="Q529" s="4" t="s">
        <v>100</v>
      </c>
      <c r="R529" s="9">
        <f t="shared" si="8"/>
        <v>3.1466921675989362E-4</v>
      </c>
    </row>
    <row r="530" spans="1:18" hidden="1" x14ac:dyDescent="0.2">
      <c r="A530" s="4">
        <v>1628</v>
      </c>
      <c r="B530" s="2">
        <v>15757814</v>
      </c>
      <c r="C530" s="2">
        <v>0</v>
      </c>
      <c r="D530" s="4" t="s">
        <v>1894</v>
      </c>
      <c r="E530" s="2">
        <v>15757814</v>
      </c>
      <c r="F530" s="2">
        <v>2993984.66</v>
      </c>
      <c r="G530" s="2">
        <v>0</v>
      </c>
      <c r="H530" s="4">
        <v>0</v>
      </c>
      <c r="I530" s="4">
        <v>0</v>
      </c>
      <c r="J530" s="4">
        <v>0</v>
      </c>
      <c r="K530" s="4">
        <v>18751798.66</v>
      </c>
      <c r="L530" s="4" t="s">
        <v>1892</v>
      </c>
      <c r="M530" s="4" t="s">
        <v>1893</v>
      </c>
      <c r="N530" s="4" t="s">
        <v>1418</v>
      </c>
      <c r="O530" s="4" t="s">
        <v>173</v>
      </c>
      <c r="P530" s="4" t="s">
        <v>173</v>
      </c>
      <c r="Q530" s="4" t="s">
        <v>100</v>
      </c>
      <c r="R530" s="9">
        <f t="shared" si="8"/>
        <v>3.1389445125073442E-4</v>
      </c>
    </row>
    <row r="531" spans="1:18" hidden="1" x14ac:dyDescent="0.2">
      <c r="A531" s="4">
        <v>1000</v>
      </c>
      <c r="B531" s="2">
        <v>15886797</v>
      </c>
      <c r="C531" s="2">
        <v>178720.92</v>
      </c>
      <c r="D531" s="4" t="s">
        <v>1031</v>
      </c>
      <c r="E531" s="2">
        <v>15708076.08</v>
      </c>
      <c r="F531" s="2">
        <v>2984534.46</v>
      </c>
      <c r="G531" s="2">
        <v>392701.91</v>
      </c>
      <c r="H531" s="4">
        <v>447680.17</v>
      </c>
      <c r="I531" s="4">
        <v>0</v>
      </c>
      <c r="J531" s="4">
        <v>840382.08</v>
      </c>
      <c r="K531" s="4">
        <v>17852228.460000001</v>
      </c>
      <c r="L531" s="4" t="s">
        <v>1030</v>
      </c>
      <c r="M531" s="4" t="s">
        <v>95</v>
      </c>
      <c r="N531" s="4" t="s">
        <v>1032</v>
      </c>
      <c r="O531" s="4" t="s">
        <v>67</v>
      </c>
      <c r="P531" s="4" t="s">
        <v>67</v>
      </c>
      <c r="Q531" s="4" t="s">
        <v>28</v>
      </c>
      <c r="R531" s="9">
        <f t="shared" si="8"/>
        <v>3.1290367568346649E-4</v>
      </c>
    </row>
    <row r="532" spans="1:18" hidden="1" x14ac:dyDescent="0.2">
      <c r="A532" s="4">
        <v>1792</v>
      </c>
      <c r="B532" s="2">
        <v>15728082</v>
      </c>
      <c r="C532" s="2">
        <v>27830.94</v>
      </c>
      <c r="D532" s="4" t="s">
        <v>1775</v>
      </c>
      <c r="E532" s="2">
        <v>15700251.060000001</v>
      </c>
      <c r="F532" s="2">
        <v>2983047.7</v>
      </c>
      <c r="G532" s="2">
        <v>0</v>
      </c>
      <c r="H532" s="4">
        <v>0</v>
      </c>
      <c r="I532" s="4">
        <v>0</v>
      </c>
      <c r="J532" s="4">
        <v>0</v>
      </c>
      <c r="K532" s="4">
        <v>18683298.760000002</v>
      </c>
      <c r="L532" s="4" t="s">
        <v>1773</v>
      </c>
      <c r="M532" s="4" t="s">
        <v>1774</v>
      </c>
      <c r="N532" s="4" t="s">
        <v>20</v>
      </c>
      <c r="O532" s="4" t="s">
        <v>1356</v>
      </c>
      <c r="P532" s="4" t="s">
        <v>1356</v>
      </c>
      <c r="Q532" s="4" t="s">
        <v>100</v>
      </c>
      <c r="R532" s="9">
        <f t="shared" si="8"/>
        <v>3.127478018827651E-4</v>
      </c>
    </row>
    <row r="533" spans="1:18" hidden="1" x14ac:dyDescent="0.2">
      <c r="A533" s="4">
        <v>1169</v>
      </c>
      <c r="B533" s="2">
        <v>15635697</v>
      </c>
      <c r="C533" s="2">
        <v>0</v>
      </c>
      <c r="D533" s="4" t="s">
        <v>1481</v>
      </c>
      <c r="E533" s="2">
        <v>15635697</v>
      </c>
      <c r="F533" s="2">
        <v>2970782.43</v>
      </c>
      <c r="G533" s="2">
        <v>143231.20000000001</v>
      </c>
      <c r="H533" s="4">
        <v>188014.26</v>
      </c>
      <c r="I533" s="4">
        <v>34375.480000000003</v>
      </c>
      <c r="J533" s="4">
        <v>365620.94</v>
      </c>
      <c r="K533" s="4">
        <v>18240858.489999998</v>
      </c>
      <c r="L533" s="4" t="s">
        <v>1480</v>
      </c>
      <c r="M533" s="4" t="s">
        <v>178</v>
      </c>
      <c r="N533" s="4" t="s">
        <v>20</v>
      </c>
      <c r="O533" s="4" t="s">
        <v>71</v>
      </c>
      <c r="P533" s="4" t="s">
        <v>71</v>
      </c>
      <c r="Q533" s="4" t="s">
        <v>28</v>
      </c>
      <c r="R533" s="9">
        <f t="shared" si="8"/>
        <v>3.1146188993839849E-4</v>
      </c>
    </row>
    <row r="534" spans="1:18" hidden="1" x14ac:dyDescent="0.2">
      <c r="A534" s="4">
        <v>1170</v>
      </c>
      <c r="B534" s="2">
        <v>15590265</v>
      </c>
      <c r="C534" s="2">
        <v>0</v>
      </c>
      <c r="D534" s="4" t="s">
        <v>1919</v>
      </c>
      <c r="E534" s="2">
        <v>15590265</v>
      </c>
      <c r="F534" s="2">
        <v>2962150.35</v>
      </c>
      <c r="G534" s="2">
        <v>163789</v>
      </c>
      <c r="H534" s="4">
        <v>186719.46</v>
      </c>
      <c r="I534" s="4">
        <v>39309.360000000001</v>
      </c>
      <c r="J534" s="4">
        <v>389817.82</v>
      </c>
      <c r="K534" s="4">
        <v>18162597.530000001</v>
      </c>
      <c r="L534" s="4" t="s">
        <v>1918</v>
      </c>
      <c r="M534" s="4" t="s">
        <v>178</v>
      </c>
      <c r="N534" s="4" t="s">
        <v>20</v>
      </c>
      <c r="O534" s="4" t="s">
        <v>71</v>
      </c>
      <c r="P534" s="4" t="s">
        <v>71</v>
      </c>
      <c r="Q534" s="4" t="s">
        <v>28</v>
      </c>
      <c r="R534" s="9">
        <f t="shared" si="8"/>
        <v>3.1055688796863138E-4</v>
      </c>
    </row>
    <row r="535" spans="1:18" hidden="1" x14ac:dyDescent="0.2">
      <c r="A535" s="4">
        <v>792</v>
      </c>
      <c r="B535" s="2">
        <v>15567822</v>
      </c>
      <c r="C535" s="2">
        <v>0</v>
      </c>
      <c r="D535" s="4" t="s">
        <v>1717</v>
      </c>
      <c r="E535" s="2">
        <v>15567822</v>
      </c>
      <c r="F535" s="2">
        <v>2957886.18</v>
      </c>
      <c r="G535" s="2">
        <v>294019.5</v>
      </c>
      <c r="H535" s="4">
        <v>0</v>
      </c>
      <c r="I535" s="4">
        <v>0</v>
      </c>
      <c r="J535" s="4">
        <v>294019.5</v>
      </c>
      <c r="K535" s="4">
        <v>18231688.68</v>
      </c>
      <c r="L535" s="4" t="s">
        <v>1715</v>
      </c>
      <c r="M535" s="4" t="s">
        <v>1716</v>
      </c>
      <c r="N535" s="4" t="s">
        <v>46</v>
      </c>
      <c r="O535" s="4" t="s">
        <v>76</v>
      </c>
      <c r="P535" s="4" t="s">
        <v>76</v>
      </c>
      <c r="Q535" s="4" t="s">
        <v>408</v>
      </c>
      <c r="R535" s="9">
        <f t="shared" si="8"/>
        <v>3.1010982512289528E-4</v>
      </c>
    </row>
    <row r="536" spans="1:18" x14ac:dyDescent="0.2">
      <c r="A536" s="4">
        <v>804</v>
      </c>
      <c r="B536" s="2">
        <v>15437573</v>
      </c>
      <c r="C536" s="2">
        <v>0</v>
      </c>
      <c r="D536" s="4" t="s">
        <v>2011</v>
      </c>
      <c r="E536" s="2">
        <v>15437573</v>
      </c>
      <c r="F536" s="2">
        <v>2933138.87</v>
      </c>
      <c r="G536" s="2">
        <v>216534.16</v>
      </c>
      <c r="H536" s="4">
        <v>0</v>
      </c>
      <c r="I536" s="4">
        <v>0</v>
      </c>
      <c r="J536" s="4">
        <v>216534.16</v>
      </c>
      <c r="K536" s="4">
        <v>18154177.710000001</v>
      </c>
      <c r="L536" s="4" t="s">
        <v>2010</v>
      </c>
      <c r="M536" s="4" t="s">
        <v>81</v>
      </c>
      <c r="N536" s="4" t="s">
        <v>2012</v>
      </c>
      <c r="O536" s="4" t="s">
        <v>382</v>
      </c>
      <c r="P536" s="4" t="s">
        <v>382</v>
      </c>
      <c r="Q536" s="4" t="s">
        <v>28</v>
      </c>
      <c r="R536" s="9">
        <f t="shared" si="8"/>
        <v>3.0751527499170596E-4</v>
      </c>
    </row>
    <row r="537" spans="1:18" hidden="1" x14ac:dyDescent="0.2">
      <c r="A537" s="4">
        <v>772</v>
      </c>
      <c r="B537" s="2">
        <v>15385194</v>
      </c>
      <c r="C537" s="2">
        <v>0</v>
      </c>
      <c r="D537" s="4" t="s">
        <v>1433</v>
      </c>
      <c r="E537" s="2">
        <v>15385194</v>
      </c>
      <c r="F537" s="2">
        <v>2923186.86</v>
      </c>
      <c r="G537" s="2">
        <v>0</v>
      </c>
      <c r="H537" s="4">
        <v>0</v>
      </c>
      <c r="I537" s="4">
        <v>0</v>
      </c>
      <c r="J537" s="4">
        <v>0</v>
      </c>
      <c r="K537" s="4">
        <v>18308380.859999999</v>
      </c>
      <c r="L537" s="4" t="s">
        <v>1431</v>
      </c>
      <c r="M537" s="4" t="s">
        <v>1432</v>
      </c>
      <c r="N537" s="4" t="s">
        <v>20</v>
      </c>
      <c r="O537" s="4" t="s">
        <v>1157</v>
      </c>
      <c r="P537" s="4" t="s">
        <v>1157</v>
      </c>
      <c r="Q537" s="4" t="s">
        <v>100</v>
      </c>
      <c r="R537" s="9">
        <f t="shared" si="8"/>
        <v>3.0647188931257166E-4</v>
      </c>
    </row>
    <row r="538" spans="1:18" hidden="1" x14ac:dyDescent="0.2">
      <c r="A538" s="4">
        <v>1990</v>
      </c>
      <c r="B538" s="2">
        <v>15360980</v>
      </c>
      <c r="C538" s="2">
        <v>0</v>
      </c>
      <c r="D538" s="4" t="s">
        <v>1975</v>
      </c>
      <c r="E538" s="2">
        <v>15360980</v>
      </c>
      <c r="F538" s="2">
        <v>2918586.2</v>
      </c>
      <c r="G538" s="2">
        <v>365204.95</v>
      </c>
      <c r="H538" s="4">
        <v>0</v>
      </c>
      <c r="I538" s="4">
        <v>0</v>
      </c>
      <c r="J538" s="4">
        <v>365204.95</v>
      </c>
      <c r="K538" s="4">
        <v>17914361.25</v>
      </c>
      <c r="L538" s="4" t="s">
        <v>1973</v>
      </c>
      <c r="M538" s="4" t="s">
        <v>1974</v>
      </c>
      <c r="N538" s="4" t="s">
        <v>20</v>
      </c>
      <c r="O538" s="4" t="s">
        <v>1549</v>
      </c>
      <c r="P538" s="4" t="s">
        <v>1549</v>
      </c>
      <c r="Q538" s="4" t="s">
        <v>100</v>
      </c>
      <c r="R538" s="9">
        <f t="shared" si="8"/>
        <v>3.0598954828210987E-4</v>
      </c>
    </row>
    <row r="539" spans="1:18" hidden="1" x14ac:dyDescent="0.2">
      <c r="A539" s="4">
        <v>955</v>
      </c>
      <c r="B539" s="2">
        <v>15339434</v>
      </c>
      <c r="C539" s="2">
        <v>0</v>
      </c>
      <c r="D539" s="4" t="s">
        <v>4497</v>
      </c>
      <c r="E539" s="2">
        <v>15339434</v>
      </c>
      <c r="F539" s="2">
        <v>2914492.46</v>
      </c>
      <c r="G539" s="2">
        <v>184919.29</v>
      </c>
      <c r="H539" s="4">
        <v>0</v>
      </c>
      <c r="I539" s="4">
        <v>0</v>
      </c>
      <c r="J539" s="4">
        <v>184919.29</v>
      </c>
      <c r="K539" s="4">
        <v>18069007.170000002</v>
      </c>
      <c r="L539" s="4" t="s">
        <v>4495</v>
      </c>
      <c r="M539" s="4" t="s">
        <v>4496</v>
      </c>
      <c r="N539" s="4" t="s">
        <v>20</v>
      </c>
      <c r="O539" s="4" t="s">
        <v>316</v>
      </c>
      <c r="P539" s="4" t="s">
        <v>316</v>
      </c>
      <c r="Q539" s="4" t="s">
        <v>100</v>
      </c>
      <c r="R539" s="9">
        <f t="shared" si="8"/>
        <v>3.0556035360785819E-4</v>
      </c>
    </row>
    <row r="540" spans="1:18" hidden="1" x14ac:dyDescent="0.2">
      <c r="A540" s="4">
        <v>1620</v>
      </c>
      <c r="B540" s="2">
        <v>15279599</v>
      </c>
      <c r="C540" s="2">
        <v>0</v>
      </c>
      <c r="D540" s="4" t="s">
        <v>1605</v>
      </c>
      <c r="E540" s="2">
        <v>15279599</v>
      </c>
      <c r="F540" s="2">
        <v>2903123.81</v>
      </c>
      <c r="G540" s="2">
        <v>331770.77</v>
      </c>
      <c r="H540" s="4">
        <v>0</v>
      </c>
      <c r="I540" s="4">
        <v>0</v>
      </c>
      <c r="J540" s="4">
        <v>331770.77</v>
      </c>
      <c r="K540" s="4">
        <v>17850952.039999999</v>
      </c>
      <c r="L540" s="4" t="s">
        <v>1603</v>
      </c>
      <c r="M540" s="4" t="s">
        <v>1604</v>
      </c>
      <c r="N540" s="4" t="s">
        <v>20</v>
      </c>
      <c r="O540" s="4" t="s">
        <v>1517</v>
      </c>
      <c r="P540" s="4" t="s">
        <v>1517</v>
      </c>
      <c r="Q540" s="4" t="s">
        <v>100</v>
      </c>
      <c r="R540" s="9">
        <f t="shared" si="8"/>
        <v>3.0436844497823558E-4</v>
      </c>
    </row>
    <row r="541" spans="1:18" hidden="1" x14ac:dyDescent="0.2">
      <c r="A541" s="4">
        <v>1472</v>
      </c>
      <c r="B541" s="2">
        <v>15255376</v>
      </c>
      <c r="C541" s="2">
        <v>0</v>
      </c>
      <c r="D541" s="4" t="s">
        <v>1355</v>
      </c>
      <c r="E541" s="2">
        <v>15255376</v>
      </c>
      <c r="F541" s="2">
        <v>2898521.44</v>
      </c>
      <c r="G541" s="2">
        <v>0</v>
      </c>
      <c r="H541" s="4">
        <v>0</v>
      </c>
      <c r="I541" s="4">
        <v>0</v>
      </c>
      <c r="J541" s="4">
        <v>0</v>
      </c>
      <c r="K541" s="4">
        <v>18153897.440000001</v>
      </c>
      <c r="L541" s="4" t="s">
        <v>1353</v>
      </c>
      <c r="M541" s="4" t="s">
        <v>1354</v>
      </c>
      <c r="N541" s="4" t="s">
        <v>20</v>
      </c>
      <c r="O541" s="4" t="s">
        <v>1356</v>
      </c>
      <c r="P541" s="4" t="s">
        <v>1356</v>
      </c>
      <c r="Q541" s="4" t="s">
        <v>100</v>
      </c>
      <c r="R541" s="9">
        <f t="shared" si="8"/>
        <v>3.0388592466846126E-4</v>
      </c>
    </row>
    <row r="542" spans="1:18" hidden="1" x14ac:dyDescent="0.2">
      <c r="A542" s="4">
        <v>1360</v>
      </c>
      <c r="B542" s="2">
        <v>15230066</v>
      </c>
      <c r="C542" s="2">
        <v>0</v>
      </c>
      <c r="D542" s="4" t="s">
        <v>3047</v>
      </c>
      <c r="E542" s="2">
        <v>15230066</v>
      </c>
      <c r="F542" s="2">
        <v>2893712.54</v>
      </c>
      <c r="G542" s="2">
        <v>0</v>
      </c>
      <c r="H542" s="4">
        <v>0</v>
      </c>
      <c r="I542" s="4">
        <v>0</v>
      </c>
      <c r="J542" s="4">
        <v>0</v>
      </c>
      <c r="K542" s="4">
        <v>18123778.539999999</v>
      </c>
      <c r="L542" s="4" t="s">
        <v>3045</v>
      </c>
      <c r="M542" s="4" t="s">
        <v>3046</v>
      </c>
      <c r="N542" s="4" t="s">
        <v>746</v>
      </c>
      <c r="O542" s="4" t="s">
        <v>747</v>
      </c>
      <c r="P542" s="4" t="s">
        <v>747</v>
      </c>
      <c r="Q542" s="4" t="s">
        <v>100</v>
      </c>
      <c r="R542" s="9">
        <f t="shared" si="8"/>
        <v>3.0338175140171524E-4</v>
      </c>
    </row>
    <row r="543" spans="1:18" hidden="1" x14ac:dyDescent="0.2">
      <c r="A543" s="4">
        <v>1901</v>
      </c>
      <c r="B543" s="2">
        <v>15189547</v>
      </c>
      <c r="C543" s="2">
        <v>0</v>
      </c>
      <c r="D543" s="4" t="s">
        <v>1837</v>
      </c>
      <c r="E543" s="2">
        <v>15189547</v>
      </c>
      <c r="F543" s="2">
        <v>2886013.93</v>
      </c>
      <c r="G543" s="2">
        <v>0</v>
      </c>
      <c r="H543" s="4">
        <v>0</v>
      </c>
      <c r="I543" s="4">
        <v>0</v>
      </c>
      <c r="J543" s="4">
        <v>0</v>
      </c>
      <c r="K543" s="4">
        <v>18075560.93</v>
      </c>
      <c r="L543" s="4" t="s">
        <v>1835</v>
      </c>
      <c r="M543" s="4" t="s">
        <v>1836</v>
      </c>
      <c r="N543" s="4" t="s">
        <v>368</v>
      </c>
      <c r="O543" s="4" t="s">
        <v>76</v>
      </c>
      <c r="P543" s="4" t="s">
        <v>76</v>
      </c>
      <c r="Q543" s="4" t="s">
        <v>585</v>
      </c>
      <c r="R543" s="9">
        <f t="shared" si="8"/>
        <v>3.0257461601667843E-4</v>
      </c>
    </row>
    <row r="544" spans="1:18" hidden="1" x14ac:dyDescent="0.2">
      <c r="A544" s="4">
        <v>1702</v>
      </c>
      <c r="B544" s="2">
        <v>15198393</v>
      </c>
      <c r="C544" s="2">
        <v>56314.11</v>
      </c>
      <c r="D544" s="4" t="s">
        <v>2255</v>
      </c>
      <c r="E544" s="2">
        <v>15142078.890000001</v>
      </c>
      <c r="F544" s="2">
        <v>2876994.99</v>
      </c>
      <c r="G544" s="2">
        <v>0</v>
      </c>
      <c r="H544" s="4">
        <v>0</v>
      </c>
      <c r="I544" s="4">
        <v>0</v>
      </c>
      <c r="J544" s="4">
        <v>0</v>
      </c>
      <c r="K544" s="4">
        <v>18019073.879999999</v>
      </c>
      <c r="L544" s="4" t="s">
        <v>2253</v>
      </c>
      <c r="M544" s="4" t="s">
        <v>2254</v>
      </c>
      <c r="N544" s="4" t="s">
        <v>20</v>
      </c>
      <c r="O544" s="4" t="s">
        <v>316</v>
      </c>
      <c r="P544" s="4" t="s">
        <v>316</v>
      </c>
      <c r="Q544" s="4" t="s">
        <v>100</v>
      </c>
      <c r="R544" s="9">
        <f t="shared" si="8"/>
        <v>3.0162905489123558E-4</v>
      </c>
    </row>
    <row r="545" spans="1:18" hidden="1" x14ac:dyDescent="0.2">
      <c r="A545" s="4">
        <v>1167</v>
      </c>
      <c r="B545" s="2">
        <v>15104105</v>
      </c>
      <c r="C545" s="2">
        <v>0</v>
      </c>
      <c r="D545" s="4" t="s">
        <v>1420</v>
      </c>
      <c r="E545" s="2">
        <v>15104105</v>
      </c>
      <c r="F545" s="2">
        <v>2869779.95</v>
      </c>
      <c r="G545" s="2">
        <v>122096.8</v>
      </c>
      <c r="H545" s="4">
        <v>172863.9</v>
      </c>
      <c r="I545" s="4">
        <v>29303.23</v>
      </c>
      <c r="J545" s="4">
        <v>324263.93</v>
      </c>
      <c r="K545" s="4">
        <v>17649621.02</v>
      </c>
      <c r="L545" s="4" t="s">
        <v>1419</v>
      </c>
      <c r="M545" s="4" t="s">
        <v>178</v>
      </c>
      <c r="N545" s="4" t="s">
        <v>1421</v>
      </c>
      <c r="O545" s="4" t="s">
        <v>340</v>
      </c>
      <c r="P545" s="4" t="s">
        <v>340</v>
      </c>
      <c r="Q545" s="4" t="s">
        <v>28</v>
      </c>
      <c r="R545" s="9">
        <f t="shared" si="8"/>
        <v>3.0087261790299558E-4</v>
      </c>
    </row>
    <row r="546" spans="1:18" hidden="1" x14ac:dyDescent="0.2">
      <c r="A546" s="4">
        <v>701</v>
      </c>
      <c r="B546" s="2">
        <v>15128905</v>
      </c>
      <c r="C546" s="2">
        <v>49630.29</v>
      </c>
      <c r="D546" s="4" t="s">
        <v>1193</v>
      </c>
      <c r="E546" s="2">
        <v>15079274.710000001</v>
      </c>
      <c r="F546" s="2">
        <v>2865062.2</v>
      </c>
      <c r="G546" s="2">
        <v>78366.78</v>
      </c>
      <c r="H546" s="4">
        <v>0</v>
      </c>
      <c r="I546" s="4">
        <v>0</v>
      </c>
      <c r="J546" s="4">
        <v>78366.78</v>
      </c>
      <c r="K546" s="4">
        <v>17865970.129999999</v>
      </c>
      <c r="L546" s="4" t="s">
        <v>1192</v>
      </c>
      <c r="M546" s="4" t="s">
        <v>304</v>
      </c>
      <c r="N546" s="4" t="s">
        <v>1194</v>
      </c>
      <c r="O546" s="4" t="s">
        <v>42</v>
      </c>
      <c r="P546" s="4" t="s">
        <v>42</v>
      </c>
      <c r="Q546" s="4" t="s">
        <v>28</v>
      </c>
      <c r="R546" s="9">
        <f t="shared" si="8"/>
        <v>3.0037800042280791E-4</v>
      </c>
    </row>
    <row r="547" spans="1:18" hidden="1" x14ac:dyDescent="0.2">
      <c r="A547" s="4">
        <v>66</v>
      </c>
      <c r="B547" s="2">
        <v>15031362</v>
      </c>
      <c r="C547" s="2">
        <v>0</v>
      </c>
      <c r="D547" s="4" t="s">
        <v>797</v>
      </c>
      <c r="E547" s="2">
        <v>15031362</v>
      </c>
      <c r="F547" s="2">
        <v>2855958.78</v>
      </c>
      <c r="G547" s="2">
        <v>375784.05</v>
      </c>
      <c r="H547" s="4">
        <v>0</v>
      </c>
      <c r="I547" s="4">
        <v>0</v>
      </c>
      <c r="J547" s="4">
        <v>375784.05</v>
      </c>
      <c r="K547" s="4">
        <v>17511536.73</v>
      </c>
      <c r="L547" s="4" t="s">
        <v>795</v>
      </c>
      <c r="M547" s="4" t="s">
        <v>796</v>
      </c>
      <c r="N547" s="4" t="s">
        <v>46</v>
      </c>
      <c r="O547" s="4" t="s">
        <v>27</v>
      </c>
      <c r="P547" s="4" t="s">
        <v>27</v>
      </c>
      <c r="Q547" s="4" t="s">
        <v>22</v>
      </c>
      <c r="R547" s="9">
        <f t="shared" si="8"/>
        <v>2.9942358289932489E-4</v>
      </c>
    </row>
    <row r="548" spans="1:18" hidden="1" x14ac:dyDescent="0.2">
      <c r="A548" s="4">
        <v>634</v>
      </c>
      <c r="B548" s="2">
        <v>15014024</v>
      </c>
      <c r="C548" s="2">
        <v>0</v>
      </c>
      <c r="D548" s="4" t="s">
        <v>1490</v>
      </c>
      <c r="E548" s="2">
        <v>15014024</v>
      </c>
      <c r="F548" s="2">
        <v>2852664.56</v>
      </c>
      <c r="G548" s="2">
        <v>295123.61</v>
      </c>
      <c r="H548" s="4">
        <v>0</v>
      </c>
      <c r="I548" s="4">
        <v>0</v>
      </c>
      <c r="J548" s="4">
        <v>295123.61</v>
      </c>
      <c r="K548" s="4">
        <v>17571564.949999999</v>
      </c>
      <c r="L548" s="4" t="s">
        <v>1488</v>
      </c>
      <c r="M548" s="4" t="s">
        <v>1489</v>
      </c>
      <c r="N548" s="4" t="s">
        <v>1491</v>
      </c>
      <c r="O548" s="4" t="s">
        <v>1127</v>
      </c>
      <c r="P548" s="4" t="s">
        <v>1127</v>
      </c>
      <c r="Q548" s="4" t="s">
        <v>100</v>
      </c>
      <c r="R548" s="9">
        <f t="shared" si="8"/>
        <v>2.9907821126365353E-4</v>
      </c>
    </row>
    <row r="549" spans="1:18" hidden="1" x14ac:dyDescent="0.2">
      <c r="A549" s="4">
        <v>1024</v>
      </c>
      <c r="B549" s="2">
        <v>14991080</v>
      </c>
      <c r="C549" s="2">
        <v>0</v>
      </c>
      <c r="D549" s="4" t="s">
        <v>1053</v>
      </c>
      <c r="E549" s="2">
        <v>14991080</v>
      </c>
      <c r="F549" s="2">
        <v>2848305.2</v>
      </c>
      <c r="G549" s="2">
        <v>0</v>
      </c>
      <c r="H549" s="4">
        <v>0</v>
      </c>
      <c r="I549" s="4">
        <v>0</v>
      </c>
      <c r="J549" s="4">
        <v>0</v>
      </c>
      <c r="K549" s="4">
        <v>17839385.199999999</v>
      </c>
      <c r="L549" s="4" t="s">
        <v>1051</v>
      </c>
      <c r="M549" s="4" t="s">
        <v>1052</v>
      </c>
      <c r="N549" s="4" t="s">
        <v>1054</v>
      </c>
      <c r="O549" s="4" t="s">
        <v>89</v>
      </c>
      <c r="P549" s="4" t="s">
        <v>89</v>
      </c>
      <c r="Q549" s="4" t="s">
        <v>100</v>
      </c>
      <c r="R549" s="9">
        <f t="shared" si="8"/>
        <v>2.9862116853618528E-4</v>
      </c>
    </row>
    <row r="550" spans="1:18" hidden="1" x14ac:dyDescent="0.2">
      <c r="A550" s="4">
        <v>256</v>
      </c>
      <c r="B550" s="2">
        <v>14983998</v>
      </c>
      <c r="C550" s="2">
        <v>0</v>
      </c>
      <c r="D550" s="4" t="s">
        <v>3663</v>
      </c>
      <c r="E550" s="2">
        <v>14983998</v>
      </c>
      <c r="F550" s="2">
        <v>2846959.62</v>
      </c>
      <c r="G550" s="2">
        <v>0</v>
      </c>
      <c r="H550" s="4">
        <v>0</v>
      </c>
      <c r="I550" s="4">
        <v>0</v>
      </c>
      <c r="J550" s="4">
        <v>0</v>
      </c>
      <c r="K550" s="4">
        <v>17830957.620000001</v>
      </c>
      <c r="L550" s="4" t="s">
        <v>3661</v>
      </c>
      <c r="M550" s="4" t="s">
        <v>3662</v>
      </c>
      <c r="N550" s="4" t="s">
        <v>651</v>
      </c>
      <c r="O550" s="4" t="s">
        <v>196</v>
      </c>
      <c r="P550" s="4" t="s">
        <v>196</v>
      </c>
      <c r="Q550" s="4" t="s">
        <v>100</v>
      </c>
      <c r="R550" s="9">
        <f t="shared" si="8"/>
        <v>2.9848009563712978E-4</v>
      </c>
    </row>
    <row r="551" spans="1:18" hidden="1" x14ac:dyDescent="0.2">
      <c r="A551" s="4">
        <v>1381</v>
      </c>
      <c r="B551" s="2">
        <v>14959651</v>
      </c>
      <c r="C551" s="2">
        <v>16016.82</v>
      </c>
      <c r="D551" s="4" t="s">
        <v>1908</v>
      </c>
      <c r="E551" s="2">
        <v>14943634.18</v>
      </c>
      <c r="F551" s="2">
        <v>2839290.49</v>
      </c>
      <c r="G551" s="2">
        <v>358258.72</v>
      </c>
      <c r="H551" s="4">
        <v>408414.93</v>
      </c>
      <c r="I551" s="4">
        <v>61242.080000000002</v>
      </c>
      <c r="J551" s="4">
        <v>827915.73</v>
      </c>
      <c r="K551" s="4">
        <v>16955008.940000001</v>
      </c>
      <c r="L551" s="4" t="s">
        <v>1907</v>
      </c>
      <c r="M551" s="4" t="s">
        <v>1006</v>
      </c>
      <c r="N551" s="4" t="s">
        <v>221</v>
      </c>
      <c r="O551" s="4" t="s">
        <v>33</v>
      </c>
      <c r="P551" s="4" t="s">
        <v>33</v>
      </c>
      <c r="Q551" s="4" t="s">
        <v>28</v>
      </c>
      <c r="R551" s="9">
        <f t="shared" si="8"/>
        <v>2.9767605142583985E-4</v>
      </c>
    </row>
    <row r="552" spans="1:18" hidden="1" x14ac:dyDescent="0.2">
      <c r="A552" s="4">
        <v>1597</v>
      </c>
      <c r="B552" s="2">
        <v>14908274</v>
      </c>
      <c r="C552" s="2">
        <v>0</v>
      </c>
      <c r="D552" s="4" t="s">
        <v>1396</v>
      </c>
      <c r="E552" s="2">
        <v>14908274</v>
      </c>
      <c r="F552" s="2">
        <v>2832572.06</v>
      </c>
      <c r="G552" s="2">
        <v>184605.35</v>
      </c>
      <c r="H552" s="4">
        <v>0</v>
      </c>
      <c r="I552" s="4">
        <v>0</v>
      </c>
      <c r="J552" s="4">
        <v>184605.35</v>
      </c>
      <c r="K552" s="4">
        <v>17556240.710000001</v>
      </c>
      <c r="L552" s="4" t="s">
        <v>1394</v>
      </c>
      <c r="M552" s="4" t="s">
        <v>1395</v>
      </c>
      <c r="N552" s="4" t="s">
        <v>20</v>
      </c>
      <c r="O552" s="4" t="s">
        <v>1517</v>
      </c>
      <c r="P552" s="4" t="s">
        <v>603</v>
      </c>
      <c r="Q552" s="4" t="s">
        <v>100</v>
      </c>
      <c r="R552" s="9">
        <f t="shared" si="8"/>
        <v>2.9697167934115683E-4</v>
      </c>
    </row>
    <row r="553" spans="1:18" x14ac:dyDescent="0.2">
      <c r="A553" s="4">
        <v>813</v>
      </c>
      <c r="B553" s="2">
        <v>14876257</v>
      </c>
      <c r="C553" s="2">
        <v>0</v>
      </c>
      <c r="D553" s="4" t="s">
        <v>2227</v>
      </c>
      <c r="E553" s="2">
        <v>14876257</v>
      </c>
      <c r="F553" s="2">
        <v>2826488.83</v>
      </c>
      <c r="G553" s="2">
        <v>371906.42</v>
      </c>
      <c r="H553" s="4">
        <v>423973.32</v>
      </c>
      <c r="I553" s="4">
        <v>0</v>
      </c>
      <c r="J553" s="4">
        <v>795879.74</v>
      </c>
      <c r="K553" s="4">
        <v>16906866.09</v>
      </c>
      <c r="L553" s="4" t="s">
        <v>2226</v>
      </c>
      <c r="M553" s="4" t="s">
        <v>81</v>
      </c>
      <c r="N553" s="4" t="s">
        <v>104</v>
      </c>
      <c r="O553" s="4" t="s">
        <v>105</v>
      </c>
      <c r="P553" s="4" t="s">
        <v>105</v>
      </c>
      <c r="Q553" s="4" t="s">
        <v>28</v>
      </c>
      <c r="R553" s="9">
        <f t="shared" si="8"/>
        <v>2.9633390314671163E-4</v>
      </c>
    </row>
    <row r="554" spans="1:18" hidden="1" x14ac:dyDescent="0.2">
      <c r="A554" s="4">
        <v>1304</v>
      </c>
      <c r="B554" s="2">
        <v>14872030</v>
      </c>
      <c r="C554" s="2">
        <v>0</v>
      </c>
      <c r="D554" s="4" t="s">
        <v>1810</v>
      </c>
      <c r="E554" s="2">
        <v>14872030</v>
      </c>
      <c r="F554" s="2">
        <v>2825685.7</v>
      </c>
      <c r="G554" s="2">
        <v>0</v>
      </c>
      <c r="H554" s="4">
        <v>0</v>
      </c>
      <c r="I554" s="4">
        <v>0</v>
      </c>
      <c r="J554" s="4">
        <v>0</v>
      </c>
      <c r="K554" s="4">
        <v>17697715.699999999</v>
      </c>
      <c r="L554" s="4" t="s">
        <v>1808</v>
      </c>
      <c r="M554" s="4" t="s">
        <v>1809</v>
      </c>
      <c r="N554" s="4" t="s">
        <v>20</v>
      </c>
      <c r="O554" s="4" t="s">
        <v>900</v>
      </c>
      <c r="P554" s="4" t="s">
        <v>692</v>
      </c>
      <c r="Q554" s="4" t="s">
        <v>100</v>
      </c>
      <c r="R554" s="9">
        <f t="shared" si="8"/>
        <v>2.9624970162958262E-4</v>
      </c>
    </row>
    <row r="555" spans="1:18" hidden="1" x14ac:dyDescent="0.2">
      <c r="A555" s="4">
        <v>25</v>
      </c>
      <c r="B555" s="2">
        <v>14828981</v>
      </c>
      <c r="C555" s="2">
        <v>0</v>
      </c>
      <c r="D555" s="4" t="s">
        <v>5394</v>
      </c>
      <c r="E555" s="2">
        <v>14828981</v>
      </c>
      <c r="F555" s="2">
        <v>2817506.39</v>
      </c>
      <c r="G555" s="2">
        <v>370724.52</v>
      </c>
      <c r="H555" s="4">
        <v>422625.97</v>
      </c>
      <c r="I555" s="4">
        <v>0</v>
      </c>
      <c r="J555" s="4">
        <v>793350.49</v>
      </c>
      <c r="K555" s="4">
        <v>16853136.899999999</v>
      </c>
      <c r="L555" s="4" t="s">
        <v>5393</v>
      </c>
      <c r="M555" s="4" t="s">
        <v>146</v>
      </c>
      <c r="N555" s="4" t="s">
        <v>112</v>
      </c>
      <c r="O555" s="4" t="s">
        <v>113</v>
      </c>
      <c r="P555" s="4" t="s">
        <v>113</v>
      </c>
      <c r="Q555" s="4" t="s">
        <v>28</v>
      </c>
      <c r="R555" s="9">
        <f t="shared" si="8"/>
        <v>2.9539216883779483E-4</v>
      </c>
    </row>
    <row r="556" spans="1:18" x14ac:dyDescent="0.2">
      <c r="A556" s="4">
        <v>829</v>
      </c>
      <c r="B556" s="2">
        <v>14675272</v>
      </c>
      <c r="C556" s="2">
        <v>29532.09</v>
      </c>
      <c r="D556" s="4" t="s">
        <v>1253</v>
      </c>
      <c r="E556" s="2">
        <v>14645739.91</v>
      </c>
      <c r="F556" s="2">
        <v>2782690.58</v>
      </c>
      <c r="G556" s="2">
        <v>330657.13</v>
      </c>
      <c r="H556" s="4">
        <v>0</v>
      </c>
      <c r="I556" s="4">
        <v>0</v>
      </c>
      <c r="J556" s="4">
        <v>330657.13</v>
      </c>
      <c r="K556" s="4">
        <v>17097773.359999999</v>
      </c>
      <c r="L556" s="4" t="s">
        <v>1252</v>
      </c>
      <c r="M556" s="4" t="s">
        <v>81</v>
      </c>
      <c r="N556" s="4" t="s">
        <v>434</v>
      </c>
      <c r="O556" s="4" t="s">
        <v>382</v>
      </c>
      <c r="P556" s="4" t="s">
        <v>382</v>
      </c>
      <c r="Q556" s="4" t="s">
        <v>28</v>
      </c>
      <c r="R556" s="9">
        <f t="shared" si="8"/>
        <v>2.9174202032150088E-4</v>
      </c>
    </row>
    <row r="557" spans="1:18" hidden="1" x14ac:dyDescent="0.2">
      <c r="A557" s="4">
        <v>863</v>
      </c>
      <c r="B557" s="2">
        <v>14644800</v>
      </c>
      <c r="C557" s="2">
        <v>0</v>
      </c>
      <c r="D557" s="4" t="s">
        <v>5397</v>
      </c>
      <c r="E557" s="2">
        <v>14644800</v>
      </c>
      <c r="F557" s="2">
        <v>2782512</v>
      </c>
      <c r="G557" s="2">
        <v>0</v>
      </c>
      <c r="H557" s="4">
        <v>0</v>
      </c>
      <c r="I557" s="4">
        <v>0</v>
      </c>
      <c r="J557" s="4">
        <v>0</v>
      </c>
      <c r="K557" s="4">
        <v>17427312</v>
      </c>
      <c r="L557" s="4" t="s">
        <v>5395</v>
      </c>
      <c r="M557" s="4" t="s">
        <v>5396</v>
      </c>
      <c r="N557" s="4" t="s">
        <v>186</v>
      </c>
      <c r="O557" s="4" t="s">
        <v>59</v>
      </c>
      <c r="P557" s="4" t="s">
        <v>59</v>
      </c>
      <c r="Q557" s="4" t="s">
        <v>100</v>
      </c>
      <c r="R557" s="9">
        <f t="shared" si="8"/>
        <v>2.9172329738609402E-4</v>
      </c>
    </row>
    <row r="558" spans="1:18" hidden="1" x14ac:dyDescent="0.2">
      <c r="A558" s="4">
        <v>1077</v>
      </c>
      <c r="B558" s="2">
        <v>14664300</v>
      </c>
      <c r="C558" s="2">
        <v>105327.96</v>
      </c>
      <c r="D558" s="4" t="s">
        <v>1884</v>
      </c>
      <c r="E558" s="2">
        <v>14558972.039999999</v>
      </c>
      <c r="F558" s="2">
        <v>2766204.69</v>
      </c>
      <c r="G558" s="2">
        <v>85140.1</v>
      </c>
      <c r="H558" s="4">
        <v>0</v>
      </c>
      <c r="I558" s="4">
        <v>0</v>
      </c>
      <c r="J558" s="4">
        <v>85140.1</v>
      </c>
      <c r="K558" s="4">
        <v>17240036.629999999</v>
      </c>
      <c r="L558" s="4" t="s">
        <v>1882</v>
      </c>
      <c r="M558" s="4" t="s">
        <v>1883</v>
      </c>
      <c r="N558" s="4" t="s">
        <v>245</v>
      </c>
      <c r="O558" s="4" t="s">
        <v>237</v>
      </c>
      <c r="P558" s="4" t="s">
        <v>237</v>
      </c>
      <c r="Q558" s="4" t="s">
        <v>28</v>
      </c>
      <c r="R558" s="9">
        <f t="shared" si="8"/>
        <v>2.9001361097869195E-4</v>
      </c>
    </row>
    <row r="559" spans="1:18" hidden="1" x14ac:dyDescent="0.2">
      <c r="A559" s="4">
        <v>1093</v>
      </c>
      <c r="B559" s="2">
        <v>14475089</v>
      </c>
      <c r="C559" s="2">
        <v>0</v>
      </c>
      <c r="D559" s="4" t="s">
        <v>2348</v>
      </c>
      <c r="E559" s="2">
        <v>14475089</v>
      </c>
      <c r="F559" s="2">
        <v>2750266.91</v>
      </c>
      <c r="G559" s="2">
        <v>234717.8</v>
      </c>
      <c r="H559" s="4">
        <v>0</v>
      </c>
      <c r="I559" s="4">
        <v>0</v>
      </c>
      <c r="J559" s="4">
        <v>234717.8</v>
      </c>
      <c r="K559" s="4">
        <v>16990638.109999999</v>
      </c>
      <c r="L559" s="4" t="s">
        <v>2346</v>
      </c>
      <c r="M559" s="4" t="s">
        <v>2347</v>
      </c>
      <c r="N559" s="4" t="s">
        <v>975</v>
      </c>
      <c r="O559" s="4" t="s">
        <v>89</v>
      </c>
      <c r="P559" s="4" t="s">
        <v>89</v>
      </c>
      <c r="Q559" s="4" t="s">
        <v>100</v>
      </c>
      <c r="R559" s="9">
        <f t="shared" si="8"/>
        <v>2.8834266722913102E-4</v>
      </c>
    </row>
    <row r="560" spans="1:18" hidden="1" x14ac:dyDescent="0.2">
      <c r="A560" s="4">
        <v>638</v>
      </c>
      <c r="B560" s="2">
        <v>14441268</v>
      </c>
      <c r="C560" s="2">
        <v>37910.699999999997</v>
      </c>
      <c r="D560" s="4" t="s">
        <v>1906</v>
      </c>
      <c r="E560" s="2">
        <v>14403357.300000001</v>
      </c>
      <c r="F560" s="2">
        <v>2736637.89</v>
      </c>
      <c r="G560" s="2">
        <v>360083.94</v>
      </c>
      <c r="H560" s="4">
        <v>0</v>
      </c>
      <c r="I560" s="4">
        <v>0</v>
      </c>
      <c r="J560" s="4">
        <v>360083.94</v>
      </c>
      <c r="K560" s="4">
        <v>16779911.25</v>
      </c>
      <c r="L560" s="4" t="s">
        <v>1904</v>
      </c>
      <c r="M560" s="4" t="s">
        <v>1905</v>
      </c>
      <c r="N560" s="4" t="s">
        <v>20</v>
      </c>
      <c r="O560" s="4" t="s">
        <v>1043</v>
      </c>
      <c r="P560" s="4" t="s">
        <v>1043</v>
      </c>
      <c r="Q560" s="4" t="s">
        <v>100</v>
      </c>
      <c r="R560" s="9">
        <f t="shared" si="8"/>
        <v>2.8691377724421422E-4</v>
      </c>
    </row>
    <row r="561" spans="1:18" hidden="1" x14ac:dyDescent="0.2">
      <c r="A561" s="4">
        <v>1969</v>
      </c>
      <c r="B561" s="2">
        <v>14371427</v>
      </c>
      <c r="C561" s="2">
        <v>0</v>
      </c>
      <c r="D561" s="4" t="s">
        <v>5400</v>
      </c>
      <c r="E561" s="2">
        <v>14371427</v>
      </c>
      <c r="F561" s="2">
        <v>2730571.13</v>
      </c>
      <c r="G561" s="2">
        <v>0</v>
      </c>
      <c r="H561" s="4">
        <v>0</v>
      </c>
      <c r="I561" s="4">
        <v>0</v>
      </c>
      <c r="J561" s="4">
        <v>0</v>
      </c>
      <c r="K561" s="4">
        <v>17101998.129999999</v>
      </c>
      <c r="L561" s="4" t="s">
        <v>5398</v>
      </c>
      <c r="M561" s="4" t="s">
        <v>5399</v>
      </c>
      <c r="N561" s="4" t="s">
        <v>472</v>
      </c>
      <c r="O561" s="4" t="s">
        <v>67</v>
      </c>
      <c r="P561" s="4" t="s">
        <v>67</v>
      </c>
      <c r="Q561" s="4" t="s">
        <v>100</v>
      </c>
      <c r="R561" s="9">
        <f t="shared" si="8"/>
        <v>2.8627772810714661E-4</v>
      </c>
    </row>
    <row r="562" spans="1:18" hidden="1" x14ac:dyDescent="0.2">
      <c r="A562" s="4">
        <v>333</v>
      </c>
      <c r="B562" s="2">
        <v>14317836</v>
      </c>
      <c r="C562" s="2">
        <v>0</v>
      </c>
      <c r="D562" s="4" t="s">
        <v>2366</v>
      </c>
      <c r="E562" s="2">
        <v>14317836</v>
      </c>
      <c r="F562" s="2">
        <v>2720388.84</v>
      </c>
      <c r="G562" s="2">
        <v>237239.03</v>
      </c>
      <c r="H562" s="4">
        <v>0</v>
      </c>
      <c r="I562" s="4">
        <v>0</v>
      </c>
      <c r="J562" s="4">
        <v>237239.03</v>
      </c>
      <c r="K562" s="4">
        <v>16800985.809999999</v>
      </c>
      <c r="L562" s="4" t="s">
        <v>2364</v>
      </c>
      <c r="M562" s="4" t="s">
        <v>2365</v>
      </c>
      <c r="N562" s="4" t="s">
        <v>1143</v>
      </c>
      <c r="O562" s="4" t="s">
        <v>386</v>
      </c>
      <c r="P562" s="4" t="s">
        <v>386</v>
      </c>
      <c r="Q562" s="4" t="s">
        <v>585</v>
      </c>
      <c r="R562" s="9">
        <f t="shared" si="8"/>
        <v>2.852101994805885E-4</v>
      </c>
    </row>
    <row r="563" spans="1:18" hidden="1" x14ac:dyDescent="0.2">
      <c r="A563" s="4">
        <v>1209</v>
      </c>
      <c r="B563" s="2">
        <v>14278501</v>
      </c>
      <c r="C563" s="2">
        <v>0</v>
      </c>
      <c r="D563" s="4" t="s">
        <v>2508</v>
      </c>
      <c r="E563" s="2">
        <v>14278501</v>
      </c>
      <c r="F563" s="2">
        <v>2712915.19</v>
      </c>
      <c r="G563" s="2">
        <v>0</v>
      </c>
      <c r="H563" s="4">
        <v>0</v>
      </c>
      <c r="I563" s="4">
        <v>0</v>
      </c>
      <c r="J563" s="4">
        <v>0</v>
      </c>
      <c r="K563" s="4">
        <v>16991416.190000001</v>
      </c>
      <c r="L563" s="4" t="s">
        <v>2506</v>
      </c>
      <c r="M563" s="4" t="s">
        <v>2507</v>
      </c>
      <c r="N563" s="4" t="s">
        <v>20</v>
      </c>
      <c r="O563" s="4" t="s">
        <v>359</v>
      </c>
      <c r="P563" s="4" t="s">
        <v>359</v>
      </c>
      <c r="Q563" s="4" t="s">
        <v>100</v>
      </c>
      <c r="R563" s="9">
        <f t="shared" si="8"/>
        <v>2.8442664928511423E-4</v>
      </c>
    </row>
    <row r="564" spans="1:18" x14ac:dyDescent="0.2">
      <c r="A564" s="4">
        <v>819</v>
      </c>
      <c r="B564" s="2">
        <v>14207864</v>
      </c>
      <c r="C564" s="2">
        <v>0</v>
      </c>
      <c r="D564" s="4" t="s">
        <v>5402</v>
      </c>
      <c r="E564" s="2">
        <v>14207864</v>
      </c>
      <c r="F564" s="2">
        <v>2699494.16</v>
      </c>
      <c r="G564" s="2">
        <v>309135.8</v>
      </c>
      <c r="H564" s="4">
        <v>369731.47</v>
      </c>
      <c r="I564" s="4">
        <v>0</v>
      </c>
      <c r="J564" s="4">
        <v>678867.27</v>
      </c>
      <c r="K564" s="4">
        <v>16228490.890000001</v>
      </c>
      <c r="L564" s="4" t="s">
        <v>5401</v>
      </c>
      <c r="M564" s="4" t="s">
        <v>81</v>
      </c>
      <c r="N564" s="4" t="s">
        <v>867</v>
      </c>
      <c r="O564" s="4" t="s">
        <v>42</v>
      </c>
      <c r="P564" s="4" t="s">
        <v>42</v>
      </c>
      <c r="Q564" s="4" t="s">
        <v>28</v>
      </c>
      <c r="R564" s="9">
        <f t="shared" si="8"/>
        <v>2.8301956564058089E-4</v>
      </c>
    </row>
    <row r="565" spans="1:18" hidden="1" x14ac:dyDescent="0.2">
      <c r="A565" s="4">
        <v>1748</v>
      </c>
      <c r="B565" s="2">
        <v>14199412</v>
      </c>
      <c r="C565" s="2">
        <v>0</v>
      </c>
      <c r="D565" s="4" t="s">
        <v>2502</v>
      </c>
      <c r="E565" s="2">
        <v>14199412</v>
      </c>
      <c r="F565" s="2">
        <v>2697888.28</v>
      </c>
      <c r="G565" s="2">
        <v>0</v>
      </c>
      <c r="H565" s="4">
        <v>0</v>
      </c>
      <c r="I565" s="4">
        <v>0</v>
      </c>
      <c r="J565" s="4">
        <v>0</v>
      </c>
      <c r="K565" s="4">
        <v>16897300.280000001</v>
      </c>
      <c r="L565" s="4" t="s">
        <v>2500</v>
      </c>
      <c r="M565" s="4" t="s">
        <v>2501</v>
      </c>
      <c r="N565" s="4" t="s">
        <v>20</v>
      </c>
      <c r="O565" s="4" t="s">
        <v>372</v>
      </c>
      <c r="P565" s="4" t="s">
        <v>372</v>
      </c>
      <c r="Q565" s="4" t="s">
        <v>100</v>
      </c>
      <c r="R565" s="9">
        <f t="shared" si="8"/>
        <v>2.828512024461701E-4</v>
      </c>
    </row>
    <row r="566" spans="1:18" hidden="1" x14ac:dyDescent="0.2">
      <c r="A566" s="4">
        <v>1804</v>
      </c>
      <c r="B566" s="2">
        <v>14158025</v>
      </c>
      <c r="C566" s="2">
        <v>0</v>
      </c>
      <c r="D566" s="4" t="s">
        <v>1611</v>
      </c>
      <c r="E566" s="2">
        <v>14158025</v>
      </c>
      <c r="F566" s="2">
        <v>2690024.75</v>
      </c>
      <c r="G566" s="2">
        <v>0</v>
      </c>
      <c r="H566" s="4">
        <v>0</v>
      </c>
      <c r="I566" s="4">
        <v>0</v>
      </c>
      <c r="J566" s="4">
        <v>0</v>
      </c>
      <c r="K566" s="4">
        <v>16848049.75</v>
      </c>
      <c r="L566" s="4" t="s">
        <v>1609</v>
      </c>
      <c r="M566" s="4" t="s">
        <v>1610</v>
      </c>
      <c r="N566" s="4" t="s">
        <v>1463</v>
      </c>
      <c r="O566" s="4" t="s">
        <v>105</v>
      </c>
      <c r="P566" s="4" t="s">
        <v>105</v>
      </c>
      <c r="Q566" s="4" t="s">
        <v>100</v>
      </c>
      <c r="R566" s="9">
        <f t="shared" si="8"/>
        <v>2.8202677656743373E-4</v>
      </c>
    </row>
    <row r="567" spans="1:18" hidden="1" x14ac:dyDescent="0.2">
      <c r="A567" s="4">
        <v>1343</v>
      </c>
      <c r="B567" s="2">
        <v>14227051</v>
      </c>
      <c r="C567" s="2">
        <v>77870.34</v>
      </c>
      <c r="D567" s="4" t="s">
        <v>1827</v>
      </c>
      <c r="E567" s="2">
        <v>14149180.66</v>
      </c>
      <c r="F567" s="2">
        <v>2688344.33</v>
      </c>
      <c r="G567" s="2">
        <v>0</v>
      </c>
      <c r="H567" s="4">
        <v>0</v>
      </c>
      <c r="I567" s="4">
        <v>0</v>
      </c>
      <c r="J567" s="4">
        <v>0</v>
      </c>
      <c r="K567" s="4">
        <v>16837524.989999998</v>
      </c>
      <c r="L567" s="4" t="s">
        <v>1825</v>
      </c>
      <c r="M567" s="4" t="s">
        <v>1826</v>
      </c>
      <c r="N567" s="4" t="s">
        <v>20</v>
      </c>
      <c r="O567" s="4" t="s">
        <v>257</v>
      </c>
      <c r="P567" s="4" t="s">
        <v>1039</v>
      </c>
      <c r="Q567" s="4" t="s">
        <v>100</v>
      </c>
      <c r="R567" s="9">
        <f t="shared" si="8"/>
        <v>2.8185059799019105E-4</v>
      </c>
    </row>
    <row r="568" spans="1:18" hidden="1" x14ac:dyDescent="0.2">
      <c r="A568" s="4">
        <v>146</v>
      </c>
      <c r="B568" s="2">
        <v>14143671</v>
      </c>
      <c r="C568" s="2">
        <v>0</v>
      </c>
      <c r="D568" s="4" t="s">
        <v>1760</v>
      </c>
      <c r="E568" s="2">
        <v>14143671</v>
      </c>
      <c r="F568" s="2">
        <v>2687297.49</v>
      </c>
      <c r="G568" s="2">
        <v>0</v>
      </c>
      <c r="H568" s="4">
        <v>0</v>
      </c>
      <c r="I568" s="4">
        <v>0</v>
      </c>
      <c r="J568" s="4">
        <v>0</v>
      </c>
      <c r="K568" s="4">
        <v>16830968.489999998</v>
      </c>
      <c r="L568" s="4" t="s">
        <v>1758</v>
      </c>
      <c r="M568" s="4" t="s">
        <v>1759</v>
      </c>
      <c r="N568" s="4" t="s">
        <v>88</v>
      </c>
      <c r="O568" s="4" t="s">
        <v>89</v>
      </c>
      <c r="P568" s="4" t="s">
        <v>89</v>
      </c>
      <c r="Q568" s="4" t="s">
        <v>100</v>
      </c>
      <c r="R568" s="9">
        <f t="shared" si="8"/>
        <v>2.817408459838355E-4</v>
      </c>
    </row>
    <row r="569" spans="1:18" hidden="1" x14ac:dyDescent="0.2">
      <c r="A569" s="4">
        <v>1054</v>
      </c>
      <c r="B569" s="2">
        <v>14143282</v>
      </c>
      <c r="C569" s="2">
        <v>0</v>
      </c>
      <c r="D569" s="4" t="s">
        <v>1807</v>
      </c>
      <c r="E569" s="2">
        <v>14143282</v>
      </c>
      <c r="F569" s="2">
        <v>2687223.58</v>
      </c>
      <c r="G569" s="2">
        <v>257669.5</v>
      </c>
      <c r="H569" s="4">
        <v>0</v>
      </c>
      <c r="I569" s="4">
        <v>0</v>
      </c>
      <c r="J569" s="4">
        <v>257669.5</v>
      </c>
      <c r="K569" s="4">
        <v>16572836.08</v>
      </c>
      <c r="L569" s="4" t="s">
        <v>1805</v>
      </c>
      <c r="M569" s="4" t="s">
        <v>1806</v>
      </c>
      <c r="N569" s="4" t="s">
        <v>1421</v>
      </c>
      <c r="O569" s="4" t="s">
        <v>76</v>
      </c>
      <c r="P569" s="4" t="s">
        <v>76</v>
      </c>
      <c r="Q569" s="4" t="s">
        <v>1378</v>
      </c>
      <c r="R569" s="9">
        <f t="shared" si="8"/>
        <v>2.8173309713354849E-4</v>
      </c>
    </row>
    <row r="570" spans="1:18" hidden="1" x14ac:dyDescent="0.2">
      <c r="A570" s="4">
        <v>766</v>
      </c>
      <c r="B570" s="2">
        <v>14127828</v>
      </c>
      <c r="C570" s="2">
        <v>0</v>
      </c>
      <c r="D570" s="4" t="s">
        <v>1326</v>
      </c>
      <c r="E570" s="2">
        <v>14127828</v>
      </c>
      <c r="F570" s="2">
        <v>2684287.3199999998</v>
      </c>
      <c r="G570" s="2">
        <v>353195.71</v>
      </c>
      <c r="H570" s="4">
        <v>0</v>
      </c>
      <c r="I570" s="4">
        <v>0</v>
      </c>
      <c r="J570" s="4">
        <v>353195.71</v>
      </c>
      <c r="K570" s="4">
        <v>16458919.609999999</v>
      </c>
      <c r="L570" s="4" t="s">
        <v>1324</v>
      </c>
      <c r="M570" s="4" t="s">
        <v>1325</v>
      </c>
      <c r="N570" s="4" t="s">
        <v>415</v>
      </c>
      <c r="O570" s="4" t="s">
        <v>382</v>
      </c>
      <c r="P570" s="4" t="s">
        <v>382</v>
      </c>
      <c r="Q570" s="4" t="s">
        <v>100</v>
      </c>
      <c r="R570" s="9">
        <f t="shared" si="8"/>
        <v>2.8142525463397148E-4</v>
      </c>
    </row>
    <row r="571" spans="1:18" hidden="1" x14ac:dyDescent="0.2">
      <c r="A571" s="4">
        <v>1537</v>
      </c>
      <c r="B571" s="2">
        <v>14084717</v>
      </c>
      <c r="C571" s="2">
        <v>0</v>
      </c>
      <c r="D571" s="4" t="s">
        <v>2321</v>
      </c>
      <c r="E571" s="2">
        <v>14084717</v>
      </c>
      <c r="F571" s="2">
        <v>2676096.23</v>
      </c>
      <c r="G571" s="2">
        <v>0</v>
      </c>
      <c r="H571" s="4">
        <v>0</v>
      </c>
      <c r="I571" s="4">
        <v>0</v>
      </c>
      <c r="J571" s="4">
        <v>0</v>
      </c>
      <c r="K571" s="4">
        <v>16760813.23</v>
      </c>
      <c r="L571" s="4" t="s">
        <v>2319</v>
      </c>
      <c r="M571" s="4" t="s">
        <v>2320</v>
      </c>
      <c r="N571" s="4" t="s">
        <v>20</v>
      </c>
      <c r="O571" s="4" t="s">
        <v>316</v>
      </c>
      <c r="P571" s="4" t="s">
        <v>316</v>
      </c>
      <c r="Q571" s="4" t="s">
        <v>100</v>
      </c>
      <c r="R571" s="9">
        <f t="shared" si="8"/>
        <v>2.8056648680691942E-4</v>
      </c>
    </row>
    <row r="572" spans="1:18" hidden="1" x14ac:dyDescent="0.2">
      <c r="A572" s="4">
        <v>971</v>
      </c>
      <c r="B572" s="2">
        <v>14073148</v>
      </c>
      <c r="C572" s="2">
        <v>0</v>
      </c>
      <c r="D572" s="4" t="s">
        <v>1984</v>
      </c>
      <c r="E572" s="2">
        <v>14073148</v>
      </c>
      <c r="F572" s="2">
        <v>2673898.12</v>
      </c>
      <c r="G572" s="2">
        <v>0</v>
      </c>
      <c r="H572" s="4">
        <v>0</v>
      </c>
      <c r="I572" s="4">
        <v>0</v>
      </c>
      <c r="J572" s="4">
        <v>0</v>
      </c>
      <c r="K572" s="4">
        <v>16747046.119999999</v>
      </c>
      <c r="L572" s="4" t="s">
        <v>1982</v>
      </c>
      <c r="M572" s="4" t="s">
        <v>1983</v>
      </c>
      <c r="N572" s="4" t="s">
        <v>20</v>
      </c>
      <c r="O572" s="4" t="s">
        <v>631</v>
      </c>
      <c r="P572" s="4" t="s">
        <v>631</v>
      </c>
      <c r="Q572" s="4" t="s">
        <v>100</v>
      </c>
      <c r="R572" s="9">
        <f t="shared" si="8"/>
        <v>2.8033603321059449E-4</v>
      </c>
    </row>
    <row r="573" spans="1:18" hidden="1" x14ac:dyDescent="0.2">
      <c r="A573" s="4">
        <v>60</v>
      </c>
      <c r="B573" s="2">
        <v>14066526</v>
      </c>
      <c r="C573" s="2">
        <v>0</v>
      </c>
      <c r="D573" s="4" t="s">
        <v>1964</v>
      </c>
      <c r="E573" s="2">
        <v>14066526</v>
      </c>
      <c r="F573" s="2">
        <v>2672639.94</v>
      </c>
      <c r="G573" s="2">
        <v>0</v>
      </c>
      <c r="H573" s="4">
        <v>0</v>
      </c>
      <c r="I573" s="4">
        <v>0</v>
      </c>
      <c r="J573" s="4">
        <v>0</v>
      </c>
      <c r="K573" s="4">
        <v>16739165.939999999</v>
      </c>
      <c r="L573" s="4" t="s">
        <v>1962</v>
      </c>
      <c r="M573" s="4" t="s">
        <v>1963</v>
      </c>
      <c r="N573" s="4" t="s">
        <v>20</v>
      </c>
      <c r="O573" s="4" t="s">
        <v>1356</v>
      </c>
      <c r="P573" s="4" t="s">
        <v>1356</v>
      </c>
      <c r="Q573" s="4" t="s">
        <v>100</v>
      </c>
      <c r="R573" s="9">
        <f t="shared" si="8"/>
        <v>2.8020412347640281E-4</v>
      </c>
    </row>
    <row r="574" spans="1:18" hidden="1" x14ac:dyDescent="0.2">
      <c r="A574" s="4">
        <v>718</v>
      </c>
      <c r="B574" s="2">
        <v>14102163</v>
      </c>
      <c r="C574" s="2">
        <v>59810.22</v>
      </c>
      <c r="D574" s="4" t="s">
        <v>1529</v>
      </c>
      <c r="E574" s="2">
        <v>14042352.779999999</v>
      </c>
      <c r="F574" s="2">
        <v>2668047.02</v>
      </c>
      <c r="G574" s="2">
        <v>175302.69</v>
      </c>
      <c r="H574" s="4">
        <v>0</v>
      </c>
      <c r="I574" s="4">
        <v>0</v>
      </c>
      <c r="J574" s="4">
        <v>175302.69</v>
      </c>
      <c r="K574" s="4">
        <v>16535097.109999999</v>
      </c>
      <c r="L574" s="4" t="s">
        <v>1527</v>
      </c>
      <c r="M574" s="4" t="s">
        <v>1528</v>
      </c>
      <c r="N574" s="4" t="s">
        <v>20</v>
      </c>
      <c r="O574" s="4" t="s">
        <v>540</v>
      </c>
      <c r="P574" s="4" t="s">
        <v>540</v>
      </c>
      <c r="Q574" s="4" t="s">
        <v>100</v>
      </c>
      <c r="R574" s="9">
        <f t="shared" si="8"/>
        <v>2.7972259478042607E-4</v>
      </c>
    </row>
    <row r="575" spans="1:18" hidden="1" x14ac:dyDescent="0.2">
      <c r="A575" s="4">
        <v>674</v>
      </c>
      <c r="B575" s="2">
        <v>14022989</v>
      </c>
      <c r="C575" s="2">
        <v>0</v>
      </c>
      <c r="D575" s="4" t="s">
        <v>5405</v>
      </c>
      <c r="E575" s="2">
        <v>14022989</v>
      </c>
      <c r="F575" s="2">
        <v>2664367.91</v>
      </c>
      <c r="G575" s="2">
        <v>212805.58</v>
      </c>
      <c r="H575" s="4">
        <v>0</v>
      </c>
      <c r="I575" s="4">
        <v>0</v>
      </c>
      <c r="J575" s="4">
        <v>212805.58</v>
      </c>
      <c r="K575" s="4">
        <v>16474551.33</v>
      </c>
      <c r="L575" s="4" t="s">
        <v>5403</v>
      </c>
      <c r="M575" s="4" t="s">
        <v>5404</v>
      </c>
      <c r="N575" s="4" t="s">
        <v>20</v>
      </c>
      <c r="O575" s="4" t="s">
        <v>386</v>
      </c>
      <c r="P575" s="4" t="s">
        <v>71</v>
      </c>
      <c r="Q575" s="4" t="s">
        <v>100</v>
      </c>
      <c r="R575" s="9">
        <f t="shared" si="8"/>
        <v>2.7933686976188988E-4</v>
      </c>
    </row>
    <row r="576" spans="1:18" hidden="1" x14ac:dyDescent="0.2">
      <c r="A576" s="4">
        <v>2007</v>
      </c>
      <c r="B576" s="2">
        <v>14017119</v>
      </c>
      <c r="C576" s="2">
        <v>0</v>
      </c>
      <c r="D576" s="4" t="s">
        <v>1591</v>
      </c>
      <c r="E576" s="2">
        <v>14017119</v>
      </c>
      <c r="F576" s="2">
        <v>2663252.61</v>
      </c>
      <c r="G576" s="2">
        <v>0</v>
      </c>
      <c r="H576" s="4">
        <v>0</v>
      </c>
      <c r="I576" s="4">
        <v>0</v>
      </c>
      <c r="J576" s="4">
        <v>0</v>
      </c>
      <c r="K576" s="4">
        <v>16680371.609999999</v>
      </c>
      <c r="L576" s="4" t="s">
        <v>1589</v>
      </c>
      <c r="M576" s="4" t="s">
        <v>1590</v>
      </c>
      <c r="N576" s="4" t="s">
        <v>572</v>
      </c>
      <c r="O576" s="4" t="s">
        <v>105</v>
      </c>
      <c r="P576" s="4" t="s">
        <v>105</v>
      </c>
      <c r="Q576" s="4" t="s">
        <v>100</v>
      </c>
      <c r="R576" s="9">
        <f t="shared" si="8"/>
        <v>2.7921993981025819E-4</v>
      </c>
    </row>
    <row r="577" spans="1:18" hidden="1" x14ac:dyDescent="0.2">
      <c r="A577" s="4">
        <v>1746</v>
      </c>
      <c r="B577" s="2">
        <v>13979128</v>
      </c>
      <c r="C577" s="2">
        <v>0</v>
      </c>
      <c r="D577" s="4" t="s">
        <v>2561</v>
      </c>
      <c r="E577" s="2">
        <v>13979128</v>
      </c>
      <c r="F577" s="2">
        <v>2656034.3199999998</v>
      </c>
      <c r="G577" s="2">
        <v>0</v>
      </c>
      <c r="H577" s="4">
        <v>0</v>
      </c>
      <c r="I577" s="4">
        <v>0</v>
      </c>
      <c r="J577" s="4">
        <v>0</v>
      </c>
      <c r="K577" s="4">
        <v>16635162.32</v>
      </c>
      <c r="L577" s="4" t="s">
        <v>2559</v>
      </c>
      <c r="M577" s="4" t="s">
        <v>2560</v>
      </c>
      <c r="N577" s="4" t="s">
        <v>104</v>
      </c>
      <c r="O577" s="4" t="s">
        <v>105</v>
      </c>
      <c r="P577" s="4" t="s">
        <v>105</v>
      </c>
      <c r="Q577" s="4" t="s">
        <v>100</v>
      </c>
      <c r="R577" s="9">
        <f t="shared" si="8"/>
        <v>2.7846316199212512E-4</v>
      </c>
    </row>
    <row r="578" spans="1:18" hidden="1" x14ac:dyDescent="0.2">
      <c r="A578" s="4">
        <v>57</v>
      </c>
      <c r="B578" s="2">
        <v>13950331</v>
      </c>
      <c r="C578" s="2">
        <v>0</v>
      </c>
      <c r="D578" s="4" t="s">
        <v>1654</v>
      </c>
      <c r="E578" s="2">
        <v>13950331</v>
      </c>
      <c r="F578" s="2">
        <v>2650562.89</v>
      </c>
      <c r="G578" s="2">
        <v>0</v>
      </c>
      <c r="H578" s="4">
        <v>0</v>
      </c>
      <c r="I578" s="4">
        <v>0</v>
      </c>
      <c r="J578" s="4">
        <v>0</v>
      </c>
      <c r="K578" s="4">
        <v>16600893.890000001</v>
      </c>
      <c r="L578" s="4" t="s">
        <v>1652</v>
      </c>
      <c r="M578" s="4" t="s">
        <v>1653</v>
      </c>
      <c r="N578" s="4" t="s">
        <v>20</v>
      </c>
      <c r="O578" s="4" t="s">
        <v>1356</v>
      </c>
      <c r="P578" s="4" t="s">
        <v>1356</v>
      </c>
      <c r="Q578" s="4" t="s">
        <v>100</v>
      </c>
      <c r="R578" s="9">
        <f t="shared" si="8"/>
        <v>2.7788952795172663E-4</v>
      </c>
    </row>
    <row r="579" spans="1:18" hidden="1" x14ac:dyDescent="0.2">
      <c r="A579" s="4">
        <v>598</v>
      </c>
      <c r="B579" s="2">
        <v>13842660</v>
      </c>
      <c r="C579" s="2">
        <v>0</v>
      </c>
      <c r="D579" s="4" t="s">
        <v>2443</v>
      </c>
      <c r="E579" s="2">
        <v>13842660</v>
      </c>
      <c r="F579" s="2">
        <v>2630105.4</v>
      </c>
      <c r="G579" s="2">
        <v>346066.5</v>
      </c>
      <c r="H579" s="4">
        <v>0</v>
      </c>
      <c r="I579" s="4">
        <v>0</v>
      </c>
      <c r="J579" s="4">
        <v>346066.5</v>
      </c>
      <c r="K579" s="4">
        <v>16126698.9</v>
      </c>
      <c r="L579" s="4" t="s">
        <v>2441</v>
      </c>
      <c r="M579" s="4" t="s">
        <v>2442</v>
      </c>
      <c r="N579" s="4" t="s">
        <v>20</v>
      </c>
      <c r="O579" s="4" t="s">
        <v>76</v>
      </c>
      <c r="P579" s="4" t="s">
        <v>76</v>
      </c>
      <c r="Q579" s="4" t="s">
        <v>1378</v>
      </c>
      <c r="R579" s="9">
        <f t="shared" ref="R579:R642" si="9">E579/$E$2034</f>
        <v>2.7574472985596171E-4</v>
      </c>
    </row>
    <row r="580" spans="1:18" hidden="1" x14ac:dyDescent="0.2">
      <c r="A580" s="4">
        <v>1495</v>
      </c>
      <c r="B580" s="2">
        <v>13823434</v>
      </c>
      <c r="C580" s="2">
        <v>0</v>
      </c>
      <c r="D580" s="4" t="s">
        <v>2567</v>
      </c>
      <c r="E580" s="2">
        <v>13823434</v>
      </c>
      <c r="F580" s="2">
        <v>2626452.46</v>
      </c>
      <c r="G580" s="2">
        <v>0</v>
      </c>
      <c r="H580" s="4">
        <v>0</v>
      </c>
      <c r="I580" s="4">
        <v>0</v>
      </c>
      <c r="J580" s="4">
        <v>0</v>
      </c>
      <c r="K580" s="4">
        <v>16449886.460000001</v>
      </c>
      <c r="L580" s="4" t="s">
        <v>2565</v>
      </c>
      <c r="M580" s="4" t="s">
        <v>2566</v>
      </c>
      <c r="N580" s="4" t="s">
        <v>20</v>
      </c>
      <c r="O580" s="4" t="s">
        <v>257</v>
      </c>
      <c r="P580" s="4" t="s">
        <v>257</v>
      </c>
      <c r="Q580" s="4" t="s">
        <v>100</v>
      </c>
      <c r="R580" s="9">
        <f t="shared" si="9"/>
        <v>2.7536174940450146E-4</v>
      </c>
    </row>
    <row r="581" spans="1:18" hidden="1" x14ac:dyDescent="0.2">
      <c r="A581" s="4">
        <v>506</v>
      </c>
      <c r="B581" s="2">
        <v>13813238</v>
      </c>
      <c r="C581" s="2">
        <v>0</v>
      </c>
      <c r="D581" s="4" t="s">
        <v>2659</v>
      </c>
      <c r="E581" s="2">
        <v>13813238</v>
      </c>
      <c r="F581" s="2">
        <v>2624515.2200000002</v>
      </c>
      <c r="G581" s="2">
        <v>248600.7</v>
      </c>
      <c r="H581" s="4">
        <v>0</v>
      </c>
      <c r="I581" s="4">
        <v>0</v>
      </c>
      <c r="J581" s="4">
        <v>248600.7</v>
      </c>
      <c r="K581" s="4">
        <v>16189152.52</v>
      </c>
      <c r="L581" s="4" t="s">
        <v>2657</v>
      </c>
      <c r="M581" s="4" t="s">
        <v>2658</v>
      </c>
      <c r="N581" s="4" t="s">
        <v>20</v>
      </c>
      <c r="O581" s="4" t="s">
        <v>1549</v>
      </c>
      <c r="P581" s="4" t="s">
        <v>1549</v>
      </c>
      <c r="Q581" s="4" t="s">
        <v>100</v>
      </c>
      <c r="R581" s="9">
        <f t="shared" si="9"/>
        <v>2.7515864586330263E-4</v>
      </c>
    </row>
    <row r="582" spans="1:18" hidden="1" x14ac:dyDescent="0.2">
      <c r="A582" s="4">
        <v>1987</v>
      </c>
      <c r="B582" s="2">
        <v>13799364</v>
      </c>
      <c r="C582" s="2">
        <v>0</v>
      </c>
      <c r="D582" s="4" t="s">
        <v>1871</v>
      </c>
      <c r="E582" s="2">
        <v>13799364</v>
      </c>
      <c r="F582" s="2">
        <v>2621879.16</v>
      </c>
      <c r="G582" s="2">
        <v>0</v>
      </c>
      <c r="H582" s="4">
        <v>0</v>
      </c>
      <c r="I582" s="4">
        <v>0</v>
      </c>
      <c r="J582" s="4">
        <v>0</v>
      </c>
      <c r="K582" s="4">
        <v>16421243.16</v>
      </c>
      <c r="L582" s="4" t="s">
        <v>1869</v>
      </c>
      <c r="M582" s="4" t="s">
        <v>1870</v>
      </c>
      <c r="N582" s="4" t="s">
        <v>20</v>
      </c>
      <c r="O582" s="4" t="s">
        <v>1549</v>
      </c>
      <c r="P582" s="4" t="s">
        <v>1549</v>
      </c>
      <c r="Q582" s="4" t="s">
        <v>100</v>
      </c>
      <c r="R582" s="9">
        <f t="shared" si="9"/>
        <v>2.7488227684304052E-4</v>
      </c>
    </row>
    <row r="583" spans="1:18" hidden="1" x14ac:dyDescent="0.2">
      <c r="A583" s="4">
        <v>637</v>
      </c>
      <c r="B583" s="2">
        <v>13768958</v>
      </c>
      <c r="C583" s="2">
        <v>0</v>
      </c>
      <c r="D583" s="4" t="s">
        <v>2230</v>
      </c>
      <c r="E583" s="2">
        <v>13768958</v>
      </c>
      <c r="F583" s="2">
        <v>2616102.02</v>
      </c>
      <c r="G583" s="2">
        <v>318927.05</v>
      </c>
      <c r="H583" s="4">
        <v>0</v>
      </c>
      <c r="I583" s="4">
        <v>0</v>
      </c>
      <c r="J583" s="4">
        <v>318927.05</v>
      </c>
      <c r="K583" s="4">
        <v>16066132.970000001</v>
      </c>
      <c r="L583" s="4" t="s">
        <v>2228</v>
      </c>
      <c r="M583" s="4" t="s">
        <v>2229</v>
      </c>
      <c r="N583" s="4" t="s">
        <v>2231</v>
      </c>
      <c r="O583" s="4" t="s">
        <v>42</v>
      </c>
      <c r="P583" s="4" t="s">
        <v>42</v>
      </c>
      <c r="Q583" s="4" t="s">
        <v>100</v>
      </c>
      <c r="R583" s="9">
        <f t="shared" si="9"/>
        <v>2.7427659164554235E-4</v>
      </c>
    </row>
    <row r="584" spans="1:18" hidden="1" x14ac:dyDescent="0.2">
      <c r="A584" s="4">
        <v>388</v>
      </c>
      <c r="B584" s="2">
        <v>13708623</v>
      </c>
      <c r="C584" s="2">
        <v>0</v>
      </c>
      <c r="D584" s="4" t="s">
        <v>2109</v>
      </c>
      <c r="E584" s="2">
        <v>13708623</v>
      </c>
      <c r="F584" s="2">
        <v>2604638.37</v>
      </c>
      <c r="G584" s="2">
        <v>282423.86</v>
      </c>
      <c r="H584" s="4">
        <v>0</v>
      </c>
      <c r="I584" s="4">
        <v>0</v>
      </c>
      <c r="J584" s="4">
        <v>282423.86</v>
      </c>
      <c r="K584" s="4">
        <v>16030837.51</v>
      </c>
      <c r="L584" s="4" t="s">
        <v>2107</v>
      </c>
      <c r="M584" s="4" t="s">
        <v>2108</v>
      </c>
      <c r="N584" s="4" t="s">
        <v>20</v>
      </c>
      <c r="O584" s="4" t="s">
        <v>1356</v>
      </c>
      <c r="P584" s="4" t="s">
        <v>1356</v>
      </c>
      <c r="Q584" s="4" t="s">
        <v>100</v>
      </c>
      <c r="R584" s="9">
        <f t="shared" si="9"/>
        <v>2.7307472305411126E-4</v>
      </c>
    </row>
    <row r="585" spans="1:18" hidden="1" x14ac:dyDescent="0.2">
      <c r="A585" s="4">
        <v>217</v>
      </c>
      <c r="B585" s="2">
        <v>13685277</v>
      </c>
      <c r="C585" s="2">
        <v>0</v>
      </c>
      <c r="D585" s="4" t="s">
        <v>2054</v>
      </c>
      <c r="E585" s="2">
        <v>13685277</v>
      </c>
      <c r="F585" s="2">
        <v>2600202.63</v>
      </c>
      <c r="G585" s="2">
        <v>0</v>
      </c>
      <c r="H585" s="4">
        <v>0</v>
      </c>
      <c r="I585" s="4">
        <v>0</v>
      </c>
      <c r="J585" s="4">
        <v>0</v>
      </c>
      <c r="K585" s="4">
        <v>16285479.630000001</v>
      </c>
      <c r="L585" s="4" t="s">
        <v>2052</v>
      </c>
      <c r="M585" s="4" t="s">
        <v>2053</v>
      </c>
      <c r="N585" s="4" t="s">
        <v>272</v>
      </c>
      <c r="O585" s="4" t="s">
        <v>89</v>
      </c>
      <c r="P585" s="4" t="s">
        <v>89</v>
      </c>
      <c r="Q585" s="4" t="s">
        <v>100</v>
      </c>
      <c r="R585" s="9">
        <f t="shared" si="9"/>
        <v>2.7260967251734898E-4</v>
      </c>
    </row>
    <row r="586" spans="1:18" hidden="1" x14ac:dyDescent="0.2">
      <c r="A586" s="4">
        <v>1253</v>
      </c>
      <c r="B586" s="2">
        <v>13683821</v>
      </c>
      <c r="C586" s="2">
        <v>0</v>
      </c>
      <c r="D586" s="4" t="s">
        <v>1651</v>
      </c>
      <c r="E586" s="2">
        <v>13683821</v>
      </c>
      <c r="F586" s="2">
        <v>2599925.9900000002</v>
      </c>
      <c r="G586" s="2">
        <v>87673.58</v>
      </c>
      <c r="H586" s="4">
        <v>0</v>
      </c>
      <c r="I586" s="4">
        <v>0</v>
      </c>
      <c r="J586" s="4">
        <v>87673.58</v>
      </c>
      <c r="K586" s="4">
        <v>16196073.41</v>
      </c>
      <c r="L586" s="4" t="s">
        <v>1649</v>
      </c>
      <c r="M586" s="4" t="s">
        <v>1650</v>
      </c>
      <c r="N586" s="4" t="s">
        <v>1269</v>
      </c>
      <c r="O586" s="4" t="s">
        <v>105</v>
      </c>
      <c r="P586" s="4" t="s">
        <v>105</v>
      </c>
      <c r="Q586" s="4" t="s">
        <v>100</v>
      </c>
      <c r="R586" s="9">
        <f t="shared" si="9"/>
        <v>2.7258066910856263E-4</v>
      </c>
    </row>
    <row r="587" spans="1:18" hidden="1" x14ac:dyDescent="0.2">
      <c r="A587" s="4">
        <v>912</v>
      </c>
      <c r="B587" s="2">
        <v>13644191</v>
      </c>
      <c r="C587" s="2">
        <v>0</v>
      </c>
      <c r="D587" s="4" t="s">
        <v>1804</v>
      </c>
      <c r="E587" s="2">
        <v>13644191</v>
      </c>
      <c r="F587" s="2">
        <v>2592396.29</v>
      </c>
      <c r="G587" s="2">
        <v>175690.26</v>
      </c>
      <c r="H587" s="4">
        <v>0</v>
      </c>
      <c r="I587" s="4">
        <v>0</v>
      </c>
      <c r="J587" s="4">
        <v>175690.26</v>
      </c>
      <c r="K587" s="4">
        <v>16060897.029999999</v>
      </c>
      <c r="L587" s="4" t="s">
        <v>1802</v>
      </c>
      <c r="M587" s="4" t="s">
        <v>1803</v>
      </c>
      <c r="N587" s="4" t="s">
        <v>1553</v>
      </c>
      <c r="O587" s="4" t="s">
        <v>747</v>
      </c>
      <c r="P587" s="4" t="s">
        <v>747</v>
      </c>
      <c r="Q587" s="4" t="s">
        <v>100</v>
      </c>
      <c r="R587" s="9">
        <f t="shared" si="9"/>
        <v>2.7179124253562137E-4</v>
      </c>
    </row>
    <row r="588" spans="1:18" hidden="1" x14ac:dyDescent="0.2">
      <c r="A588" s="4">
        <v>669</v>
      </c>
      <c r="B588" s="2">
        <v>13681084</v>
      </c>
      <c r="C588" s="2">
        <v>38665.56</v>
      </c>
      <c r="D588" s="4" t="s">
        <v>2280</v>
      </c>
      <c r="E588" s="2">
        <v>13642418.439999999</v>
      </c>
      <c r="F588" s="2">
        <v>2592059.5</v>
      </c>
      <c r="G588" s="2">
        <v>274326.34000000003</v>
      </c>
      <c r="H588" s="4">
        <v>0</v>
      </c>
      <c r="I588" s="4">
        <v>0</v>
      </c>
      <c r="J588" s="4">
        <v>274326.34000000003</v>
      </c>
      <c r="K588" s="4">
        <v>15960151.6</v>
      </c>
      <c r="L588" s="4" t="s">
        <v>2278</v>
      </c>
      <c r="M588" s="4" t="s">
        <v>2279</v>
      </c>
      <c r="N588" s="4" t="s">
        <v>20</v>
      </c>
      <c r="O588" s="4" t="s">
        <v>540</v>
      </c>
      <c r="P588" s="4" t="s">
        <v>540</v>
      </c>
      <c r="Q588" s="4" t="s">
        <v>100</v>
      </c>
      <c r="R588" s="9">
        <f t="shared" si="9"/>
        <v>2.717559332758148E-4</v>
      </c>
    </row>
    <row r="589" spans="1:18" hidden="1" x14ac:dyDescent="0.2">
      <c r="A589" s="4">
        <v>1454</v>
      </c>
      <c r="B589" s="2">
        <v>13558600</v>
      </c>
      <c r="C589" s="2">
        <v>0</v>
      </c>
      <c r="D589" s="4" t="s">
        <v>5408</v>
      </c>
      <c r="E589" s="2">
        <v>13558600</v>
      </c>
      <c r="F589" s="2">
        <v>2576134</v>
      </c>
      <c r="G589" s="2">
        <v>338965</v>
      </c>
      <c r="H589" s="4">
        <v>0</v>
      </c>
      <c r="I589" s="4">
        <v>0</v>
      </c>
      <c r="J589" s="4">
        <v>338965</v>
      </c>
      <c r="K589" s="4">
        <v>15795769</v>
      </c>
      <c r="L589" s="4" t="s">
        <v>5406</v>
      </c>
      <c r="M589" s="4" t="s">
        <v>5407</v>
      </c>
      <c r="N589" s="4" t="s">
        <v>1553</v>
      </c>
      <c r="O589" s="4" t="s">
        <v>76</v>
      </c>
      <c r="P589" s="4" t="s">
        <v>76</v>
      </c>
      <c r="Q589" s="4" t="s">
        <v>585</v>
      </c>
      <c r="R589" s="9">
        <f t="shared" si="9"/>
        <v>2.7008627635331957E-4</v>
      </c>
    </row>
    <row r="590" spans="1:18" hidden="1" x14ac:dyDescent="0.2">
      <c r="A590" s="4">
        <v>403</v>
      </c>
      <c r="B590" s="2">
        <v>13534232</v>
      </c>
      <c r="C590" s="2">
        <v>0</v>
      </c>
      <c r="D590" s="4" t="s">
        <v>1792</v>
      </c>
      <c r="E590" s="2">
        <v>13534232</v>
      </c>
      <c r="F590" s="2">
        <v>2571504.08</v>
      </c>
      <c r="G590" s="2">
        <v>148939.07999999999</v>
      </c>
      <c r="H590" s="4">
        <v>0</v>
      </c>
      <c r="I590" s="4">
        <v>0</v>
      </c>
      <c r="J590" s="4">
        <v>148939.07999999999</v>
      </c>
      <c r="K590" s="4">
        <v>15956797</v>
      </c>
      <c r="L590" s="4" t="s">
        <v>1790</v>
      </c>
      <c r="M590" s="4" t="s">
        <v>1791</v>
      </c>
      <c r="N590" s="4" t="s">
        <v>88</v>
      </c>
      <c r="O590" s="4" t="s">
        <v>76</v>
      </c>
      <c r="P590" s="4" t="s">
        <v>76</v>
      </c>
      <c r="Q590" s="4" t="s">
        <v>408</v>
      </c>
      <c r="R590" s="9">
        <f t="shared" si="9"/>
        <v>2.6960086765462078E-4</v>
      </c>
    </row>
    <row r="591" spans="1:18" hidden="1" x14ac:dyDescent="0.2">
      <c r="A591" s="4">
        <v>1838</v>
      </c>
      <c r="B591" s="2">
        <v>13533856</v>
      </c>
      <c r="C591" s="2">
        <v>0</v>
      </c>
      <c r="D591" s="4" t="s">
        <v>1279</v>
      </c>
      <c r="E591" s="2">
        <v>13533856</v>
      </c>
      <c r="F591" s="2">
        <v>2571432.64</v>
      </c>
      <c r="G591" s="2">
        <v>281015.59999999998</v>
      </c>
      <c r="H591" s="4">
        <v>-53310.99</v>
      </c>
      <c r="I591" s="4">
        <v>0</v>
      </c>
      <c r="J591" s="4">
        <v>227704.61</v>
      </c>
      <c r="K591" s="4">
        <v>15877584.029999999</v>
      </c>
      <c r="L591" s="4" t="s">
        <v>1278</v>
      </c>
      <c r="M591" s="4" t="s">
        <v>61</v>
      </c>
      <c r="N591" s="4" t="s">
        <v>1280</v>
      </c>
      <c r="O591" s="4" t="s">
        <v>33</v>
      </c>
      <c r="P591" s="4" t="s">
        <v>33</v>
      </c>
      <c r="Q591" s="4" t="s">
        <v>28</v>
      </c>
      <c r="R591" s="9">
        <f t="shared" si="9"/>
        <v>2.6959337776334078E-4</v>
      </c>
    </row>
    <row r="592" spans="1:18" hidden="1" x14ac:dyDescent="0.2">
      <c r="A592" s="4">
        <v>1091</v>
      </c>
      <c r="B592" s="2">
        <v>13512248</v>
      </c>
      <c r="C592" s="2">
        <v>0</v>
      </c>
      <c r="D592" s="4" t="s">
        <v>1940</v>
      </c>
      <c r="E592" s="2">
        <v>13512248</v>
      </c>
      <c r="F592" s="2">
        <v>2567327.12</v>
      </c>
      <c r="G592" s="2">
        <v>192619.03</v>
      </c>
      <c r="H592" s="4">
        <v>0</v>
      </c>
      <c r="I592" s="4">
        <v>0</v>
      </c>
      <c r="J592" s="4">
        <v>192619.03</v>
      </c>
      <c r="K592" s="4">
        <v>15886956.09</v>
      </c>
      <c r="L592" s="4" t="s">
        <v>1938</v>
      </c>
      <c r="M592" s="4" t="s">
        <v>1939</v>
      </c>
      <c r="N592" s="4" t="s">
        <v>88</v>
      </c>
      <c r="O592" s="4" t="s">
        <v>89</v>
      </c>
      <c r="P592" s="4" t="s">
        <v>89</v>
      </c>
      <c r="Q592" s="4" t="s">
        <v>100</v>
      </c>
      <c r="R592" s="9">
        <f t="shared" si="9"/>
        <v>2.6916294805382483E-4</v>
      </c>
    </row>
    <row r="593" spans="1:18" hidden="1" x14ac:dyDescent="0.2">
      <c r="A593" s="4">
        <v>872</v>
      </c>
      <c r="B593" s="2">
        <v>13506518</v>
      </c>
      <c r="C593" s="2">
        <v>0</v>
      </c>
      <c r="D593" s="4" t="s">
        <v>490</v>
      </c>
      <c r="E593" s="2">
        <v>13506518</v>
      </c>
      <c r="F593" s="2">
        <v>0</v>
      </c>
      <c r="G593" s="2">
        <v>0</v>
      </c>
      <c r="H593" s="4">
        <v>0</v>
      </c>
      <c r="I593" s="4">
        <v>0</v>
      </c>
      <c r="J593" s="4">
        <v>0</v>
      </c>
      <c r="K593" s="4">
        <v>13506518</v>
      </c>
      <c r="L593" s="4" t="s">
        <v>488</v>
      </c>
      <c r="M593" s="4" t="s">
        <v>489</v>
      </c>
      <c r="N593" s="4" t="s">
        <v>205</v>
      </c>
      <c r="O593" s="4" t="s">
        <v>206</v>
      </c>
      <c r="P593" s="4" t="s">
        <v>206</v>
      </c>
      <c r="Q593" s="4" t="s">
        <v>100</v>
      </c>
      <c r="R593" s="9">
        <f t="shared" si="9"/>
        <v>2.690488068914995E-4</v>
      </c>
    </row>
    <row r="594" spans="1:18" hidden="1" x14ac:dyDescent="0.2">
      <c r="A594" s="4">
        <v>2026</v>
      </c>
      <c r="B594" s="2">
        <v>13399354</v>
      </c>
      <c r="C594" s="2">
        <v>0</v>
      </c>
      <c r="D594" s="4" t="s">
        <v>2429</v>
      </c>
      <c r="E594" s="2">
        <v>13399354</v>
      </c>
      <c r="F594" s="2">
        <v>2545877.2599999998</v>
      </c>
      <c r="G594" s="2">
        <v>0</v>
      </c>
      <c r="H594" s="4">
        <v>0</v>
      </c>
      <c r="I594" s="4">
        <v>0</v>
      </c>
      <c r="J594" s="4">
        <v>0</v>
      </c>
      <c r="K594" s="4">
        <v>15945231.26</v>
      </c>
      <c r="L594" s="4" t="s">
        <v>2427</v>
      </c>
      <c r="M594" s="4" t="s">
        <v>2428</v>
      </c>
      <c r="N594" s="4" t="s">
        <v>20</v>
      </c>
      <c r="O594" s="4" t="s">
        <v>257</v>
      </c>
      <c r="P594" s="4" t="s">
        <v>257</v>
      </c>
      <c r="Q594" s="4" t="s">
        <v>100</v>
      </c>
      <c r="R594" s="9">
        <f t="shared" si="9"/>
        <v>2.6691410819700841E-4</v>
      </c>
    </row>
    <row r="595" spans="1:18" hidden="1" x14ac:dyDescent="0.2">
      <c r="A595" s="4">
        <v>1521</v>
      </c>
      <c r="B595" s="2">
        <v>13374108</v>
      </c>
      <c r="C595" s="2">
        <v>0</v>
      </c>
      <c r="D595" s="4" t="s">
        <v>2088</v>
      </c>
      <c r="E595" s="2">
        <v>13374108</v>
      </c>
      <c r="F595" s="2">
        <v>2541080.52</v>
      </c>
      <c r="G595" s="2">
        <v>0</v>
      </c>
      <c r="H595" s="4">
        <v>0</v>
      </c>
      <c r="I595" s="4">
        <v>0</v>
      </c>
      <c r="J595" s="4">
        <v>0</v>
      </c>
      <c r="K595" s="4">
        <v>15915188.52</v>
      </c>
      <c r="L595" s="4" t="s">
        <v>2086</v>
      </c>
      <c r="M595" s="4" t="s">
        <v>2087</v>
      </c>
      <c r="N595" s="4" t="s">
        <v>276</v>
      </c>
      <c r="O595" s="4" t="s">
        <v>105</v>
      </c>
      <c r="P595" s="4" t="s">
        <v>105</v>
      </c>
      <c r="Q595" s="4" t="s">
        <v>100</v>
      </c>
      <c r="R595" s="9">
        <f t="shared" si="9"/>
        <v>2.6641120980537385E-4</v>
      </c>
    </row>
    <row r="596" spans="1:18" hidden="1" x14ac:dyDescent="0.2">
      <c r="A596" s="4">
        <v>548</v>
      </c>
      <c r="B596" s="2">
        <v>13368060</v>
      </c>
      <c r="C596" s="2">
        <v>0</v>
      </c>
      <c r="D596" s="4" t="s">
        <v>2120</v>
      </c>
      <c r="E596" s="2">
        <v>13368060</v>
      </c>
      <c r="F596" s="2">
        <v>2539931.4</v>
      </c>
      <c r="G596" s="2">
        <v>92475.75</v>
      </c>
      <c r="H596" s="4">
        <v>0</v>
      </c>
      <c r="I596" s="4">
        <v>0</v>
      </c>
      <c r="J596" s="4">
        <v>92475.75</v>
      </c>
      <c r="K596" s="4">
        <v>15815515.65</v>
      </c>
      <c r="L596" s="4" t="s">
        <v>2118</v>
      </c>
      <c r="M596" s="4" t="s">
        <v>2119</v>
      </c>
      <c r="N596" s="4" t="s">
        <v>1143</v>
      </c>
      <c r="O596" s="4" t="s">
        <v>340</v>
      </c>
      <c r="P596" s="4" t="s">
        <v>340</v>
      </c>
      <c r="Q596" s="4" t="s">
        <v>100</v>
      </c>
      <c r="R596" s="9">
        <f t="shared" si="9"/>
        <v>2.6629073410733831E-4</v>
      </c>
    </row>
    <row r="597" spans="1:18" hidden="1" x14ac:dyDescent="0.2">
      <c r="A597" s="4">
        <v>1276</v>
      </c>
      <c r="B597" s="2">
        <v>13360474</v>
      </c>
      <c r="C597" s="2">
        <v>0</v>
      </c>
      <c r="D597" s="4" t="s">
        <v>2417</v>
      </c>
      <c r="E597" s="2">
        <v>13360474</v>
      </c>
      <c r="F597" s="2">
        <v>2538490.06</v>
      </c>
      <c r="G597" s="2">
        <v>0</v>
      </c>
      <c r="H597" s="4">
        <v>0</v>
      </c>
      <c r="I597" s="4">
        <v>0</v>
      </c>
      <c r="J597" s="4">
        <v>0</v>
      </c>
      <c r="K597" s="4">
        <v>15898964.060000001</v>
      </c>
      <c r="L597" s="4" t="s">
        <v>2415</v>
      </c>
      <c r="M597" s="4" t="s">
        <v>2416</v>
      </c>
      <c r="N597" s="4" t="s">
        <v>975</v>
      </c>
      <c r="O597" s="4" t="s">
        <v>89</v>
      </c>
      <c r="P597" s="4" t="s">
        <v>89</v>
      </c>
      <c r="Q597" s="4" t="s">
        <v>100</v>
      </c>
      <c r="R597" s="9">
        <f t="shared" si="9"/>
        <v>2.661396215667798E-4</v>
      </c>
    </row>
    <row r="598" spans="1:18" hidden="1" x14ac:dyDescent="0.2">
      <c r="A598" s="4">
        <v>1329</v>
      </c>
      <c r="B598" s="2">
        <v>13285276</v>
      </c>
      <c r="C598" s="2">
        <v>0</v>
      </c>
      <c r="D598" s="4" t="s">
        <v>1548</v>
      </c>
      <c r="E598" s="2">
        <v>13285276</v>
      </c>
      <c r="F598" s="2">
        <v>2524202.44</v>
      </c>
      <c r="G598" s="2">
        <v>0</v>
      </c>
      <c r="H598" s="4">
        <v>0</v>
      </c>
      <c r="I598" s="4">
        <v>0</v>
      </c>
      <c r="J598" s="4">
        <v>0</v>
      </c>
      <c r="K598" s="4">
        <v>15809478.439999999</v>
      </c>
      <c r="L598" s="4" t="s">
        <v>1546</v>
      </c>
      <c r="M598" s="4" t="s">
        <v>1547</v>
      </c>
      <c r="N598" s="4" t="s">
        <v>20</v>
      </c>
      <c r="O598" s="4" t="s">
        <v>1549</v>
      </c>
      <c r="P598" s="4" t="s">
        <v>1549</v>
      </c>
      <c r="Q598" s="4" t="s">
        <v>100</v>
      </c>
      <c r="R598" s="9">
        <f t="shared" si="9"/>
        <v>2.6464168315062941E-4</v>
      </c>
    </row>
    <row r="599" spans="1:18" hidden="1" x14ac:dyDescent="0.2">
      <c r="A599" s="4">
        <v>1724</v>
      </c>
      <c r="B599" s="2">
        <v>13265700</v>
      </c>
      <c r="C599" s="2">
        <v>0</v>
      </c>
      <c r="D599" s="4" t="s">
        <v>1365</v>
      </c>
      <c r="E599" s="2">
        <v>13265700</v>
      </c>
      <c r="F599" s="2">
        <v>2520483</v>
      </c>
      <c r="G599" s="2">
        <v>193518.05</v>
      </c>
      <c r="H599" s="4">
        <v>0</v>
      </c>
      <c r="I599" s="4">
        <v>0</v>
      </c>
      <c r="J599" s="4">
        <v>193518.05</v>
      </c>
      <c r="K599" s="4">
        <v>15592664.949999999</v>
      </c>
      <c r="L599" s="4" t="s">
        <v>1363</v>
      </c>
      <c r="M599" s="4" t="s">
        <v>1364</v>
      </c>
      <c r="N599" s="4" t="s">
        <v>1366</v>
      </c>
      <c r="O599" s="4" t="s">
        <v>59</v>
      </c>
      <c r="P599" s="4" t="s">
        <v>59</v>
      </c>
      <c r="Q599" s="4" t="s">
        <v>100</v>
      </c>
      <c r="R599" s="9">
        <f t="shared" si="9"/>
        <v>2.642517307259032E-4</v>
      </c>
    </row>
    <row r="600" spans="1:18" hidden="1" x14ac:dyDescent="0.2">
      <c r="A600" s="4">
        <v>244</v>
      </c>
      <c r="B600" s="2">
        <v>13230183</v>
      </c>
      <c r="C600" s="2">
        <v>0</v>
      </c>
      <c r="D600" s="4" t="s">
        <v>2015</v>
      </c>
      <c r="E600" s="2">
        <v>13230183</v>
      </c>
      <c r="F600" s="2">
        <v>2513734.77</v>
      </c>
      <c r="G600" s="2">
        <v>0</v>
      </c>
      <c r="H600" s="4">
        <v>0</v>
      </c>
      <c r="I600" s="4">
        <v>0</v>
      </c>
      <c r="J600" s="4">
        <v>0</v>
      </c>
      <c r="K600" s="4">
        <v>15743917.77</v>
      </c>
      <c r="L600" s="4" t="s">
        <v>2013</v>
      </c>
      <c r="M600" s="4" t="s">
        <v>2014</v>
      </c>
      <c r="N600" s="4" t="s">
        <v>20</v>
      </c>
      <c r="O600" s="4" t="s">
        <v>316</v>
      </c>
      <c r="P600" s="4" t="s">
        <v>316</v>
      </c>
      <c r="Q600" s="4" t="s">
        <v>100</v>
      </c>
      <c r="R600" s="9">
        <f t="shared" si="9"/>
        <v>2.6354423479879856E-4</v>
      </c>
    </row>
    <row r="601" spans="1:18" hidden="1" x14ac:dyDescent="0.2">
      <c r="A601" s="4">
        <v>1101</v>
      </c>
      <c r="B601" s="2">
        <v>13195361</v>
      </c>
      <c r="C601" s="2">
        <v>0</v>
      </c>
      <c r="D601" s="4" t="s">
        <v>2496</v>
      </c>
      <c r="E601" s="2">
        <v>13195361</v>
      </c>
      <c r="F601" s="2">
        <v>2507118.59</v>
      </c>
      <c r="G601" s="2">
        <v>183053.31</v>
      </c>
      <c r="H601" s="4">
        <v>0</v>
      </c>
      <c r="I601" s="4">
        <v>0</v>
      </c>
      <c r="J601" s="4">
        <v>183053.31</v>
      </c>
      <c r="K601" s="4">
        <v>15519426.279999999</v>
      </c>
      <c r="L601" s="4" t="s">
        <v>2494</v>
      </c>
      <c r="M601" s="4" t="s">
        <v>2495</v>
      </c>
      <c r="N601" s="4" t="s">
        <v>572</v>
      </c>
      <c r="O601" s="4" t="s">
        <v>105</v>
      </c>
      <c r="P601" s="4" t="s">
        <v>105</v>
      </c>
      <c r="Q601" s="4" t="s">
        <v>100</v>
      </c>
      <c r="R601" s="9">
        <f t="shared" si="9"/>
        <v>2.6285058321860776E-4</v>
      </c>
    </row>
    <row r="602" spans="1:18" hidden="1" x14ac:dyDescent="0.2">
      <c r="A602" s="4">
        <v>1096</v>
      </c>
      <c r="B602" s="2">
        <v>13199391</v>
      </c>
      <c r="C602" s="2">
        <v>37075.800000000003</v>
      </c>
      <c r="D602" s="4" t="s">
        <v>1952</v>
      </c>
      <c r="E602" s="2">
        <v>13162315.199999999</v>
      </c>
      <c r="F602" s="2">
        <v>2500839.89</v>
      </c>
      <c r="G602" s="2">
        <v>60971.4</v>
      </c>
      <c r="H602" s="4">
        <v>0</v>
      </c>
      <c r="I602" s="4">
        <v>0</v>
      </c>
      <c r="J602" s="4">
        <v>60971.4</v>
      </c>
      <c r="K602" s="4">
        <v>15602183.689999999</v>
      </c>
      <c r="L602" s="4" t="s">
        <v>1950</v>
      </c>
      <c r="M602" s="4" t="s">
        <v>1951</v>
      </c>
      <c r="N602" s="4" t="s">
        <v>1107</v>
      </c>
      <c r="O602" s="4" t="s">
        <v>89</v>
      </c>
      <c r="P602" s="4" t="s">
        <v>89</v>
      </c>
      <c r="Q602" s="4" t="s">
        <v>100</v>
      </c>
      <c r="R602" s="9">
        <f t="shared" si="9"/>
        <v>2.6219231340674545E-4</v>
      </c>
    </row>
    <row r="603" spans="1:18" hidden="1" x14ac:dyDescent="0.2">
      <c r="A603" s="4">
        <v>171</v>
      </c>
      <c r="B603" s="2">
        <v>13093069</v>
      </c>
      <c r="C603" s="2">
        <v>0</v>
      </c>
      <c r="D603" s="4" t="s">
        <v>2588</v>
      </c>
      <c r="E603" s="2">
        <v>13093069</v>
      </c>
      <c r="F603" s="2">
        <v>2487683.11</v>
      </c>
      <c r="G603" s="2">
        <v>0</v>
      </c>
      <c r="H603" s="4">
        <v>0</v>
      </c>
      <c r="I603" s="4">
        <v>0</v>
      </c>
      <c r="J603" s="4">
        <v>0</v>
      </c>
      <c r="K603" s="4">
        <v>15580752.109999999</v>
      </c>
      <c r="L603" s="4" t="s">
        <v>2586</v>
      </c>
      <c r="M603" s="4" t="s">
        <v>2587</v>
      </c>
      <c r="N603" s="4" t="s">
        <v>20</v>
      </c>
      <c r="O603" s="4" t="s">
        <v>316</v>
      </c>
      <c r="P603" s="4" t="s">
        <v>316</v>
      </c>
      <c r="Q603" s="4" t="s">
        <v>100</v>
      </c>
      <c r="R603" s="9">
        <f t="shared" si="9"/>
        <v>2.6081293439197864E-4</v>
      </c>
    </row>
    <row r="604" spans="1:18" hidden="1" x14ac:dyDescent="0.2">
      <c r="A604" s="4">
        <v>1426</v>
      </c>
      <c r="B604" s="2">
        <v>13090314</v>
      </c>
      <c r="C604" s="2">
        <v>0</v>
      </c>
      <c r="D604" s="4" t="s">
        <v>4667</v>
      </c>
      <c r="E604" s="2">
        <v>13090314</v>
      </c>
      <c r="F604" s="2">
        <v>2487159.66</v>
      </c>
      <c r="G604" s="2">
        <v>177346.33</v>
      </c>
      <c r="H604" s="4">
        <v>0</v>
      </c>
      <c r="I604" s="4">
        <v>0</v>
      </c>
      <c r="J604" s="4">
        <v>177346.33</v>
      </c>
      <c r="K604" s="4">
        <v>15400127.33</v>
      </c>
      <c r="L604" s="4" t="s">
        <v>4665</v>
      </c>
      <c r="M604" s="4" t="s">
        <v>4666</v>
      </c>
      <c r="N604" s="4" t="s">
        <v>20</v>
      </c>
      <c r="O604" s="4" t="s">
        <v>1891</v>
      </c>
      <c r="P604" s="4" t="s">
        <v>386</v>
      </c>
      <c r="Q604" s="4" t="s">
        <v>585</v>
      </c>
      <c r="R604" s="9">
        <f t="shared" si="9"/>
        <v>2.607580550024138E-4</v>
      </c>
    </row>
    <row r="605" spans="1:18" hidden="1" x14ac:dyDescent="0.2">
      <c r="A605" s="4">
        <v>1776</v>
      </c>
      <c r="B605" s="2">
        <v>13071146</v>
      </c>
      <c r="C605" s="2">
        <v>0</v>
      </c>
      <c r="D605" s="4" t="s">
        <v>2311</v>
      </c>
      <c r="E605" s="2">
        <v>13071146</v>
      </c>
      <c r="F605" s="2">
        <v>2483517.7400000002</v>
      </c>
      <c r="G605" s="2">
        <v>0</v>
      </c>
      <c r="H605" s="4">
        <v>0</v>
      </c>
      <c r="I605" s="4">
        <v>0</v>
      </c>
      <c r="J605" s="4">
        <v>0</v>
      </c>
      <c r="K605" s="4">
        <v>15554663.74</v>
      </c>
      <c r="L605" s="4" t="s">
        <v>2309</v>
      </c>
      <c r="M605" s="4" t="s">
        <v>2310</v>
      </c>
      <c r="N605" s="4" t="s">
        <v>2312</v>
      </c>
      <c r="O605" s="4" t="s">
        <v>747</v>
      </c>
      <c r="P605" s="4" t="s">
        <v>747</v>
      </c>
      <c r="Q605" s="4" t="s">
        <v>100</v>
      </c>
      <c r="R605" s="9">
        <f t="shared" si="9"/>
        <v>2.6037622990652333E-4</v>
      </c>
    </row>
    <row r="606" spans="1:18" hidden="1" x14ac:dyDescent="0.2">
      <c r="A606" s="4">
        <v>956</v>
      </c>
      <c r="B606" s="2">
        <v>13058081</v>
      </c>
      <c r="C606" s="2">
        <v>0</v>
      </c>
      <c r="D606" s="4" t="s">
        <v>1849</v>
      </c>
      <c r="E606" s="2">
        <v>13058081</v>
      </c>
      <c r="F606" s="2">
        <v>2481035.39</v>
      </c>
      <c r="G606" s="2">
        <v>0</v>
      </c>
      <c r="H606" s="4">
        <v>0</v>
      </c>
      <c r="I606" s="4">
        <v>0</v>
      </c>
      <c r="J606" s="4">
        <v>0</v>
      </c>
      <c r="K606" s="4">
        <v>15539116.390000001</v>
      </c>
      <c r="L606" s="4" t="s">
        <v>1847</v>
      </c>
      <c r="M606" s="4" t="s">
        <v>1848</v>
      </c>
      <c r="N606" s="4" t="s">
        <v>20</v>
      </c>
      <c r="O606" s="4" t="s">
        <v>316</v>
      </c>
      <c r="P606" s="4" t="s">
        <v>316</v>
      </c>
      <c r="Q606" s="4" t="s">
        <v>100</v>
      </c>
      <c r="R606" s="9">
        <f t="shared" si="9"/>
        <v>2.6011597610446738E-4</v>
      </c>
    </row>
    <row r="607" spans="1:18" hidden="1" x14ac:dyDescent="0.2">
      <c r="A607" s="4">
        <v>526</v>
      </c>
      <c r="B607" s="2">
        <v>13288101</v>
      </c>
      <c r="C607" s="2">
        <v>301288.82</v>
      </c>
      <c r="D607" s="4" t="s">
        <v>2931</v>
      </c>
      <c r="E607" s="2">
        <v>12986812.18</v>
      </c>
      <c r="F607" s="2">
        <v>2467494.3199999998</v>
      </c>
      <c r="G607" s="2">
        <v>79407.27</v>
      </c>
      <c r="H607" s="4">
        <v>0</v>
      </c>
      <c r="I607" s="4">
        <v>0</v>
      </c>
      <c r="J607" s="4">
        <v>79407.27</v>
      </c>
      <c r="K607" s="4">
        <v>15374899.23</v>
      </c>
      <c r="L607" s="4" t="s">
        <v>2929</v>
      </c>
      <c r="M607" s="4" t="s">
        <v>2930</v>
      </c>
      <c r="N607" s="4" t="s">
        <v>975</v>
      </c>
      <c r="O607" s="4" t="s">
        <v>89</v>
      </c>
      <c r="P607" s="4" t="s">
        <v>89</v>
      </c>
      <c r="Q607" s="4" t="s">
        <v>100</v>
      </c>
      <c r="R607" s="9">
        <f t="shared" si="9"/>
        <v>2.5869630665379436E-4</v>
      </c>
    </row>
    <row r="608" spans="1:18" hidden="1" x14ac:dyDescent="0.2">
      <c r="A608" s="4">
        <v>387</v>
      </c>
      <c r="B608" s="2">
        <v>12963946</v>
      </c>
      <c r="C608" s="2">
        <v>0</v>
      </c>
      <c r="D608" s="4" t="s">
        <v>1647</v>
      </c>
      <c r="E608" s="2">
        <v>12963946</v>
      </c>
      <c r="F608" s="2">
        <v>2463149.7400000002</v>
      </c>
      <c r="G608" s="2">
        <v>292622.5</v>
      </c>
      <c r="H608" s="4">
        <v>0</v>
      </c>
      <c r="I608" s="4">
        <v>0</v>
      </c>
      <c r="J608" s="4">
        <v>292622.5</v>
      </c>
      <c r="K608" s="4">
        <v>15134473.24</v>
      </c>
      <c r="L608" s="4" t="s">
        <v>1645</v>
      </c>
      <c r="M608" s="4" t="s">
        <v>1646</v>
      </c>
      <c r="N608" s="4" t="s">
        <v>1648</v>
      </c>
      <c r="O608" s="4" t="s">
        <v>105</v>
      </c>
      <c r="P608" s="4" t="s">
        <v>105</v>
      </c>
      <c r="Q608" s="4" t="s">
        <v>100</v>
      </c>
      <c r="R608" s="9">
        <f t="shared" si="9"/>
        <v>2.5824081409478206E-4</v>
      </c>
    </row>
    <row r="609" spans="1:18" hidden="1" x14ac:dyDescent="0.2">
      <c r="A609" s="4">
        <v>677</v>
      </c>
      <c r="B609" s="2">
        <v>12897019</v>
      </c>
      <c r="C609" s="2">
        <v>0</v>
      </c>
      <c r="D609" s="4" t="s">
        <v>1960</v>
      </c>
      <c r="E609" s="2">
        <v>12897019</v>
      </c>
      <c r="F609" s="2">
        <v>2450433.61</v>
      </c>
      <c r="G609" s="2">
        <v>0</v>
      </c>
      <c r="H609" s="4">
        <v>0</v>
      </c>
      <c r="I609" s="4">
        <v>0</v>
      </c>
      <c r="J609" s="4">
        <v>0</v>
      </c>
      <c r="K609" s="4">
        <v>15347452.609999999</v>
      </c>
      <c r="L609" s="4" t="s">
        <v>1958</v>
      </c>
      <c r="M609" s="4" t="s">
        <v>1959</v>
      </c>
      <c r="N609" s="4" t="s">
        <v>1961</v>
      </c>
      <c r="O609" s="4" t="s">
        <v>201</v>
      </c>
      <c r="P609" s="4" t="s">
        <v>201</v>
      </c>
      <c r="Q609" s="4" t="s">
        <v>100</v>
      </c>
      <c r="R609" s="9">
        <f t="shared" si="9"/>
        <v>2.5690763336686775E-4</v>
      </c>
    </row>
    <row r="610" spans="1:18" hidden="1" x14ac:dyDescent="0.2">
      <c r="A610" s="4">
        <v>1536</v>
      </c>
      <c r="B610" s="2">
        <v>12873461</v>
      </c>
      <c r="C610" s="2">
        <v>0</v>
      </c>
      <c r="D610" s="4" t="s">
        <v>2222</v>
      </c>
      <c r="E610" s="2">
        <v>12873461</v>
      </c>
      <c r="F610" s="2">
        <v>2445957.59</v>
      </c>
      <c r="G610" s="2">
        <v>0</v>
      </c>
      <c r="H610" s="4">
        <v>0</v>
      </c>
      <c r="I610" s="4">
        <v>0</v>
      </c>
      <c r="J610" s="4">
        <v>0</v>
      </c>
      <c r="K610" s="4">
        <v>15319418.59</v>
      </c>
      <c r="L610" s="4" t="s">
        <v>2220</v>
      </c>
      <c r="M610" s="4" t="s">
        <v>2221</v>
      </c>
      <c r="N610" s="4" t="s">
        <v>20</v>
      </c>
      <c r="O610" s="4" t="s">
        <v>1356</v>
      </c>
      <c r="P610" s="4" t="s">
        <v>1356</v>
      </c>
      <c r="Q610" s="4" t="s">
        <v>100</v>
      </c>
      <c r="R610" s="9">
        <f t="shared" si="9"/>
        <v>2.5643835980629869E-4</v>
      </c>
    </row>
    <row r="611" spans="1:18" hidden="1" x14ac:dyDescent="0.2">
      <c r="A611" s="4">
        <v>1255</v>
      </c>
      <c r="B611" s="2">
        <v>12844453</v>
      </c>
      <c r="C611" s="2">
        <v>0</v>
      </c>
      <c r="D611" s="4" t="s">
        <v>5411</v>
      </c>
      <c r="E611" s="2">
        <v>12844453</v>
      </c>
      <c r="F611" s="2">
        <v>2440446.0699999998</v>
      </c>
      <c r="G611" s="2">
        <v>177520.54</v>
      </c>
      <c r="H611" s="4">
        <v>0</v>
      </c>
      <c r="I611" s="4">
        <v>0</v>
      </c>
      <c r="J611" s="4">
        <v>177520.54</v>
      </c>
      <c r="K611" s="4">
        <v>15107378.529999999</v>
      </c>
      <c r="L611" s="4" t="s">
        <v>5409</v>
      </c>
      <c r="M611" s="4" t="s">
        <v>5410</v>
      </c>
      <c r="N611" s="4" t="s">
        <v>20</v>
      </c>
      <c r="O611" s="4" t="s">
        <v>631</v>
      </c>
      <c r="P611" s="4" t="s">
        <v>1039</v>
      </c>
      <c r="Q611" s="4" t="s">
        <v>100</v>
      </c>
      <c r="R611" s="9">
        <f t="shared" si="9"/>
        <v>2.5586052266201708E-4</v>
      </c>
    </row>
    <row r="612" spans="1:18" hidden="1" x14ac:dyDescent="0.2">
      <c r="A612" s="4">
        <v>1377</v>
      </c>
      <c r="B612" s="2">
        <v>12859398</v>
      </c>
      <c r="C612" s="2">
        <v>35592.269999999997</v>
      </c>
      <c r="D612" s="4" t="s">
        <v>1368</v>
      </c>
      <c r="E612" s="2">
        <v>12823805.73</v>
      </c>
      <c r="F612" s="2">
        <v>2436523.09</v>
      </c>
      <c r="G612" s="2">
        <v>320595.14</v>
      </c>
      <c r="H612" s="4">
        <v>365478.45</v>
      </c>
      <c r="I612" s="4">
        <v>50806.9</v>
      </c>
      <c r="J612" s="4">
        <v>736880.49</v>
      </c>
      <c r="K612" s="4">
        <v>14523448.33</v>
      </c>
      <c r="L612" s="4" t="s">
        <v>1367</v>
      </c>
      <c r="M612" s="4" t="s">
        <v>1006</v>
      </c>
      <c r="N612" s="4" t="s">
        <v>58</v>
      </c>
      <c r="O612" s="4" t="s">
        <v>59</v>
      </c>
      <c r="P612" s="4" t="s">
        <v>59</v>
      </c>
      <c r="Q612" s="4" t="s">
        <v>28</v>
      </c>
      <c r="R612" s="9">
        <f t="shared" si="9"/>
        <v>2.5544923062071771E-4</v>
      </c>
    </row>
    <row r="613" spans="1:18" hidden="1" x14ac:dyDescent="0.2">
      <c r="A613" s="4">
        <v>1632</v>
      </c>
      <c r="B613" s="2">
        <v>12808895</v>
      </c>
      <c r="C613" s="2">
        <v>0</v>
      </c>
      <c r="D613" s="4" t="s">
        <v>2158</v>
      </c>
      <c r="E613" s="2">
        <v>12808895</v>
      </c>
      <c r="F613" s="2">
        <v>2433690.0499999998</v>
      </c>
      <c r="G613" s="2">
        <v>0</v>
      </c>
      <c r="H613" s="4">
        <v>0</v>
      </c>
      <c r="I613" s="4">
        <v>0</v>
      </c>
      <c r="J613" s="4">
        <v>0</v>
      </c>
      <c r="K613" s="4">
        <v>15242585.050000001</v>
      </c>
      <c r="L613" s="4" t="s">
        <v>2156</v>
      </c>
      <c r="M613" s="4" t="s">
        <v>2157</v>
      </c>
      <c r="N613" s="4" t="s">
        <v>20</v>
      </c>
      <c r="O613" s="4" t="s">
        <v>540</v>
      </c>
      <c r="P613" s="4" t="s">
        <v>540</v>
      </c>
      <c r="Q613" s="4" t="s">
        <v>100</v>
      </c>
      <c r="R613" s="9">
        <f t="shared" si="9"/>
        <v>2.5515221001804416E-4</v>
      </c>
    </row>
    <row r="614" spans="1:18" hidden="1" x14ac:dyDescent="0.2">
      <c r="A614" s="4">
        <v>781</v>
      </c>
      <c r="B614" s="2">
        <v>12801748</v>
      </c>
      <c r="C614" s="2">
        <v>0</v>
      </c>
      <c r="D614" s="4" t="s">
        <v>1608</v>
      </c>
      <c r="E614" s="2">
        <v>12801748</v>
      </c>
      <c r="F614" s="2">
        <v>2432332.12</v>
      </c>
      <c r="G614" s="2">
        <v>0</v>
      </c>
      <c r="H614" s="4">
        <v>0</v>
      </c>
      <c r="I614" s="4">
        <v>0</v>
      </c>
      <c r="J614" s="4">
        <v>0</v>
      </c>
      <c r="K614" s="4">
        <v>15234080.119999999</v>
      </c>
      <c r="L614" s="4" t="s">
        <v>1606</v>
      </c>
      <c r="M614" s="4" t="s">
        <v>1607</v>
      </c>
      <c r="N614" s="4" t="s">
        <v>32</v>
      </c>
      <c r="O614" s="4" t="s">
        <v>33</v>
      </c>
      <c r="P614" s="4" t="s">
        <v>33</v>
      </c>
      <c r="Q614" s="4" t="s">
        <v>100</v>
      </c>
      <c r="R614" s="9">
        <f t="shared" si="9"/>
        <v>2.5500984232395353E-4</v>
      </c>
    </row>
    <row r="615" spans="1:18" hidden="1" x14ac:dyDescent="0.2">
      <c r="A615" s="4">
        <v>626</v>
      </c>
      <c r="B615" s="2">
        <v>12796978</v>
      </c>
      <c r="C615" s="2">
        <v>0</v>
      </c>
      <c r="D615" s="4" t="s">
        <v>2751</v>
      </c>
      <c r="E615" s="2">
        <v>12796978</v>
      </c>
      <c r="F615" s="2">
        <v>2431425.8199999998</v>
      </c>
      <c r="G615" s="2">
        <v>248114.7</v>
      </c>
      <c r="H615" s="4">
        <v>0</v>
      </c>
      <c r="I615" s="4">
        <v>0</v>
      </c>
      <c r="J615" s="4">
        <v>248114.7</v>
      </c>
      <c r="K615" s="4">
        <v>14980289.119999999</v>
      </c>
      <c r="L615" s="4" t="s">
        <v>2749</v>
      </c>
      <c r="M615" s="4" t="s">
        <v>2750</v>
      </c>
      <c r="N615" s="4" t="s">
        <v>2167</v>
      </c>
      <c r="O615" s="4" t="s">
        <v>105</v>
      </c>
      <c r="P615" s="4" t="s">
        <v>105</v>
      </c>
      <c r="Q615" s="4" t="s">
        <v>100</v>
      </c>
      <c r="R615" s="9">
        <f t="shared" si="9"/>
        <v>2.5491482428830045E-4</v>
      </c>
    </row>
    <row r="616" spans="1:18" hidden="1" x14ac:dyDescent="0.2">
      <c r="A616" s="4">
        <v>1559</v>
      </c>
      <c r="B616" s="2">
        <v>12839358</v>
      </c>
      <c r="C616" s="2">
        <v>75113.19</v>
      </c>
      <c r="D616" s="4" t="s">
        <v>1484</v>
      </c>
      <c r="E616" s="2">
        <v>12764244.810000001</v>
      </c>
      <c r="F616" s="2">
        <v>2425206.5099999998</v>
      </c>
      <c r="G616" s="2">
        <v>319106.13</v>
      </c>
      <c r="H616" s="4">
        <v>0</v>
      </c>
      <c r="I616" s="4">
        <v>0</v>
      </c>
      <c r="J616" s="4">
        <v>319106.13</v>
      </c>
      <c r="K616" s="4">
        <v>14870345.189999999</v>
      </c>
      <c r="L616" s="4" t="s">
        <v>1482</v>
      </c>
      <c r="M616" s="4" t="s">
        <v>1483</v>
      </c>
      <c r="N616" s="4" t="s">
        <v>20</v>
      </c>
      <c r="O616" s="4" t="s">
        <v>1517</v>
      </c>
      <c r="P616" s="4" t="s">
        <v>603</v>
      </c>
      <c r="Q616" s="4" t="s">
        <v>28</v>
      </c>
      <c r="R616" s="9">
        <f t="shared" si="9"/>
        <v>2.5426278164376008E-4</v>
      </c>
    </row>
    <row r="617" spans="1:18" hidden="1" x14ac:dyDescent="0.2">
      <c r="A617" s="4">
        <v>1886</v>
      </c>
      <c r="B617" s="2">
        <v>12751061</v>
      </c>
      <c r="C617" s="2">
        <v>0</v>
      </c>
      <c r="D617" s="4" t="s">
        <v>1917</v>
      </c>
      <c r="E617" s="2">
        <v>12751061</v>
      </c>
      <c r="F617" s="2">
        <v>2422701.59</v>
      </c>
      <c r="G617" s="2">
        <v>0</v>
      </c>
      <c r="H617" s="4">
        <v>0</v>
      </c>
      <c r="I617" s="4">
        <v>0</v>
      </c>
      <c r="J617" s="4">
        <v>0</v>
      </c>
      <c r="K617" s="4">
        <v>15173762.59</v>
      </c>
      <c r="L617" s="4" t="s">
        <v>1915</v>
      </c>
      <c r="M617" s="4" t="s">
        <v>1916</v>
      </c>
      <c r="N617" s="4" t="s">
        <v>20</v>
      </c>
      <c r="O617" s="4" t="s">
        <v>257</v>
      </c>
      <c r="P617" s="4" t="s">
        <v>257</v>
      </c>
      <c r="Q617" s="4" t="s">
        <v>100</v>
      </c>
      <c r="R617" s="9">
        <f t="shared" si="9"/>
        <v>2.5400016115557916E-4</v>
      </c>
    </row>
    <row r="618" spans="1:18" hidden="1" x14ac:dyDescent="0.2">
      <c r="A618" s="4">
        <v>620</v>
      </c>
      <c r="B618" s="2">
        <v>12713324</v>
      </c>
      <c r="C618" s="2">
        <v>0</v>
      </c>
      <c r="D618" s="4" t="s">
        <v>5414</v>
      </c>
      <c r="E618" s="2">
        <v>12713324</v>
      </c>
      <c r="F618" s="2">
        <v>2415531.56</v>
      </c>
      <c r="G618" s="2">
        <v>317833.11</v>
      </c>
      <c r="H618" s="4">
        <v>0</v>
      </c>
      <c r="I618" s="4">
        <v>0</v>
      </c>
      <c r="J618" s="4">
        <v>317833.11</v>
      </c>
      <c r="K618" s="4">
        <v>14811022.449999999</v>
      </c>
      <c r="L618" s="4" t="s">
        <v>5412</v>
      </c>
      <c r="M618" s="4" t="s">
        <v>5413</v>
      </c>
      <c r="N618" s="4" t="s">
        <v>32</v>
      </c>
      <c r="O618" s="4" t="s">
        <v>33</v>
      </c>
      <c r="P618" s="4" t="s">
        <v>1039</v>
      </c>
      <c r="Q618" s="4" t="s">
        <v>100</v>
      </c>
      <c r="R618" s="9">
        <f t="shared" si="9"/>
        <v>2.5324844299804479E-4</v>
      </c>
    </row>
    <row r="619" spans="1:18" hidden="1" x14ac:dyDescent="0.2">
      <c r="A619" s="4">
        <v>1766</v>
      </c>
      <c r="B619" s="2">
        <v>12682654</v>
      </c>
      <c r="C619" s="2">
        <v>0</v>
      </c>
      <c r="D619" s="4" t="s">
        <v>1601</v>
      </c>
      <c r="E619" s="2">
        <v>12682654</v>
      </c>
      <c r="F619" s="2">
        <v>2409704.2599999998</v>
      </c>
      <c r="G619" s="2">
        <v>317066.36</v>
      </c>
      <c r="H619" s="4">
        <v>0</v>
      </c>
      <c r="I619" s="4">
        <v>0</v>
      </c>
      <c r="J619" s="4">
        <v>317066.36</v>
      </c>
      <c r="K619" s="4">
        <v>14775291.9</v>
      </c>
      <c r="L619" s="4" t="s">
        <v>1599</v>
      </c>
      <c r="M619" s="4" t="s">
        <v>1600</v>
      </c>
      <c r="N619" s="4" t="s">
        <v>1602</v>
      </c>
      <c r="O619" s="4" t="s">
        <v>113</v>
      </c>
      <c r="P619" s="4" t="s">
        <v>113</v>
      </c>
      <c r="Q619" s="4" t="s">
        <v>100</v>
      </c>
      <c r="R619" s="9">
        <f t="shared" si="9"/>
        <v>2.5263749894071172E-4</v>
      </c>
    </row>
    <row r="620" spans="1:18" hidden="1" x14ac:dyDescent="0.2">
      <c r="A620" s="4">
        <v>477</v>
      </c>
      <c r="B620" s="2">
        <v>12648638</v>
      </c>
      <c r="C620" s="2">
        <v>0</v>
      </c>
      <c r="D620" s="4" t="s">
        <v>2835</v>
      </c>
      <c r="E620" s="2">
        <v>12648638</v>
      </c>
      <c r="F620" s="2">
        <v>2403241.2200000002</v>
      </c>
      <c r="G620" s="2">
        <v>0</v>
      </c>
      <c r="H620" s="4">
        <v>0</v>
      </c>
      <c r="I620" s="4">
        <v>0</v>
      </c>
      <c r="J620" s="4">
        <v>0</v>
      </c>
      <c r="K620" s="4">
        <v>15051879.220000001</v>
      </c>
      <c r="L620" s="4" t="s">
        <v>2833</v>
      </c>
      <c r="M620" s="4" t="s">
        <v>2834</v>
      </c>
      <c r="N620" s="4" t="s">
        <v>572</v>
      </c>
      <c r="O620" s="4" t="s">
        <v>105</v>
      </c>
      <c r="P620" s="4" t="s">
        <v>105</v>
      </c>
      <c r="Q620" s="4" t="s">
        <v>100</v>
      </c>
      <c r="R620" s="9">
        <f t="shared" si="9"/>
        <v>2.5195990281895615E-4</v>
      </c>
    </row>
    <row r="621" spans="1:18" hidden="1" x14ac:dyDescent="0.2">
      <c r="A621" s="4">
        <v>1026</v>
      </c>
      <c r="B621" s="2">
        <v>12636430</v>
      </c>
      <c r="C621" s="2">
        <v>0</v>
      </c>
      <c r="D621" s="4" t="s">
        <v>1405</v>
      </c>
      <c r="E621" s="2">
        <v>12636430</v>
      </c>
      <c r="F621" s="2">
        <v>2400921.7000000002</v>
      </c>
      <c r="G621" s="2">
        <v>0</v>
      </c>
      <c r="H621" s="4">
        <v>0</v>
      </c>
      <c r="I621" s="4">
        <v>0</v>
      </c>
      <c r="J621" s="4">
        <v>0</v>
      </c>
      <c r="K621" s="4">
        <v>15037351.699999999</v>
      </c>
      <c r="L621" s="4" t="s">
        <v>1403</v>
      </c>
      <c r="M621" s="4" t="s">
        <v>1404</v>
      </c>
      <c r="N621" s="4" t="s">
        <v>186</v>
      </c>
      <c r="O621" s="4" t="s">
        <v>59</v>
      </c>
      <c r="P621" s="4" t="s">
        <v>59</v>
      </c>
      <c r="Q621" s="4" t="s">
        <v>100</v>
      </c>
      <c r="R621" s="9">
        <f t="shared" si="9"/>
        <v>2.5171672039143994E-4</v>
      </c>
    </row>
    <row r="622" spans="1:18" hidden="1" x14ac:dyDescent="0.2">
      <c r="A622" s="4">
        <v>731</v>
      </c>
      <c r="B622" s="2">
        <v>12656109</v>
      </c>
      <c r="C622" s="2">
        <v>42668.97</v>
      </c>
      <c r="D622" s="4" t="s">
        <v>1931</v>
      </c>
      <c r="E622" s="2">
        <v>12613440.029999999</v>
      </c>
      <c r="F622" s="2">
        <v>2396553.61</v>
      </c>
      <c r="G622" s="2">
        <v>0</v>
      </c>
      <c r="H622" s="4">
        <v>0</v>
      </c>
      <c r="I622" s="4">
        <v>0</v>
      </c>
      <c r="J622" s="4">
        <v>0</v>
      </c>
      <c r="K622" s="4">
        <v>15009993.640000001</v>
      </c>
      <c r="L622" s="4" t="s">
        <v>1929</v>
      </c>
      <c r="M622" s="4" t="s">
        <v>1930</v>
      </c>
      <c r="N622" s="4" t="s">
        <v>1054</v>
      </c>
      <c r="O622" s="4" t="s">
        <v>89</v>
      </c>
      <c r="P622" s="4" t="s">
        <v>89</v>
      </c>
      <c r="Q622" s="4" t="s">
        <v>28</v>
      </c>
      <c r="R622" s="9">
        <f t="shared" si="9"/>
        <v>2.5125876194508306E-4</v>
      </c>
    </row>
    <row r="623" spans="1:18" hidden="1" x14ac:dyDescent="0.2">
      <c r="A623" s="4">
        <v>1895</v>
      </c>
      <c r="B623" s="2">
        <v>12589186</v>
      </c>
      <c r="C623" s="2">
        <v>0</v>
      </c>
      <c r="D623" s="4" t="s">
        <v>4343</v>
      </c>
      <c r="E623" s="2">
        <v>12589186</v>
      </c>
      <c r="F623" s="2">
        <v>2391945.34</v>
      </c>
      <c r="G623" s="2">
        <v>0</v>
      </c>
      <c r="H623" s="4">
        <v>0</v>
      </c>
      <c r="I623" s="4">
        <v>0</v>
      </c>
      <c r="J623" s="4">
        <v>0</v>
      </c>
      <c r="K623" s="4">
        <v>14981131.34</v>
      </c>
      <c r="L623" s="4" t="s">
        <v>4341</v>
      </c>
      <c r="M623" s="4" t="s">
        <v>4342</v>
      </c>
      <c r="N623" s="4" t="s">
        <v>368</v>
      </c>
      <c r="O623" s="4" t="s">
        <v>89</v>
      </c>
      <c r="P623" s="4" t="s">
        <v>89</v>
      </c>
      <c r="Q623" s="4" t="s">
        <v>100</v>
      </c>
      <c r="R623" s="9">
        <f t="shared" si="9"/>
        <v>2.5077562352007889E-4</v>
      </c>
    </row>
    <row r="624" spans="1:18" hidden="1" x14ac:dyDescent="0.2">
      <c r="A624" s="4">
        <v>1692</v>
      </c>
      <c r="B624" s="2">
        <v>12583224</v>
      </c>
      <c r="C624" s="2">
        <v>0</v>
      </c>
      <c r="D624" s="4" t="s">
        <v>1217</v>
      </c>
      <c r="E624" s="2">
        <v>12583224</v>
      </c>
      <c r="F624" s="2">
        <v>0</v>
      </c>
      <c r="G624" s="2">
        <v>265015</v>
      </c>
      <c r="H624" s="4">
        <v>0</v>
      </c>
      <c r="I624" s="4">
        <v>0</v>
      </c>
      <c r="J624" s="4">
        <v>265015</v>
      </c>
      <c r="K624" s="4">
        <v>12318209</v>
      </c>
      <c r="L624" s="4" t="s">
        <v>1215</v>
      </c>
      <c r="M624" s="4" t="s">
        <v>1216</v>
      </c>
      <c r="N624" s="4" t="s">
        <v>544</v>
      </c>
      <c r="O624" s="4" t="s">
        <v>900</v>
      </c>
      <c r="P624" s="4" t="s">
        <v>900</v>
      </c>
      <c r="Q624" s="4" t="s">
        <v>100</v>
      </c>
      <c r="R624" s="9">
        <f t="shared" si="9"/>
        <v>2.5065686093547442E-4</v>
      </c>
    </row>
    <row r="625" spans="1:18" hidden="1" x14ac:dyDescent="0.2">
      <c r="A625" s="4">
        <v>562</v>
      </c>
      <c r="B625" s="2">
        <v>12541221</v>
      </c>
      <c r="C625" s="2">
        <v>0</v>
      </c>
      <c r="D625" s="4" t="s">
        <v>938</v>
      </c>
      <c r="E625" s="2">
        <v>12541221</v>
      </c>
      <c r="F625" s="2">
        <v>2382831.9900000002</v>
      </c>
      <c r="G625" s="2">
        <v>186047.23</v>
      </c>
      <c r="H625" s="4">
        <v>0</v>
      </c>
      <c r="I625" s="4">
        <v>0</v>
      </c>
      <c r="J625" s="4">
        <v>186047.23</v>
      </c>
      <c r="K625" s="4">
        <v>14738005.76</v>
      </c>
      <c r="L625" s="4" t="s">
        <v>936</v>
      </c>
      <c r="M625" s="4" t="s">
        <v>937</v>
      </c>
      <c r="N625" s="4" t="s">
        <v>939</v>
      </c>
      <c r="O625" s="4" t="s">
        <v>940</v>
      </c>
      <c r="P625" s="4" t="s">
        <v>940</v>
      </c>
      <c r="Q625" s="4" t="s">
        <v>100</v>
      </c>
      <c r="R625" s="9">
        <f t="shared" si="9"/>
        <v>2.4982016438378999E-4</v>
      </c>
    </row>
    <row r="626" spans="1:18" hidden="1" x14ac:dyDescent="0.2">
      <c r="A626" s="4">
        <v>115</v>
      </c>
      <c r="B626" s="2">
        <v>12465840</v>
      </c>
      <c r="C626" s="2">
        <v>0</v>
      </c>
      <c r="D626" s="4" t="s">
        <v>1638</v>
      </c>
      <c r="E626" s="2">
        <v>12465840</v>
      </c>
      <c r="F626" s="2">
        <v>2368509.6</v>
      </c>
      <c r="G626" s="2">
        <v>0</v>
      </c>
      <c r="H626" s="4">
        <v>0</v>
      </c>
      <c r="I626" s="4">
        <v>0</v>
      </c>
      <c r="J626" s="4">
        <v>0</v>
      </c>
      <c r="K626" s="4">
        <v>14834349.6</v>
      </c>
      <c r="L626" s="4" t="s">
        <v>1636</v>
      </c>
      <c r="M626" s="4" t="s">
        <v>1637</v>
      </c>
      <c r="N626" s="4" t="s">
        <v>20</v>
      </c>
      <c r="O626" s="4" t="s">
        <v>316</v>
      </c>
      <c r="P626" s="4" t="s">
        <v>316</v>
      </c>
      <c r="Q626" s="4" t="s">
        <v>100</v>
      </c>
      <c r="R626" s="9">
        <f t="shared" si="9"/>
        <v>2.4831858062161766E-4</v>
      </c>
    </row>
    <row r="627" spans="1:18" hidden="1" x14ac:dyDescent="0.2">
      <c r="A627" s="4">
        <v>946</v>
      </c>
      <c r="B627" s="2">
        <v>12434315</v>
      </c>
      <c r="C627" s="2">
        <v>0</v>
      </c>
      <c r="D627" s="4" t="s">
        <v>1751</v>
      </c>
      <c r="E627" s="2">
        <v>12434315</v>
      </c>
      <c r="F627" s="2">
        <v>2362519.85</v>
      </c>
      <c r="G627" s="2">
        <v>0</v>
      </c>
      <c r="H627" s="4">
        <v>0</v>
      </c>
      <c r="I627" s="4">
        <v>0</v>
      </c>
      <c r="J627" s="4">
        <v>0</v>
      </c>
      <c r="K627" s="4">
        <v>14796834.85</v>
      </c>
      <c r="L627" s="4" t="s">
        <v>1749</v>
      </c>
      <c r="M627" s="4" t="s">
        <v>1750</v>
      </c>
      <c r="N627" s="4" t="s">
        <v>1107</v>
      </c>
      <c r="O627" s="4" t="s">
        <v>89</v>
      </c>
      <c r="P627" s="4" t="s">
        <v>89</v>
      </c>
      <c r="Q627" s="4" t="s">
        <v>100</v>
      </c>
      <c r="R627" s="9">
        <f t="shared" si="9"/>
        <v>2.4769060502959203E-4</v>
      </c>
    </row>
    <row r="628" spans="1:18" hidden="1" x14ac:dyDescent="0.2">
      <c r="A628" s="4">
        <v>977</v>
      </c>
      <c r="B628" s="2">
        <v>12368435</v>
      </c>
      <c r="C628" s="2">
        <v>0</v>
      </c>
      <c r="D628" s="4" t="s">
        <v>2383</v>
      </c>
      <c r="E628" s="2">
        <v>12368435</v>
      </c>
      <c r="F628" s="2">
        <v>2350002.65</v>
      </c>
      <c r="G628" s="2">
        <v>0</v>
      </c>
      <c r="H628" s="4">
        <v>0</v>
      </c>
      <c r="I628" s="4">
        <v>0</v>
      </c>
      <c r="J628" s="4">
        <v>0</v>
      </c>
      <c r="K628" s="4">
        <v>14718437.65</v>
      </c>
      <c r="L628" s="4" t="s">
        <v>2381</v>
      </c>
      <c r="M628" s="4" t="s">
        <v>2382</v>
      </c>
      <c r="N628" s="4" t="s">
        <v>104</v>
      </c>
      <c r="O628" s="4" t="s">
        <v>105</v>
      </c>
      <c r="P628" s="4" t="s">
        <v>105</v>
      </c>
      <c r="Q628" s="4" t="s">
        <v>100</v>
      </c>
      <c r="R628" s="9">
        <f t="shared" si="9"/>
        <v>2.4637828046170476E-4</v>
      </c>
    </row>
    <row r="629" spans="1:18" hidden="1" x14ac:dyDescent="0.2">
      <c r="A629" s="4">
        <v>1520</v>
      </c>
      <c r="B629" s="2">
        <v>12360481</v>
      </c>
      <c r="C629" s="2">
        <v>0</v>
      </c>
      <c r="D629" s="4" t="s">
        <v>2081</v>
      </c>
      <c r="E629" s="2">
        <v>12360481</v>
      </c>
      <c r="F629" s="2">
        <v>2348491.39</v>
      </c>
      <c r="G629" s="2">
        <v>0</v>
      </c>
      <c r="H629" s="4">
        <v>0</v>
      </c>
      <c r="I629" s="4">
        <v>0</v>
      </c>
      <c r="J629" s="4">
        <v>0</v>
      </c>
      <c r="K629" s="4">
        <v>14708972.390000001</v>
      </c>
      <c r="L629" s="4" t="s">
        <v>2079</v>
      </c>
      <c r="M629" s="4" t="s">
        <v>2080</v>
      </c>
      <c r="N629" s="4" t="s">
        <v>2082</v>
      </c>
      <c r="O629" s="4" t="s">
        <v>229</v>
      </c>
      <c r="P629" s="4" t="s">
        <v>229</v>
      </c>
      <c r="Q629" s="4" t="s">
        <v>100</v>
      </c>
      <c r="R629" s="9">
        <f t="shared" si="9"/>
        <v>2.4621983738925521E-4</v>
      </c>
    </row>
    <row r="630" spans="1:18" hidden="1" x14ac:dyDescent="0.2">
      <c r="A630" s="4">
        <v>1171</v>
      </c>
      <c r="B630" s="2">
        <v>12359677</v>
      </c>
      <c r="C630" s="2">
        <v>0</v>
      </c>
      <c r="D630" s="4" t="s">
        <v>1682</v>
      </c>
      <c r="E630" s="2">
        <v>12359677</v>
      </c>
      <c r="F630" s="2">
        <v>2348338.63</v>
      </c>
      <c r="G630" s="2">
        <v>68482.5</v>
      </c>
      <c r="H630" s="4">
        <v>96839.47</v>
      </c>
      <c r="I630" s="4">
        <v>16435.8</v>
      </c>
      <c r="J630" s="4">
        <v>181757.77</v>
      </c>
      <c r="K630" s="4">
        <v>14526257.859999999</v>
      </c>
      <c r="L630" s="4" t="s">
        <v>1681</v>
      </c>
      <c r="M630" s="4" t="s">
        <v>178</v>
      </c>
      <c r="N630" s="4" t="s">
        <v>332</v>
      </c>
      <c r="O630" s="4" t="s">
        <v>1127</v>
      </c>
      <c r="P630" s="4" t="s">
        <v>1127</v>
      </c>
      <c r="Q630" s="4" t="s">
        <v>28</v>
      </c>
      <c r="R630" s="9">
        <f t="shared" si="9"/>
        <v>2.4620382177066715E-4</v>
      </c>
    </row>
    <row r="631" spans="1:18" hidden="1" x14ac:dyDescent="0.2">
      <c r="A631" s="4">
        <v>1578</v>
      </c>
      <c r="B631" s="2">
        <v>12385542</v>
      </c>
      <c r="C631" s="2">
        <v>70299.09</v>
      </c>
      <c r="D631" s="4" t="s">
        <v>2057</v>
      </c>
      <c r="E631" s="2">
        <v>12315242.91</v>
      </c>
      <c r="F631" s="2">
        <v>2339896.15</v>
      </c>
      <c r="G631" s="2">
        <v>240259.15</v>
      </c>
      <c r="H631" s="4">
        <v>0</v>
      </c>
      <c r="I631" s="4">
        <v>0</v>
      </c>
      <c r="J631" s="4">
        <v>240259.15</v>
      </c>
      <c r="K631" s="4">
        <v>14414879.91</v>
      </c>
      <c r="L631" s="4" t="s">
        <v>2055</v>
      </c>
      <c r="M631" s="4" t="s">
        <v>2056</v>
      </c>
      <c r="N631" s="4" t="s">
        <v>20</v>
      </c>
      <c r="O631" s="4" t="s">
        <v>257</v>
      </c>
      <c r="P631" s="4" t="s">
        <v>257</v>
      </c>
      <c r="Q631" s="4" t="s">
        <v>100</v>
      </c>
      <c r="R631" s="9">
        <f t="shared" si="9"/>
        <v>2.4531869809187669E-4</v>
      </c>
    </row>
    <row r="632" spans="1:18" hidden="1" x14ac:dyDescent="0.2">
      <c r="A632" s="4">
        <v>568</v>
      </c>
      <c r="B632" s="2">
        <v>12307319</v>
      </c>
      <c r="C632" s="2">
        <v>0</v>
      </c>
      <c r="D632" s="4" t="s">
        <v>3195</v>
      </c>
      <c r="E632" s="2">
        <v>12307319</v>
      </c>
      <c r="F632" s="2">
        <v>2338390.61</v>
      </c>
      <c r="G632" s="2">
        <v>157804.71</v>
      </c>
      <c r="H632" s="4">
        <v>0</v>
      </c>
      <c r="I632" s="4">
        <v>0</v>
      </c>
      <c r="J632" s="4">
        <v>157804.71</v>
      </c>
      <c r="K632" s="4">
        <v>14487904.9</v>
      </c>
      <c r="L632" s="4" t="s">
        <v>3193</v>
      </c>
      <c r="M632" s="4" t="s">
        <v>3194</v>
      </c>
      <c r="N632" s="4" t="s">
        <v>20</v>
      </c>
      <c r="O632" s="4" t="s">
        <v>71</v>
      </c>
      <c r="P632" s="4" t="s">
        <v>71</v>
      </c>
      <c r="Q632" s="4" t="s">
        <v>100</v>
      </c>
      <c r="R632" s="9">
        <f t="shared" si="9"/>
        <v>2.4516085440992878E-4</v>
      </c>
    </row>
    <row r="633" spans="1:18" hidden="1" x14ac:dyDescent="0.2">
      <c r="A633" s="4">
        <v>423</v>
      </c>
      <c r="B633" s="2">
        <v>12298288</v>
      </c>
      <c r="C633" s="2">
        <v>0</v>
      </c>
      <c r="D633" s="4" t="s">
        <v>5416</v>
      </c>
      <c r="E633" s="2">
        <v>12298288</v>
      </c>
      <c r="F633" s="2">
        <v>2336674.7200000002</v>
      </c>
      <c r="G633" s="2">
        <v>268820.2</v>
      </c>
      <c r="H633" s="4">
        <v>350501.21</v>
      </c>
      <c r="I633" s="4">
        <v>0</v>
      </c>
      <c r="J633" s="4">
        <v>619321.41</v>
      </c>
      <c r="K633" s="4">
        <v>14015641.310000001</v>
      </c>
      <c r="L633" s="4" t="s">
        <v>5415</v>
      </c>
      <c r="M633" s="4" t="s">
        <v>137</v>
      </c>
      <c r="N633" s="4" t="s">
        <v>5417</v>
      </c>
      <c r="O633" s="4" t="s">
        <v>84</v>
      </c>
      <c r="P633" s="4" t="s">
        <v>84</v>
      </c>
      <c r="Q633" s="4" t="s">
        <v>22</v>
      </c>
      <c r="R633" s="9">
        <f t="shared" si="9"/>
        <v>2.4498095757974375E-4</v>
      </c>
    </row>
    <row r="634" spans="1:18" hidden="1" x14ac:dyDescent="0.2">
      <c r="A634" s="4">
        <v>1627</v>
      </c>
      <c r="B634" s="2">
        <v>12294168</v>
      </c>
      <c r="C634" s="2">
        <v>0</v>
      </c>
      <c r="D634" s="4" t="s">
        <v>2481</v>
      </c>
      <c r="E634" s="2">
        <v>12294168</v>
      </c>
      <c r="F634" s="2">
        <v>2335891.92</v>
      </c>
      <c r="G634" s="2">
        <v>0</v>
      </c>
      <c r="H634" s="4">
        <v>0</v>
      </c>
      <c r="I634" s="4">
        <v>0</v>
      </c>
      <c r="J634" s="4">
        <v>0</v>
      </c>
      <c r="K634" s="4">
        <v>14630059.92</v>
      </c>
      <c r="L634" s="4" t="s">
        <v>2479</v>
      </c>
      <c r="M634" s="4" t="s">
        <v>2480</v>
      </c>
      <c r="N634" s="4" t="s">
        <v>20</v>
      </c>
      <c r="O634" s="4" t="s">
        <v>316</v>
      </c>
      <c r="P634" s="4" t="s">
        <v>316</v>
      </c>
      <c r="Q634" s="4" t="s">
        <v>100</v>
      </c>
      <c r="R634" s="9">
        <f t="shared" si="9"/>
        <v>2.4489888749444177E-4</v>
      </c>
    </row>
    <row r="635" spans="1:18" hidden="1" x14ac:dyDescent="0.2">
      <c r="A635" s="4">
        <v>502</v>
      </c>
      <c r="B635" s="2">
        <v>12269476</v>
      </c>
      <c r="C635" s="2">
        <v>0</v>
      </c>
      <c r="D635" s="4" t="s">
        <v>1532</v>
      </c>
      <c r="E635" s="2">
        <v>12269476</v>
      </c>
      <c r="F635" s="2">
        <v>2331200.44</v>
      </c>
      <c r="G635" s="2">
        <v>280511.65000000002</v>
      </c>
      <c r="H635" s="4">
        <v>0</v>
      </c>
      <c r="I635" s="4">
        <v>0</v>
      </c>
      <c r="J635" s="4">
        <v>280511.65000000002</v>
      </c>
      <c r="K635" s="4">
        <v>14320164.789999999</v>
      </c>
      <c r="L635" s="4" t="s">
        <v>1530</v>
      </c>
      <c r="M635" s="4" t="s">
        <v>1531</v>
      </c>
      <c r="N635" s="4" t="s">
        <v>572</v>
      </c>
      <c r="O635" s="4" t="s">
        <v>105</v>
      </c>
      <c r="P635" s="4" t="s">
        <v>105</v>
      </c>
      <c r="Q635" s="4" t="s">
        <v>100</v>
      </c>
      <c r="R635" s="9">
        <f t="shared" si="9"/>
        <v>2.4440702474049105E-4</v>
      </c>
    </row>
    <row r="636" spans="1:18" hidden="1" x14ac:dyDescent="0.2">
      <c r="A636" s="4">
        <v>1963</v>
      </c>
      <c r="B636" s="2">
        <v>12257440</v>
      </c>
      <c r="C636" s="2">
        <v>0</v>
      </c>
      <c r="D636" s="4" t="s">
        <v>1345</v>
      </c>
      <c r="E636" s="2">
        <v>12257440</v>
      </c>
      <c r="F636" s="2">
        <v>2328913.6</v>
      </c>
      <c r="G636" s="2">
        <v>0</v>
      </c>
      <c r="H636" s="4">
        <v>0</v>
      </c>
      <c r="I636" s="4">
        <v>0</v>
      </c>
      <c r="J636" s="4">
        <v>0</v>
      </c>
      <c r="K636" s="4">
        <v>14586353.6</v>
      </c>
      <c r="L636" s="4" t="s">
        <v>1343</v>
      </c>
      <c r="M636" s="4" t="s">
        <v>1344</v>
      </c>
      <c r="N636" s="4" t="s">
        <v>186</v>
      </c>
      <c r="O636" s="4" t="s">
        <v>59</v>
      </c>
      <c r="P636" s="4" t="s">
        <v>59</v>
      </c>
      <c r="Q636" s="4" t="s">
        <v>100</v>
      </c>
      <c r="R636" s="9">
        <f t="shared" si="9"/>
        <v>2.4416726853983696E-4</v>
      </c>
    </row>
    <row r="637" spans="1:18" hidden="1" x14ac:dyDescent="0.2">
      <c r="A637" s="4">
        <v>72</v>
      </c>
      <c r="B637" s="2">
        <v>12204284</v>
      </c>
      <c r="C637" s="2">
        <v>0</v>
      </c>
      <c r="D637" s="4" t="s">
        <v>1742</v>
      </c>
      <c r="E637" s="2">
        <v>12204284</v>
      </c>
      <c r="F637" s="2">
        <v>2318813.96</v>
      </c>
      <c r="G637" s="2">
        <v>0</v>
      </c>
      <c r="H637" s="4">
        <v>0</v>
      </c>
      <c r="I637" s="4">
        <v>0</v>
      </c>
      <c r="J637" s="4">
        <v>0</v>
      </c>
      <c r="K637" s="4">
        <v>14523097.960000001</v>
      </c>
      <c r="L637" s="4" t="s">
        <v>1740</v>
      </c>
      <c r="M637" s="4" t="s">
        <v>1741</v>
      </c>
      <c r="N637" s="4" t="s">
        <v>233</v>
      </c>
      <c r="O637" s="4" t="s">
        <v>229</v>
      </c>
      <c r="P637" s="4" t="s">
        <v>229</v>
      </c>
      <c r="Q637" s="4" t="s">
        <v>100</v>
      </c>
      <c r="R637" s="9">
        <f t="shared" si="9"/>
        <v>2.4310840508005223E-4</v>
      </c>
    </row>
    <row r="638" spans="1:18" hidden="1" x14ac:dyDescent="0.2">
      <c r="A638" s="4">
        <v>527</v>
      </c>
      <c r="B638" s="2">
        <v>12149103</v>
      </c>
      <c r="C638" s="2">
        <v>0</v>
      </c>
      <c r="D638" s="4" t="s">
        <v>1943</v>
      </c>
      <c r="E638" s="2">
        <v>12149103</v>
      </c>
      <c r="F638" s="2">
        <v>2308329.5699999998</v>
      </c>
      <c r="G638" s="2">
        <v>264213.07</v>
      </c>
      <c r="H638" s="4">
        <v>0</v>
      </c>
      <c r="I638" s="4">
        <v>0</v>
      </c>
      <c r="J638" s="4">
        <v>264213.07</v>
      </c>
      <c r="K638" s="4">
        <v>14193219.5</v>
      </c>
      <c r="L638" s="4" t="s">
        <v>1941</v>
      </c>
      <c r="M638" s="4" t="s">
        <v>1942</v>
      </c>
      <c r="N638" s="4" t="s">
        <v>572</v>
      </c>
      <c r="O638" s="4" t="s">
        <v>105</v>
      </c>
      <c r="P638" s="4" t="s">
        <v>105</v>
      </c>
      <c r="Q638" s="4" t="s">
        <v>100</v>
      </c>
      <c r="R638" s="9">
        <f t="shared" si="9"/>
        <v>2.4200920377494311E-4</v>
      </c>
    </row>
    <row r="639" spans="1:18" hidden="1" x14ac:dyDescent="0.2">
      <c r="A639" s="4">
        <v>716</v>
      </c>
      <c r="B639" s="2">
        <v>12115847</v>
      </c>
      <c r="C639" s="2">
        <v>0</v>
      </c>
      <c r="D639" s="4" t="s">
        <v>2700</v>
      </c>
      <c r="E639" s="2">
        <v>12115847</v>
      </c>
      <c r="F639" s="2">
        <v>2302010.9300000002</v>
      </c>
      <c r="G639" s="2">
        <v>0</v>
      </c>
      <c r="H639" s="4">
        <v>0</v>
      </c>
      <c r="I639" s="4">
        <v>0</v>
      </c>
      <c r="J639" s="4">
        <v>0</v>
      </c>
      <c r="K639" s="4">
        <v>14417857.93</v>
      </c>
      <c r="L639" s="4" t="s">
        <v>2698</v>
      </c>
      <c r="M639" s="4" t="s">
        <v>2699</v>
      </c>
      <c r="N639" s="4" t="s">
        <v>2701</v>
      </c>
      <c r="O639" s="4" t="s">
        <v>196</v>
      </c>
      <c r="P639" s="4" t="s">
        <v>196</v>
      </c>
      <c r="Q639" s="4" t="s">
        <v>100</v>
      </c>
      <c r="R639" s="9">
        <f t="shared" si="9"/>
        <v>2.413467467951365E-4</v>
      </c>
    </row>
    <row r="640" spans="1:18" hidden="1" x14ac:dyDescent="0.2">
      <c r="A640" s="4">
        <v>1057</v>
      </c>
      <c r="B640" s="2">
        <v>12088686</v>
      </c>
      <c r="C640" s="2">
        <v>0</v>
      </c>
      <c r="D640" s="4" t="s">
        <v>2656</v>
      </c>
      <c r="E640" s="2">
        <v>12088686</v>
      </c>
      <c r="F640" s="2">
        <v>2296850.34</v>
      </c>
      <c r="G640" s="2">
        <v>143749.44</v>
      </c>
      <c r="H640" s="4">
        <v>0</v>
      </c>
      <c r="I640" s="4">
        <v>0</v>
      </c>
      <c r="J640" s="4">
        <v>143749.44</v>
      </c>
      <c r="K640" s="4">
        <v>14241786.9</v>
      </c>
      <c r="L640" s="4" t="s">
        <v>2654</v>
      </c>
      <c r="M640" s="4" t="s">
        <v>2655</v>
      </c>
      <c r="N640" s="4" t="s">
        <v>2206</v>
      </c>
      <c r="O640" s="4" t="s">
        <v>196</v>
      </c>
      <c r="P640" s="4" t="s">
        <v>196</v>
      </c>
      <c r="Q640" s="4" t="s">
        <v>100</v>
      </c>
      <c r="R640" s="9">
        <f t="shared" si="9"/>
        <v>2.4080570174977545E-4</v>
      </c>
    </row>
    <row r="641" spans="1:18" hidden="1" x14ac:dyDescent="0.2">
      <c r="A641" s="4">
        <v>1112</v>
      </c>
      <c r="B641" s="2">
        <v>12048600</v>
      </c>
      <c r="C641" s="2">
        <v>0</v>
      </c>
      <c r="D641" s="4" t="s">
        <v>1911</v>
      </c>
      <c r="E641" s="2">
        <v>12048600</v>
      </c>
      <c r="F641" s="2">
        <v>2289234</v>
      </c>
      <c r="G641" s="2">
        <v>277583.14</v>
      </c>
      <c r="H641" s="4">
        <v>0</v>
      </c>
      <c r="I641" s="4">
        <v>0</v>
      </c>
      <c r="J641" s="4">
        <v>277583.14</v>
      </c>
      <c r="K641" s="4">
        <v>14060250.859999999</v>
      </c>
      <c r="L641" s="4" t="s">
        <v>1909</v>
      </c>
      <c r="M641" s="4" t="s">
        <v>1910</v>
      </c>
      <c r="N641" s="4" t="s">
        <v>20</v>
      </c>
      <c r="O641" s="4" t="s">
        <v>1043</v>
      </c>
      <c r="P641" s="4" t="s">
        <v>1043</v>
      </c>
      <c r="Q641" s="4" t="s">
        <v>100</v>
      </c>
      <c r="R641" s="9">
        <f t="shared" si="9"/>
        <v>2.4000719169166477E-4</v>
      </c>
    </row>
    <row r="642" spans="1:18" hidden="1" x14ac:dyDescent="0.2">
      <c r="A642" s="4">
        <v>1094</v>
      </c>
      <c r="B642" s="2">
        <v>11882426</v>
      </c>
      <c r="C642" s="2">
        <v>0</v>
      </c>
      <c r="D642" s="4" t="s">
        <v>1315</v>
      </c>
      <c r="E642" s="2">
        <v>11882426</v>
      </c>
      <c r="F642" s="2">
        <v>2257660.94</v>
      </c>
      <c r="G642" s="2">
        <v>214321.9</v>
      </c>
      <c r="H642" s="4">
        <v>0</v>
      </c>
      <c r="I642" s="4">
        <v>0</v>
      </c>
      <c r="J642" s="4">
        <v>214321.9</v>
      </c>
      <c r="K642" s="4">
        <v>13925765.039999999</v>
      </c>
      <c r="L642" s="4" t="s">
        <v>1313</v>
      </c>
      <c r="M642" s="4" t="s">
        <v>1314</v>
      </c>
      <c r="N642" s="4" t="s">
        <v>58</v>
      </c>
      <c r="O642" s="4" t="s">
        <v>59</v>
      </c>
      <c r="P642" s="4" t="s">
        <v>59</v>
      </c>
      <c r="Q642" s="4" t="s">
        <v>100</v>
      </c>
      <c r="R642" s="9">
        <f t="shared" si="9"/>
        <v>2.3669701830453509E-4</v>
      </c>
    </row>
    <row r="643" spans="1:18" hidden="1" x14ac:dyDescent="0.2">
      <c r="A643" s="4">
        <v>144</v>
      </c>
      <c r="B643" s="2">
        <v>11879874</v>
      </c>
      <c r="C643" s="2">
        <v>0</v>
      </c>
      <c r="D643" s="4" t="s">
        <v>2597</v>
      </c>
      <c r="E643" s="2">
        <v>11879874</v>
      </c>
      <c r="F643" s="2">
        <v>2257176.06</v>
      </c>
      <c r="G643" s="2">
        <v>0</v>
      </c>
      <c r="H643" s="4">
        <v>0</v>
      </c>
      <c r="I643" s="4">
        <v>0</v>
      </c>
      <c r="J643" s="4">
        <v>0</v>
      </c>
      <c r="K643" s="4">
        <v>14137050.060000001</v>
      </c>
      <c r="L643" s="4" t="s">
        <v>2595</v>
      </c>
      <c r="M643" s="4" t="s">
        <v>2596</v>
      </c>
      <c r="N643" s="4" t="s">
        <v>272</v>
      </c>
      <c r="O643" s="4" t="s">
        <v>89</v>
      </c>
      <c r="P643" s="4" t="s">
        <v>89</v>
      </c>
      <c r="Q643" s="4" t="s">
        <v>100</v>
      </c>
      <c r="R643" s="9">
        <f t="shared" ref="R643:R706" si="10">E643/$E$2034</f>
        <v>2.3664618265946454E-4</v>
      </c>
    </row>
    <row r="644" spans="1:18" hidden="1" x14ac:dyDescent="0.2">
      <c r="A644" s="4">
        <v>1342</v>
      </c>
      <c r="B644" s="2">
        <v>11878550</v>
      </c>
      <c r="C644" s="2">
        <v>0</v>
      </c>
      <c r="D644" s="4" t="s">
        <v>2069</v>
      </c>
      <c r="E644" s="2">
        <v>11878550</v>
      </c>
      <c r="F644" s="2">
        <v>2256924.5</v>
      </c>
      <c r="G644" s="2">
        <v>0</v>
      </c>
      <c r="H644" s="4">
        <v>0</v>
      </c>
      <c r="I644" s="4">
        <v>0</v>
      </c>
      <c r="J644" s="4">
        <v>0</v>
      </c>
      <c r="K644" s="4">
        <v>14135474.5</v>
      </c>
      <c r="L644" s="4" t="s">
        <v>2067</v>
      </c>
      <c r="M644" s="4" t="s">
        <v>2068</v>
      </c>
      <c r="N644" s="4" t="s">
        <v>20</v>
      </c>
      <c r="O644" s="4" t="s">
        <v>1157</v>
      </c>
      <c r="P644" s="4" t="s">
        <v>1157</v>
      </c>
      <c r="Q644" s="4" t="s">
        <v>100</v>
      </c>
      <c r="R644" s="9">
        <f t="shared" si="10"/>
        <v>2.3661980868059564E-4</v>
      </c>
    </row>
    <row r="645" spans="1:18" hidden="1" x14ac:dyDescent="0.2">
      <c r="A645" s="4">
        <v>1590</v>
      </c>
      <c r="B645" s="2">
        <v>11921341</v>
      </c>
      <c r="C645" s="2">
        <v>47582.22</v>
      </c>
      <c r="D645" s="4" t="s">
        <v>2103</v>
      </c>
      <c r="E645" s="2">
        <v>11873758.779999999</v>
      </c>
      <c r="F645" s="2">
        <v>2256014.17</v>
      </c>
      <c r="G645" s="2">
        <v>0</v>
      </c>
      <c r="H645" s="4">
        <v>0</v>
      </c>
      <c r="I645" s="4">
        <v>0</v>
      </c>
      <c r="J645" s="4">
        <v>0</v>
      </c>
      <c r="K645" s="4">
        <v>14129772.949999999</v>
      </c>
      <c r="L645" s="4" t="s">
        <v>2101</v>
      </c>
      <c r="M645" s="4" t="s">
        <v>2102</v>
      </c>
      <c r="N645" s="4" t="s">
        <v>20</v>
      </c>
      <c r="O645" s="4" t="s">
        <v>540</v>
      </c>
      <c r="P645" s="4" t="s">
        <v>540</v>
      </c>
      <c r="Q645" s="4" t="s">
        <v>100</v>
      </c>
      <c r="R645" s="9">
        <f t="shared" si="10"/>
        <v>2.3652436794416345E-4</v>
      </c>
    </row>
    <row r="646" spans="1:18" hidden="1" x14ac:dyDescent="0.2">
      <c r="A646" s="4">
        <v>1295</v>
      </c>
      <c r="B646" s="2">
        <v>11849132</v>
      </c>
      <c r="C646" s="2">
        <v>0</v>
      </c>
      <c r="D646" s="4" t="s">
        <v>2680</v>
      </c>
      <c r="E646" s="2">
        <v>11849132</v>
      </c>
      <c r="F646" s="2">
        <v>2251335.08</v>
      </c>
      <c r="G646" s="2">
        <v>0</v>
      </c>
      <c r="H646" s="4">
        <v>0</v>
      </c>
      <c r="I646" s="4">
        <v>0</v>
      </c>
      <c r="J646" s="4">
        <v>0</v>
      </c>
      <c r="K646" s="4">
        <v>14100467.08</v>
      </c>
      <c r="L646" s="4" t="s">
        <v>2678</v>
      </c>
      <c r="M646" s="4" t="s">
        <v>2679</v>
      </c>
      <c r="N646" s="4" t="s">
        <v>1510</v>
      </c>
      <c r="O646" s="4" t="s">
        <v>89</v>
      </c>
      <c r="P646" s="4" t="s">
        <v>89</v>
      </c>
      <c r="Q646" s="4" t="s">
        <v>100</v>
      </c>
      <c r="R646" s="9">
        <f t="shared" si="10"/>
        <v>2.3603380436763104E-4</v>
      </c>
    </row>
    <row r="647" spans="1:18" hidden="1" x14ac:dyDescent="0.2">
      <c r="A647" s="4">
        <v>1391</v>
      </c>
      <c r="B647" s="2">
        <v>11840526</v>
      </c>
      <c r="C647" s="2">
        <v>0</v>
      </c>
      <c r="D647" s="4" t="s">
        <v>2170</v>
      </c>
      <c r="E647" s="2">
        <v>11840526</v>
      </c>
      <c r="F647" s="2">
        <v>2249699.94</v>
      </c>
      <c r="G647" s="2">
        <v>0</v>
      </c>
      <c r="H647" s="4">
        <v>0</v>
      </c>
      <c r="I647" s="4">
        <v>0</v>
      </c>
      <c r="J647" s="4">
        <v>0</v>
      </c>
      <c r="K647" s="4">
        <v>14090225.939999999</v>
      </c>
      <c r="L647" s="4" t="s">
        <v>2168</v>
      </c>
      <c r="M647" s="4" t="s">
        <v>2169</v>
      </c>
      <c r="N647" s="4" t="s">
        <v>20</v>
      </c>
      <c r="O647" s="4" t="s">
        <v>631</v>
      </c>
      <c r="P647" s="4" t="s">
        <v>631</v>
      </c>
      <c r="Q647" s="4" t="s">
        <v>100</v>
      </c>
      <c r="R647" s="9">
        <f t="shared" si="10"/>
        <v>2.3586237350498322E-4</v>
      </c>
    </row>
    <row r="648" spans="1:18" hidden="1" x14ac:dyDescent="0.2">
      <c r="A648" s="4">
        <v>1107</v>
      </c>
      <c r="B648" s="2">
        <v>11817685</v>
      </c>
      <c r="C648" s="2">
        <v>0</v>
      </c>
      <c r="D648" s="4" t="s">
        <v>2128</v>
      </c>
      <c r="E648" s="2">
        <v>11817685</v>
      </c>
      <c r="F648" s="2">
        <v>2245360.15</v>
      </c>
      <c r="G648" s="2">
        <v>162984.1</v>
      </c>
      <c r="H648" s="4">
        <v>0</v>
      </c>
      <c r="I648" s="4">
        <v>0</v>
      </c>
      <c r="J648" s="4">
        <v>162984.1</v>
      </c>
      <c r="K648" s="4">
        <v>13900061.050000001</v>
      </c>
      <c r="L648" s="4" t="s">
        <v>2126</v>
      </c>
      <c r="M648" s="4" t="s">
        <v>2127</v>
      </c>
      <c r="N648" s="4" t="s">
        <v>775</v>
      </c>
      <c r="O648" s="4" t="s">
        <v>1277</v>
      </c>
      <c r="P648" s="4" t="s">
        <v>1277</v>
      </c>
      <c r="Q648" s="4" t="s">
        <v>100</v>
      </c>
      <c r="R648" s="9">
        <f t="shared" si="10"/>
        <v>2.3540738252964756E-4</v>
      </c>
    </row>
    <row r="649" spans="1:18" hidden="1" x14ac:dyDescent="0.2">
      <c r="A649" s="4">
        <v>1451</v>
      </c>
      <c r="B649" s="2">
        <v>11784562</v>
      </c>
      <c r="C649" s="2">
        <v>0</v>
      </c>
      <c r="D649" s="4" t="s">
        <v>1987</v>
      </c>
      <c r="E649" s="2">
        <v>11784562</v>
      </c>
      <c r="F649" s="2">
        <v>2239066.7799999998</v>
      </c>
      <c r="G649" s="2">
        <v>0</v>
      </c>
      <c r="H649" s="4">
        <v>0</v>
      </c>
      <c r="I649" s="4">
        <v>0</v>
      </c>
      <c r="J649" s="4">
        <v>0</v>
      </c>
      <c r="K649" s="4">
        <v>14023628.779999999</v>
      </c>
      <c r="L649" s="4" t="s">
        <v>1985</v>
      </c>
      <c r="M649" s="4" t="s">
        <v>1986</v>
      </c>
      <c r="N649" s="4" t="s">
        <v>32</v>
      </c>
      <c r="O649" s="4" t="s">
        <v>33</v>
      </c>
      <c r="P649" s="4" t="s">
        <v>33</v>
      </c>
      <c r="Q649" s="4" t="s">
        <v>100</v>
      </c>
      <c r="R649" s="9">
        <f t="shared" si="10"/>
        <v>2.34747574899682E-4</v>
      </c>
    </row>
    <row r="650" spans="1:18" hidden="1" x14ac:dyDescent="0.2">
      <c r="A650" s="4">
        <v>1791</v>
      </c>
      <c r="B650" s="2">
        <v>11736610</v>
      </c>
      <c r="C650" s="2">
        <v>0</v>
      </c>
      <c r="D650" s="4" t="s">
        <v>3506</v>
      </c>
      <c r="E650" s="2">
        <v>11736610</v>
      </c>
      <c r="F650" s="2">
        <v>2229955.9</v>
      </c>
      <c r="G650" s="2">
        <v>0</v>
      </c>
      <c r="H650" s="4">
        <v>0</v>
      </c>
      <c r="I650" s="4">
        <v>0</v>
      </c>
      <c r="J650" s="4">
        <v>0</v>
      </c>
      <c r="K650" s="4">
        <v>13966565.9</v>
      </c>
      <c r="L650" s="4" t="s">
        <v>3504</v>
      </c>
      <c r="M650" s="4" t="s">
        <v>3505</v>
      </c>
      <c r="N650" s="4" t="s">
        <v>20</v>
      </c>
      <c r="O650" s="4" t="s">
        <v>257</v>
      </c>
      <c r="P650" s="4" t="s">
        <v>257</v>
      </c>
      <c r="Q650" s="4" t="s">
        <v>100</v>
      </c>
      <c r="R650" s="9">
        <f t="shared" si="10"/>
        <v>2.3379237472240008E-4</v>
      </c>
    </row>
    <row r="651" spans="1:18" hidden="1" x14ac:dyDescent="0.2">
      <c r="A651" s="4">
        <v>970</v>
      </c>
      <c r="B651" s="2">
        <v>11735050</v>
      </c>
      <c r="C651" s="2">
        <v>0</v>
      </c>
      <c r="D651" s="4" t="s">
        <v>2190</v>
      </c>
      <c r="E651" s="2">
        <v>11735050</v>
      </c>
      <c r="F651" s="2">
        <v>2229659.5</v>
      </c>
      <c r="G651" s="2">
        <v>293376.26</v>
      </c>
      <c r="H651" s="4">
        <v>0</v>
      </c>
      <c r="I651" s="4">
        <v>0</v>
      </c>
      <c r="J651" s="4">
        <v>293376.26</v>
      </c>
      <c r="K651" s="4">
        <v>13671333.24</v>
      </c>
      <c r="L651" s="4" t="s">
        <v>2188</v>
      </c>
      <c r="M651" s="4" t="s">
        <v>2189</v>
      </c>
      <c r="N651" s="4" t="s">
        <v>233</v>
      </c>
      <c r="O651" s="4" t="s">
        <v>229</v>
      </c>
      <c r="P651" s="4" t="s">
        <v>229</v>
      </c>
      <c r="Q651" s="4" t="s">
        <v>100</v>
      </c>
      <c r="R651" s="9">
        <f t="shared" si="10"/>
        <v>2.3376129964155758E-4</v>
      </c>
    </row>
    <row r="652" spans="1:18" hidden="1" x14ac:dyDescent="0.2">
      <c r="A652" s="4">
        <v>132</v>
      </c>
      <c r="B652" s="2">
        <v>11730678</v>
      </c>
      <c r="C652" s="2">
        <v>0</v>
      </c>
      <c r="D652" s="4" t="s">
        <v>5420</v>
      </c>
      <c r="E652" s="2">
        <v>11730678</v>
      </c>
      <c r="F652" s="2">
        <v>2228828.8199999998</v>
      </c>
      <c r="G652" s="2">
        <v>0</v>
      </c>
      <c r="H652" s="4">
        <v>0</v>
      </c>
      <c r="I652" s="4">
        <v>0</v>
      </c>
      <c r="J652" s="4">
        <v>0</v>
      </c>
      <c r="K652" s="4">
        <v>13959506.82</v>
      </c>
      <c r="L652" s="4" t="s">
        <v>5418</v>
      </c>
      <c r="M652" s="4" t="s">
        <v>5419</v>
      </c>
      <c r="N652" s="4" t="s">
        <v>20</v>
      </c>
      <c r="O652" s="4" t="s">
        <v>76</v>
      </c>
      <c r="P652" s="4" t="s">
        <v>76</v>
      </c>
      <c r="Q652" s="4" t="s">
        <v>408</v>
      </c>
      <c r="R652" s="9">
        <f t="shared" si="10"/>
        <v>2.3367420973550412E-4</v>
      </c>
    </row>
    <row r="653" spans="1:18" hidden="1" x14ac:dyDescent="0.2">
      <c r="A653" s="4">
        <v>258</v>
      </c>
      <c r="B653" s="2">
        <v>11630331</v>
      </c>
      <c r="C653" s="2">
        <v>0</v>
      </c>
      <c r="D653" s="4" t="s">
        <v>2153</v>
      </c>
      <c r="E653" s="2">
        <v>11630331</v>
      </c>
      <c r="F653" s="2">
        <v>2209762.89</v>
      </c>
      <c r="G653" s="2">
        <v>239115.38</v>
      </c>
      <c r="H653" s="4">
        <v>0</v>
      </c>
      <c r="I653" s="4">
        <v>0</v>
      </c>
      <c r="J653" s="4">
        <v>239115.38</v>
      </c>
      <c r="K653" s="4">
        <v>13600978.51</v>
      </c>
      <c r="L653" s="4" t="s">
        <v>2151</v>
      </c>
      <c r="M653" s="4" t="s">
        <v>2152</v>
      </c>
      <c r="N653" s="4" t="s">
        <v>2072</v>
      </c>
      <c r="O653" s="4" t="s">
        <v>89</v>
      </c>
      <c r="P653" s="4" t="s">
        <v>89</v>
      </c>
      <c r="Q653" s="4" t="s">
        <v>100</v>
      </c>
      <c r="R653" s="9">
        <f t="shared" si="10"/>
        <v>2.3167530516031003E-4</v>
      </c>
    </row>
    <row r="654" spans="1:18" hidden="1" x14ac:dyDescent="0.2">
      <c r="A654" s="4">
        <v>528</v>
      </c>
      <c r="B654" s="2">
        <v>11628958</v>
      </c>
      <c r="C654" s="2">
        <v>0</v>
      </c>
      <c r="D654" s="4" t="s">
        <v>1160</v>
      </c>
      <c r="E654" s="2">
        <v>11628958</v>
      </c>
      <c r="F654" s="2">
        <v>2209502.02</v>
      </c>
      <c r="G654" s="2">
        <v>193615.71</v>
      </c>
      <c r="H654" s="4">
        <v>0</v>
      </c>
      <c r="I654" s="4">
        <v>0</v>
      </c>
      <c r="J654" s="4">
        <v>193615.71</v>
      </c>
      <c r="K654" s="4">
        <v>13644844.310000001</v>
      </c>
      <c r="L654" s="4" t="s">
        <v>1158</v>
      </c>
      <c r="M654" s="4" t="s">
        <v>1159</v>
      </c>
      <c r="N654" s="4" t="s">
        <v>1161</v>
      </c>
      <c r="O654" s="4" t="s">
        <v>113</v>
      </c>
      <c r="P654" s="4" t="s">
        <v>113</v>
      </c>
      <c r="Q654" s="4" t="s">
        <v>100</v>
      </c>
      <c r="R654" s="9">
        <f t="shared" si="10"/>
        <v>2.3164795510518391E-4</v>
      </c>
    </row>
    <row r="655" spans="1:18" hidden="1" x14ac:dyDescent="0.2">
      <c r="A655" s="4">
        <v>1525</v>
      </c>
      <c r="B655" s="2">
        <v>11593608</v>
      </c>
      <c r="C655" s="2">
        <v>0</v>
      </c>
      <c r="D655" s="4" t="s">
        <v>2411</v>
      </c>
      <c r="E655" s="2">
        <v>11593608</v>
      </c>
      <c r="F655" s="2">
        <v>2202785.52</v>
      </c>
      <c r="G655" s="2">
        <v>0</v>
      </c>
      <c r="H655" s="4">
        <v>0</v>
      </c>
      <c r="I655" s="4">
        <v>0</v>
      </c>
      <c r="J655" s="4">
        <v>0</v>
      </c>
      <c r="K655" s="4">
        <v>13796393.52</v>
      </c>
      <c r="L655" s="4" t="s">
        <v>2409</v>
      </c>
      <c r="M655" s="4" t="s">
        <v>2410</v>
      </c>
      <c r="N655" s="4" t="s">
        <v>975</v>
      </c>
      <c r="O655" s="4" t="s">
        <v>89</v>
      </c>
      <c r="P655" s="4" t="s">
        <v>89</v>
      </c>
      <c r="Q655" s="4" t="s">
        <v>100</v>
      </c>
      <c r="R655" s="9">
        <f t="shared" si="10"/>
        <v>2.3094378580532329E-4</v>
      </c>
    </row>
    <row r="656" spans="1:18" hidden="1" x14ac:dyDescent="0.2">
      <c r="A656" s="4">
        <v>1389</v>
      </c>
      <c r="B656" s="2">
        <v>11517044</v>
      </c>
      <c r="C656" s="2">
        <v>0</v>
      </c>
      <c r="D656" s="4" t="s">
        <v>5423</v>
      </c>
      <c r="E656" s="2">
        <v>11517044</v>
      </c>
      <c r="F656" s="2">
        <v>2188238.36</v>
      </c>
      <c r="G656" s="2">
        <v>287926.09999999998</v>
      </c>
      <c r="H656" s="4">
        <v>0</v>
      </c>
      <c r="I656" s="4">
        <v>0</v>
      </c>
      <c r="J656" s="4">
        <v>287926.09999999998</v>
      </c>
      <c r="K656" s="4">
        <v>13417356.26</v>
      </c>
      <c r="L656" s="4" t="s">
        <v>5421</v>
      </c>
      <c r="M656" s="4" t="s">
        <v>5422</v>
      </c>
      <c r="N656" s="4" t="s">
        <v>92</v>
      </c>
      <c r="O656" s="4" t="s">
        <v>93</v>
      </c>
      <c r="P656" s="4" t="s">
        <v>93</v>
      </c>
      <c r="Q656" s="4" t="s">
        <v>100</v>
      </c>
      <c r="R656" s="9">
        <f t="shared" si="10"/>
        <v>2.294186367735121E-4</v>
      </c>
    </row>
    <row r="657" spans="1:18" hidden="1" x14ac:dyDescent="0.2">
      <c r="A657" s="4">
        <v>685</v>
      </c>
      <c r="B657" s="2">
        <v>11476813</v>
      </c>
      <c r="C657" s="2">
        <v>4541.55</v>
      </c>
      <c r="D657" s="4" t="s">
        <v>3084</v>
      </c>
      <c r="E657" s="2">
        <v>11472271.449999999</v>
      </c>
      <c r="F657" s="2">
        <v>2179731.58</v>
      </c>
      <c r="G657" s="2">
        <v>0</v>
      </c>
      <c r="H657" s="4">
        <v>0</v>
      </c>
      <c r="I657" s="4">
        <v>0</v>
      </c>
      <c r="J657" s="4">
        <v>0</v>
      </c>
      <c r="K657" s="4">
        <v>13652003.029999999</v>
      </c>
      <c r="L657" s="4" t="s">
        <v>3082</v>
      </c>
      <c r="M657" s="4" t="s">
        <v>3083</v>
      </c>
      <c r="N657" s="4" t="s">
        <v>88</v>
      </c>
      <c r="O657" s="4" t="s">
        <v>89</v>
      </c>
      <c r="P657" s="4" t="s">
        <v>89</v>
      </c>
      <c r="Q657" s="4" t="s">
        <v>100</v>
      </c>
      <c r="R657" s="9">
        <f t="shared" si="10"/>
        <v>2.2852677099737421E-4</v>
      </c>
    </row>
    <row r="658" spans="1:18" hidden="1" x14ac:dyDescent="0.2">
      <c r="A658" s="4">
        <v>560</v>
      </c>
      <c r="B658" s="2">
        <v>11448757</v>
      </c>
      <c r="C658" s="2">
        <v>0</v>
      </c>
      <c r="D658" s="4" t="s">
        <v>3479</v>
      </c>
      <c r="E658" s="2">
        <v>11448757</v>
      </c>
      <c r="F658" s="2">
        <v>2175263.83</v>
      </c>
      <c r="G658" s="2">
        <v>286218.93</v>
      </c>
      <c r="H658" s="4">
        <v>0</v>
      </c>
      <c r="I658" s="4">
        <v>0</v>
      </c>
      <c r="J658" s="4">
        <v>286218.93</v>
      </c>
      <c r="K658" s="4">
        <v>13337801.9</v>
      </c>
      <c r="L658" s="4" t="s">
        <v>3477</v>
      </c>
      <c r="M658" s="4" t="s">
        <v>3478</v>
      </c>
      <c r="N658" s="4" t="s">
        <v>20</v>
      </c>
      <c r="O658" s="4" t="s">
        <v>257</v>
      </c>
      <c r="P658" s="4" t="s">
        <v>257</v>
      </c>
      <c r="Q658" s="4" t="s">
        <v>100</v>
      </c>
      <c r="R658" s="9">
        <f t="shared" si="10"/>
        <v>2.2805836494947868E-4</v>
      </c>
    </row>
    <row r="659" spans="1:18" hidden="1" x14ac:dyDescent="0.2">
      <c r="A659" s="4">
        <v>1154</v>
      </c>
      <c r="B659" s="2">
        <v>11444876</v>
      </c>
      <c r="C659" s="2">
        <v>0</v>
      </c>
      <c r="D659" s="4" t="s">
        <v>2902</v>
      </c>
      <c r="E659" s="2">
        <v>11444876</v>
      </c>
      <c r="F659" s="2">
        <v>2174526.44</v>
      </c>
      <c r="G659" s="2">
        <v>225244.9</v>
      </c>
      <c r="H659" s="4">
        <v>0</v>
      </c>
      <c r="I659" s="4">
        <v>0</v>
      </c>
      <c r="J659" s="4">
        <v>225244.9</v>
      </c>
      <c r="K659" s="4">
        <v>13394157.539999999</v>
      </c>
      <c r="L659" s="4" t="s">
        <v>2900</v>
      </c>
      <c r="M659" s="4" t="s">
        <v>2901</v>
      </c>
      <c r="N659" s="4" t="s">
        <v>20</v>
      </c>
      <c r="O659" s="4" t="s">
        <v>76</v>
      </c>
      <c r="P659" s="4" t="s">
        <v>76</v>
      </c>
      <c r="Q659" s="4" t="s">
        <v>1378</v>
      </c>
      <c r="R659" s="9">
        <f t="shared" si="10"/>
        <v>2.2798105572592115E-4</v>
      </c>
    </row>
    <row r="660" spans="1:18" hidden="1" x14ac:dyDescent="0.2">
      <c r="A660" s="4">
        <v>1689</v>
      </c>
      <c r="B660" s="2">
        <v>11421916</v>
      </c>
      <c r="C660" s="2">
        <v>0</v>
      </c>
      <c r="D660" s="4" t="s">
        <v>1565</v>
      </c>
      <c r="E660" s="2">
        <v>11421916</v>
      </c>
      <c r="F660" s="2">
        <v>2170164.04</v>
      </c>
      <c r="G660" s="2">
        <v>0</v>
      </c>
      <c r="H660" s="4">
        <v>0</v>
      </c>
      <c r="I660" s="4">
        <v>0</v>
      </c>
      <c r="J660" s="4">
        <v>0</v>
      </c>
      <c r="K660" s="4">
        <v>13592080.039999999</v>
      </c>
      <c r="L660" s="4" t="s">
        <v>1563</v>
      </c>
      <c r="M660" s="4" t="s">
        <v>1564</v>
      </c>
      <c r="N660" s="4" t="s">
        <v>1566</v>
      </c>
      <c r="O660" s="4" t="s">
        <v>59</v>
      </c>
      <c r="P660" s="4" t="s">
        <v>59</v>
      </c>
      <c r="Q660" s="4" t="s">
        <v>100</v>
      </c>
      <c r="R660" s="9">
        <f t="shared" si="10"/>
        <v>2.2752369427967508E-4</v>
      </c>
    </row>
    <row r="661" spans="1:18" hidden="1" x14ac:dyDescent="0.2">
      <c r="A661" s="4">
        <v>481</v>
      </c>
      <c r="B661" s="2">
        <v>11389707</v>
      </c>
      <c r="C661" s="2">
        <v>0</v>
      </c>
      <c r="D661" s="4" t="s">
        <v>2261</v>
      </c>
      <c r="E661" s="2">
        <v>11389707</v>
      </c>
      <c r="F661" s="2">
        <v>2164044.33</v>
      </c>
      <c r="G661" s="2">
        <v>284742.67</v>
      </c>
      <c r="H661" s="4">
        <v>0</v>
      </c>
      <c r="I661" s="4">
        <v>0</v>
      </c>
      <c r="J661" s="4">
        <v>284742.67</v>
      </c>
      <c r="K661" s="4">
        <v>13269008.66</v>
      </c>
      <c r="L661" s="4" t="s">
        <v>2259</v>
      </c>
      <c r="M661" s="4" t="s">
        <v>2260</v>
      </c>
      <c r="N661" s="4" t="s">
        <v>939</v>
      </c>
      <c r="O661" s="4" t="s">
        <v>940</v>
      </c>
      <c r="P661" s="4" t="s">
        <v>940</v>
      </c>
      <c r="Q661" s="4" t="s">
        <v>100</v>
      </c>
      <c r="R661" s="9">
        <f t="shared" si="10"/>
        <v>2.2688209345989545E-4</v>
      </c>
    </row>
    <row r="662" spans="1:18" hidden="1" x14ac:dyDescent="0.2">
      <c r="A662" s="4">
        <v>650</v>
      </c>
      <c r="B662" s="2">
        <v>11378367</v>
      </c>
      <c r="C662" s="2">
        <v>0</v>
      </c>
      <c r="D662" s="4" t="s">
        <v>2610</v>
      </c>
      <c r="E662" s="2">
        <v>11378367</v>
      </c>
      <c r="F662" s="2">
        <v>2161889.73</v>
      </c>
      <c r="G662" s="2">
        <v>39972.1</v>
      </c>
      <c r="H662" s="4">
        <v>0</v>
      </c>
      <c r="I662" s="4">
        <v>0</v>
      </c>
      <c r="J662" s="4">
        <v>39972.1</v>
      </c>
      <c r="K662" s="4">
        <v>13500284.630000001</v>
      </c>
      <c r="L662" s="4" t="s">
        <v>2608</v>
      </c>
      <c r="M662" s="4" t="s">
        <v>2609</v>
      </c>
      <c r="N662" s="4" t="s">
        <v>272</v>
      </c>
      <c r="O662" s="4" t="s">
        <v>89</v>
      </c>
      <c r="P662" s="4" t="s">
        <v>89</v>
      </c>
      <c r="Q662" s="4" t="s">
        <v>100</v>
      </c>
      <c r="R662" s="9">
        <f t="shared" si="10"/>
        <v>2.2665620152607878E-4</v>
      </c>
    </row>
    <row r="663" spans="1:18" hidden="1" x14ac:dyDescent="0.2">
      <c r="A663" s="4">
        <v>1162</v>
      </c>
      <c r="B663" s="2">
        <v>11362293</v>
      </c>
      <c r="C663" s="2">
        <v>0</v>
      </c>
      <c r="D663" s="4" t="s">
        <v>1697</v>
      </c>
      <c r="E663" s="2">
        <v>11362293</v>
      </c>
      <c r="F663" s="2">
        <v>2158835.67</v>
      </c>
      <c r="G663" s="2">
        <v>31934.400000000001</v>
      </c>
      <c r="H663" s="4">
        <v>66222.259999999995</v>
      </c>
      <c r="I663" s="4">
        <v>7664.26</v>
      </c>
      <c r="J663" s="4">
        <v>105820.92</v>
      </c>
      <c r="K663" s="4">
        <v>13415307.75</v>
      </c>
      <c r="L663" s="4" t="s">
        <v>1696</v>
      </c>
      <c r="M663" s="4" t="s">
        <v>178</v>
      </c>
      <c r="N663" s="4" t="s">
        <v>20</v>
      </c>
      <c r="O663" s="4" t="s">
        <v>257</v>
      </c>
      <c r="P663" s="4" t="s">
        <v>257</v>
      </c>
      <c r="Q663" s="4" t="s">
        <v>28</v>
      </c>
      <c r="R663" s="9">
        <f t="shared" si="10"/>
        <v>2.2633600867385929E-4</v>
      </c>
    </row>
    <row r="664" spans="1:18" hidden="1" x14ac:dyDescent="0.2">
      <c r="A664" s="4">
        <v>1674</v>
      </c>
      <c r="B664" s="2">
        <v>11349812</v>
      </c>
      <c r="C664" s="2">
        <v>0</v>
      </c>
      <c r="D664" s="4" t="s">
        <v>1268</v>
      </c>
      <c r="E664" s="2">
        <v>11349812</v>
      </c>
      <c r="F664" s="2">
        <v>2156464.2799999998</v>
      </c>
      <c r="G664" s="2">
        <v>0</v>
      </c>
      <c r="H664" s="4">
        <v>0</v>
      </c>
      <c r="I664" s="4">
        <v>0</v>
      </c>
      <c r="J664" s="4">
        <v>0</v>
      </c>
      <c r="K664" s="4">
        <v>13506276.279999999</v>
      </c>
      <c r="L664" s="4" t="s">
        <v>1266</v>
      </c>
      <c r="M664" s="4" t="s">
        <v>1267</v>
      </c>
      <c r="N664" s="4" t="s">
        <v>1269</v>
      </c>
      <c r="O664" s="4" t="s">
        <v>105</v>
      </c>
      <c r="P664" s="4" t="s">
        <v>105</v>
      </c>
      <c r="Q664" s="4" t="s">
        <v>100</v>
      </c>
      <c r="R664" s="9">
        <f t="shared" si="10"/>
        <v>2.2608738810719564E-4</v>
      </c>
    </row>
    <row r="665" spans="1:18" hidden="1" x14ac:dyDescent="0.2">
      <c r="A665" s="4">
        <v>1581</v>
      </c>
      <c r="B665" s="2">
        <v>11337528</v>
      </c>
      <c r="C665" s="2">
        <v>0</v>
      </c>
      <c r="D665" s="4" t="s">
        <v>1335</v>
      </c>
      <c r="E665" s="2">
        <v>11337528</v>
      </c>
      <c r="F665" s="2">
        <v>2154130.3199999998</v>
      </c>
      <c r="G665" s="2">
        <v>254653.85</v>
      </c>
      <c r="H665" s="4">
        <v>0</v>
      </c>
      <c r="I665" s="4">
        <v>0</v>
      </c>
      <c r="J665" s="4">
        <v>254653.85</v>
      </c>
      <c r="K665" s="4">
        <v>13237004.470000001</v>
      </c>
      <c r="L665" s="4" t="s">
        <v>1333</v>
      </c>
      <c r="M665" s="4" t="s">
        <v>1334</v>
      </c>
      <c r="N665" s="4" t="s">
        <v>20</v>
      </c>
      <c r="O665" s="4" t="s">
        <v>359</v>
      </c>
      <c r="P665" s="4" t="s">
        <v>359</v>
      </c>
      <c r="Q665" s="4" t="s">
        <v>100</v>
      </c>
      <c r="R665" s="9">
        <f t="shared" si="10"/>
        <v>2.2584269176548452E-4</v>
      </c>
    </row>
    <row r="666" spans="1:18" hidden="1" x14ac:dyDescent="0.2">
      <c r="A666" s="4">
        <v>545</v>
      </c>
      <c r="B666" s="2">
        <v>11271948</v>
      </c>
      <c r="C666" s="2">
        <v>0</v>
      </c>
      <c r="D666" s="4" t="s">
        <v>5426</v>
      </c>
      <c r="E666" s="2">
        <v>11271948</v>
      </c>
      <c r="F666" s="2">
        <v>2141670.12</v>
      </c>
      <c r="G666" s="2">
        <v>0</v>
      </c>
      <c r="H666" s="4">
        <v>0</v>
      </c>
      <c r="I666" s="4">
        <v>0</v>
      </c>
      <c r="J666" s="4">
        <v>0</v>
      </c>
      <c r="K666" s="4">
        <v>13413618.119999999</v>
      </c>
      <c r="L666" s="4" t="s">
        <v>5424</v>
      </c>
      <c r="M666" s="4" t="s">
        <v>5425</v>
      </c>
      <c r="N666" s="4" t="s">
        <v>37</v>
      </c>
      <c r="O666" s="4" t="s">
        <v>33</v>
      </c>
      <c r="P666" s="4" t="s">
        <v>33</v>
      </c>
      <c r="Q666" s="4" t="s">
        <v>100</v>
      </c>
      <c r="R666" s="9">
        <f t="shared" si="10"/>
        <v>2.2453634317468234E-4</v>
      </c>
    </row>
    <row r="667" spans="1:18" hidden="1" x14ac:dyDescent="0.2">
      <c r="A667" s="4">
        <v>851</v>
      </c>
      <c r="B667" s="2">
        <v>11248726</v>
      </c>
      <c r="C667" s="2">
        <v>0</v>
      </c>
      <c r="D667" s="4" t="s">
        <v>1713</v>
      </c>
      <c r="E667" s="2">
        <v>11248726</v>
      </c>
      <c r="F667" s="2">
        <v>2137257.94</v>
      </c>
      <c r="G667" s="2">
        <v>0</v>
      </c>
      <c r="H667" s="4">
        <v>0</v>
      </c>
      <c r="I667" s="4">
        <v>0</v>
      </c>
      <c r="J667" s="4">
        <v>0</v>
      </c>
      <c r="K667" s="4">
        <v>13385983.939999999</v>
      </c>
      <c r="L667" s="4" t="s">
        <v>1711</v>
      </c>
      <c r="M667" s="4" t="s">
        <v>1712</v>
      </c>
      <c r="N667" s="4" t="s">
        <v>1714</v>
      </c>
      <c r="O667" s="4" t="s">
        <v>559</v>
      </c>
      <c r="P667" s="4" t="s">
        <v>559</v>
      </c>
      <c r="Q667" s="4" t="s">
        <v>100</v>
      </c>
      <c r="R667" s="9">
        <f t="shared" si="10"/>
        <v>2.2407376270844857E-4</v>
      </c>
    </row>
    <row r="668" spans="1:18" hidden="1" x14ac:dyDescent="0.2">
      <c r="A668" s="4">
        <v>1908</v>
      </c>
      <c r="B668" s="2">
        <v>11144744</v>
      </c>
      <c r="C668" s="2">
        <v>0</v>
      </c>
      <c r="D668" s="4" t="s">
        <v>5429</v>
      </c>
      <c r="E668" s="2">
        <v>11144744</v>
      </c>
      <c r="F668" s="2">
        <v>0</v>
      </c>
      <c r="G668" s="2">
        <v>278618.59999999998</v>
      </c>
      <c r="H668" s="4">
        <v>0</v>
      </c>
      <c r="I668" s="4">
        <v>0</v>
      </c>
      <c r="J668" s="4">
        <v>278618.59999999998</v>
      </c>
      <c r="K668" s="4">
        <v>10866125.4</v>
      </c>
      <c r="L668" s="4" t="s">
        <v>5427</v>
      </c>
      <c r="M668" s="4" t="s">
        <v>5428</v>
      </c>
      <c r="N668" s="4" t="s">
        <v>205</v>
      </c>
      <c r="O668" s="4" t="s">
        <v>206</v>
      </c>
      <c r="P668" s="4" t="s">
        <v>206</v>
      </c>
      <c r="Q668" s="4" t="s">
        <v>100</v>
      </c>
      <c r="R668" s="9">
        <f t="shared" si="10"/>
        <v>2.2200244921090673E-4</v>
      </c>
    </row>
    <row r="669" spans="1:18" hidden="1" x14ac:dyDescent="0.2">
      <c r="A669" s="4">
        <v>719</v>
      </c>
      <c r="B669" s="2">
        <v>11090797</v>
      </c>
      <c r="C669" s="2">
        <v>0</v>
      </c>
      <c r="D669" s="4" t="s">
        <v>2147</v>
      </c>
      <c r="E669" s="2">
        <v>11090797</v>
      </c>
      <c r="F669" s="2">
        <v>2107251.4300000002</v>
      </c>
      <c r="G669" s="2">
        <v>0</v>
      </c>
      <c r="H669" s="4">
        <v>0</v>
      </c>
      <c r="I669" s="4">
        <v>0</v>
      </c>
      <c r="J669" s="4">
        <v>0</v>
      </c>
      <c r="K669" s="4">
        <v>13198048.43</v>
      </c>
      <c r="L669" s="4" t="s">
        <v>2145</v>
      </c>
      <c r="M669" s="4" t="s">
        <v>2146</v>
      </c>
      <c r="N669" s="4" t="s">
        <v>20</v>
      </c>
      <c r="O669" s="4" t="s">
        <v>316</v>
      </c>
      <c r="P669" s="4" t="s">
        <v>316</v>
      </c>
      <c r="Q669" s="4" t="s">
        <v>100</v>
      </c>
      <c r="R669" s="9">
        <f t="shared" si="10"/>
        <v>2.2092782909154099E-4</v>
      </c>
    </row>
    <row r="670" spans="1:18" hidden="1" x14ac:dyDescent="0.2">
      <c r="A670" s="4">
        <v>339</v>
      </c>
      <c r="B670" s="2">
        <v>11074487</v>
      </c>
      <c r="C670" s="2">
        <v>0</v>
      </c>
      <c r="D670" s="4" t="s">
        <v>5432</v>
      </c>
      <c r="E670" s="2">
        <v>11074487</v>
      </c>
      <c r="F670" s="2">
        <v>2104152.5299999998</v>
      </c>
      <c r="G670" s="2">
        <v>276862.18</v>
      </c>
      <c r="H670" s="4">
        <v>0</v>
      </c>
      <c r="I670" s="4">
        <v>0</v>
      </c>
      <c r="J670" s="4">
        <v>276862.18</v>
      </c>
      <c r="K670" s="4">
        <v>12901777.35</v>
      </c>
      <c r="L670" s="4" t="s">
        <v>5430</v>
      </c>
      <c r="M670" s="4" t="s">
        <v>5431</v>
      </c>
      <c r="N670" s="4" t="s">
        <v>1143</v>
      </c>
      <c r="O670" s="4" t="s">
        <v>76</v>
      </c>
      <c r="P670" s="4" t="s">
        <v>76</v>
      </c>
      <c r="Q670" s="4" t="s">
        <v>1378</v>
      </c>
      <c r="R670" s="9">
        <f t="shared" si="10"/>
        <v>2.2060293513734787E-4</v>
      </c>
    </row>
    <row r="671" spans="1:18" hidden="1" x14ac:dyDescent="0.2">
      <c r="A671" s="4">
        <v>416</v>
      </c>
      <c r="B671" s="2">
        <v>11031126</v>
      </c>
      <c r="C671" s="2">
        <v>0</v>
      </c>
      <c r="D671" s="4" t="s">
        <v>5228</v>
      </c>
      <c r="E671" s="2">
        <v>11031126</v>
      </c>
      <c r="F671" s="2">
        <v>2095913.94</v>
      </c>
      <c r="G671" s="2">
        <v>97384.85</v>
      </c>
      <c r="H671" s="4">
        <v>0</v>
      </c>
      <c r="I671" s="4">
        <v>0</v>
      </c>
      <c r="J671" s="4">
        <v>97384.85</v>
      </c>
      <c r="K671" s="4">
        <v>13029655.09</v>
      </c>
      <c r="L671" s="4" t="s">
        <v>5226</v>
      </c>
      <c r="M671" s="4" t="s">
        <v>5227</v>
      </c>
      <c r="N671" s="4" t="s">
        <v>20</v>
      </c>
      <c r="O671" s="4" t="s">
        <v>1549</v>
      </c>
      <c r="P671" s="4" t="s">
        <v>1549</v>
      </c>
      <c r="Q671" s="4" t="s">
        <v>100</v>
      </c>
      <c r="R671" s="9">
        <f t="shared" si="10"/>
        <v>2.1973918732939157E-4</v>
      </c>
    </row>
    <row r="672" spans="1:18" hidden="1" x14ac:dyDescent="0.2">
      <c r="A672" s="4">
        <v>882</v>
      </c>
      <c r="B672" s="2">
        <v>10984819</v>
      </c>
      <c r="C672" s="2">
        <v>0</v>
      </c>
      <c r="D672" s="4" t="s">
        <v>3060</v>
      </c>
      <c r="E672" s="2">
        <v>10984819</v>
      </c>
      <c r="F672" s="2">
        <v>2087115.61</v>
      </c>
      <c r="G672" s="2">
        <v>0</v>
      </c>
      <c r="H672" s="4">
        <v>0</v>
      </c>
      <c r="I672" s="4">
        <v>0</v>
      </c>
      <c r="J672" s="4">
        <v>0</v>
      </c>
      <c r="K672" s="4">
        <v>13071934.609999999</v>
      </c>
      <c r="L672" s="4" t="s">
        <v>3058</v>
      </c>
      <c r="M672" s="4" t="s">
        <v>3059</v>
      </c>
      <c r="N672" s="4" t="s">
        <v>2533</v>
      </c>
      <c r="O672" s="4" t="s">
        <v>59</v>
      </c>
      <c r="P672" s="4" t="s">
        <v>1039</v>
      </c>
      <c r="Q672" s="4" t="s">
        <v>100</v>
      </c>
      <c r="R672" s="9">
        <f t="shared" si="10"/>
        <v>2.1881675542645963E-4</v>
      </c>
    </row>
    <row r="673" spans="1:18" hidden="1" x14ac:dyDescent="0.2">
      <c r="A673" s="4">
        <v>68</v>
      </c>
      <c r="B673" s="2">
        <v>10955322</v>
      </c>
      <c r="C673" s="2">
        <v>0</v>
      </c>
      <c r="D673" s="4" t="s">
        <v>2984</v>
      </c>
      <c r="E673" s="2">
        <v>10955322</v>
      </c>
      <c r="F673" s="2">
        <v>2081511.18</v>
      </c>
      <c r="G673" s="2">
        <v>0</v>
      </c>
      <c r="H673" s="4">
        <v>0</v>
      </c>
      <c r="I673" s="4">
        <v>0</v>
      </c>
      <c r="J673" s="4">
        <v>0</v>
      </c>
      <c r="K673" s="4">
        <v>13036833.18</v>
      </c>
      <c r="L673" s="4" t="s">
        <v>2982</v>
      </c>
      <c r="M673" s="4" t="s">
        <v>2983</v>
      </c>
      <c r="N673" s="4" t="s">
        <v>648</v>
      </c>
      <c r="O673" s="4" t="s">
        <v>340</v>
      </c>
      <c r="P673" s="4" t="s">
        <v>340</v>
      </c>
      <c r="Q673" s="4" t="s">
        <v>100</v>
      </c>
      <c r="R673" s="9">
        <f t="shared" si="10"/>
        <v>2.1822917743952928E-4</v>
      </c>
    </row>
    <row r="674" spans="1:18" hidden="1" x14ac:dyDescent="0.2">
      <c r="A674" s="4">
        <v>1175</v>
      </c>
      <c r="B674" s="2">
        <v>10917485</v>
      </c>
      <c r="C674" s="2">
        <v>0</v>
      </c>
      <c r="D674" s="4" t="s">
        <v>592</v>
      </c>
      <c r="E674" s="2">
        <v>10917485</v>
      </c>
      <c r="F674" s="2">
        <v>2074322.15</v>
      </c>
      <c r="G674" s="2">
        <v>272937.13</v>
      </c>
      <c r="H674" s="4">
        <v>0</v>
      </c>
      <c r="I674" s="4">
        <v>0</v>
      </c>
      <c r="J674" s="4">
        <v>272937.13</v>
      </c>
      <c r="K674" s="4">
        <v>12718870.02</v>
      </c>
      <c r="L674" s="4" t="s">
        <v>590</v>
      </c>
      <c r="M674" s="4" t="s">
        <v>591</v>
      </c>
      <c r="N674" s="4" t="s">
        <v>186</v>
      </c>
      <c r="O674" s="4" t="s">
        <v>59</v>
      </c>
      <c r="P674" s="4" t="s">
        <v>59</v>
      </c>
      <c r="Q674" s="4" t="s">
        <v>100</v>
      </c>
      <c r="R674" s="9">
        <f t="shared" si="10"/>
        <v>2.1747546728963322E-4</v>
      </c>
    </row>
    <row r="675" spans="1:18" hidden="1" x14ac:dyDescent="0.2">
      <c r="A675" s="4">
        <v>421</v>
      </c>
      <c r="B675" s="2">
        <v>10872716</v>
      </c>
      <c r="C675" s="2">
        <v>0</v>
      </c>
      <c r="D675" s="4" t="s">
        <v>4196</v>
      </c>
      <c r="E675" s="2">
        <v>10872716</v>
      </c>
      <c r="F675" s="2">
        <v>2065816.04</v>
      </c>
      <c r="G675" s="2">
        <v>271817.90000000002</v>
      </c>
      <c r="H675" s="4">
        <v>309872.40999999997</v>
      </c>
      <c r="I675" s="4">
        <v>0</v>
      </c>
      <c r="J675" s="4">
        <v>581690.31000000006</v>
      </c>
      <c r="K675" s="4">
        <v>12356841.73</v>
      </c>
      <c r="L675" s="4" t="s">
        <v>4195</v>
      </c>
      <c r="M675" s="4" t="s">
        <v>137</v>
      </c>
      <c r="N675" s="4" t="s">
        <v>20</v>
      </c>
      <c r="O675" s="4" t="s">
        <v>1043</v>
      </c>
      <c r="P675" s="4" t="s">
        <v>1043</v>
      </c>
      <c r="Q675" s="4" t="s">
        <v>22</v>
      </c>
      <c r="R675" s="9">
        <f t="shared" si="10"/>
        <v>2.165836722292242E-4</v>
      </c>
    </row>
    <row r="676" spans="1:18" hidden="1" x14ac:dyDescent="0.2">
      <c r="A676" s="4">
        <v>236</v>
      </c>
      <c r="B676" s="2">
        <v>10820696</v>
      </c>
      <c r="C676" s="2">
        <v>0</v>
      </c>
      <c r="D676" s="4" t="s">
        <v>5435</v>
      </c>
      <c r="E676" s="2">
        <v>10820696</v>
      </c>
      <c r="F676" s="2">
        <v>2055932.24</v>
      </c>
      <c r="G676" s="2">
        <v>270517.40000000002</v>
      </c>
      <c r="H676" s="4">
        <v>0</v>
      </c>
      <c r="I676" s="4">
        <v>0</v>
      </c>
      <c r="J676" s="4">
        <v>270517.40000000002</v>
      </c>
      <c r="K676" s="4">
        <v>12606110.84</v>
      </c>
      <c r="L676" s="4" t="s">
        <v>5433</v>
      </c>
      <c r="M676" s="4" t="s">
        <v>5434</v>
      </c>
      <c r="N676" s="4" t="s">
        <v>939</v>
      </c>
      <c r="O676" s="4" t="s">
        <v>940</v>
      </c>
      <c r="P676" s="4" t="s">
        <v>940</v>
      </c>
      <c r="Q676" s="4" t="s">
        <v>100</v>
      </c>
      <c r="R676" s="9">
        <f t="shared" si="10"/>
        <v>2.1554743780266837E-4</v>
      </c>
    </row>
    <row r="677" spans="1:18" hidden="1" x14ac:dyDescent="0.2">
      <c r="A677" s="4">
        <v>1416</v>
      </c>
      <c r="B677" s="2">
        <v>10811076</v>
      </c>
      <c r="C677" s="2">
        <v>0</v>
      </c>
      <c r="D677" s="4" t="s">
        <v>1934</v>
      </c>
      <c r="E677" s="2">
        <v>10811076</v>
      </c>
      <c r="F677" s="2">
        <v>2054104.44</v>
      </c>
      <c r="G677" s="2">
        <v>117351.52</v>
      </c>
      <c r="H677" s="4">
        <v>0</v>
      </c>
      <c r="I677" s="4">
        <v>0</v>
      </c>
      <c r="J677" s="4">
        <v>117351.52</v>
      </c>
      <c r="K677" s="4">
        <v>12747828.92</v>
      </c>
      <c r="L677" s="4" t="s">
        <v>1932</v>
      </c>
      <c r="M677" s="4" t="s">
        <v>1933</v>
      </c>
      <c r="N677" s="4" t="s">
        <v>1463</v>
      </c>
      <c r="O677" s="4" t="s">
        <v>105</v>
      </c>
      <c r="P677" s="4" t="s">
        <v>105</v>
      </c>
      <c r="Q677" s="4" t="s">
        <v>100</v>
      </c>
      <c r="R677" s="9">
        <f t="shared" si="10"/>
        <v>2.1535580813747296E-4</v>
      </c>
    </row>
    <row r="678" spans="1:18" hidden="1" x14ac:dyDescent="0.2">
      <c r="A678" s="4">
        <v>1893</v>
      </c>
      <c r="B678" s="2">
        <v>10810161</v>
      </c>
      <c r="C678" s="2">
        <v>0</v>
      </c>
      <c r="D678" s="4" t="s">
        <v>949</v>
      </c>
      <c r="E678" s="2">
        <v>10810161</v>
      </c>
      <c r="F678" s="2">
        <v>2053930.59</v>
      </c>
      <c r="G678" s="2">
        <v>0</v>
      </c>
      <c r="H678" s="4">
        <v>0</v>
      </c>
      <c r="I678" s="4">
        <v>0</v>
      </c>
      <c r="J678" s="4">
        <v>0</v>
      </c>
      <c r="K678" s="4">
        <v>12864091.59</v>
      </c>
      <c r="L678" s="4" t="s">
        <v>947</v>
      </c>
      <c r="M678" s="4" t="s">
        <v>948</v>
      </c>
      <c r="N678" s="4" t="s">
        <v>368</v>
      </c>
      <c r="O678" s="4" t="s">
        <v>89</v>
      </c>
      <c r="P678" s="4" t="s">
        <v>89</v>
      </c>
      <c r="Q678" s="4" t="s">
        <v>100</v>
      </c>
      <c r="R678" s="9">
        <f t="shared" si="10"/>
        <v>2.153375814073634E-4</v>
      </c>
    </row>
    <row r="679" spans="1:18" hidden="1" x14ac:dyDescent="0.2">
      <c r="A679" s="4">
        <v>1271</v>
      </c>
      <c r="B679" s="2">
        <v>10800563</v>
      </c>
      <c r="C679" s="2">
        <v>0</v>
      </c>
      <c r="D679" s="4" t="s">
        <v>5438</v>
      </c>
      <c r="E679" s="2">
        <v>10800563</v>
      </c>
      <c r="F679" s="2">
        <v>2052106.97</v>
      </c>
      <c r="G679" s="2">
        <v>0</v>
      </c>
      <c r="H679" s="4">
        <v>0</v>
      </c>
      <c r="I679" s="4">
        <v>0</v>
      </c>
      <c r="J679" s="4">
        <v>0</v>
      </c>
      <c r="K679" s="4">
        <v>12852669.970000001</v>
      </c>
      <c r="L679" s="4" t="s">
        <v>5436</v>
      </c>
      <c r="M679" s="4" t="s">
        <v>5437</v>
      </c>
      <c r="N679" s="4" t="s">
        <v>5439</v>
      </c>
      <c r="O679" s="4" t="s">
        <v>237</v>
      </c>
      <c r="P679" s="4" t="s">
        <v>237</v>
      </c>
      <c r="Q679" s="4" t="s">
        <v>100</v>
      </c>
      <c r="R679" s="9">
        <f t="shared" si="10"/>
        <v>2.1514638998048754E-4</v>
      </c>
    </row>
    <row r="680" spans="1:18" hidden="1" x14ac:dyDescent="0.2">
      <c r="A680" s="4">
        <v>844</v>
      </c>
      <c r="B680" s="2">
        <v>10748980</v>
      </c>
      <c r="C680" s="2">
        <v>0</v>
      </c>
      <c r="D680" s="4" t="s">
        <v>5442</v>
      </c>
      <c r="E680" s="2">
        <v>10748980</v>
      </c>
      <c r="F680" s="2">
        <v>1992279.2</v>
      </c>
      <c r="G680" s="2">
        <v>264775</v>
      </c>
      <c r="H680" s="4">
        <v>0</v>
      </c>
      <c r="I680" s="4">
        <v>0</v>
      </c>
      <c r="J680" s="4">
        <v>264775</v>
      </c>
      <c r="K680" s="4">
        <v>12476484.199999999</v>
      </c>
      <c r="L680" s="4" t="s">
        <v>5440</v>
      </c>
      <c r="M680" s="4" t="s">
        <v>5441</v>
      </c>
      <c r="N680" s="4" t="s">
        <v>32</v>
      </c>
      <c r="O680" s="4" t="s">
        <v>76</v>
      </c>
      <c r="P680" s="4" t="s">
        <v>76</v>
      </c>
      <c r="Q680" s="4" t="s">
        <v>1378</v>
      </c>
      <c r="R680" s="9">
        <f t="shared" si="10"/>
        <v>2.1411886056055233E-4</v>
      </c>
    </row>
    <row r="681" spans="1:18" hidden="1" x14ac:dyDescent="0.2">
      <c r="A681" s="4">
        <v>470</v>
      </c>
      <c r="B681" s="2">
        <v>10737287</v>
      </c>
      <c r="C681" s="2">
        <v>0</v>
      </c>
      <c r="D681" s="4" t="s">
        <v>1903</v>
      </c>
      <c r="E681" s="2">
        <v>10737287</v>
      </c>
      <c r="F681" s="2">
        <v>2040084.53</v>
      </c>
      <c r="G681" s="2">
        <v>39717.15</v>
      </c>
      <c r="H681" s="4">
        <v>0</v>
      </c>
      <c r="I681" s="4">
        <v>0</v>
      </c>
      <c r="J681" s="4">
        <v>39717.15</v>
      </c>
      <c r="K681" s="4">
        <v>12737654.380000001</v>
      </c>
      <c r="L681" s="4" t="s">
        <v>1901</v>
      </c>
      <c r="M681" s="4" t="s">
        <v>1902</v>
      </c>
      <c r="N681" s="4" t="s">
        <v>20</v>
      </c>
      <c r="O681" s="4" t="s">
        <v>316</v>
      </c>
      <c r="P681" s="4" t="s">
        <v>316</v>
      </c>
      <c r="Q681" s="4" t="s">
        <v>100</v>
      </c>
      <c r="R681" s="9">
        <f t="shared" si="10"/>
        <v>2.1388593689369888E-4</v>
      </c>
    </row>
    <row r="682" spans="1:18" hidden="1" x14ac:dyDescent="0.2">
      <c r="A682" s="4">
        <v>1983</v>
      </c>
      <c r="B682" s="2">
        <v>10697277</v>
      </c>
      <c r="C682" s="2">
        <v>0</v>
      </c>
      <c r="D682" s="4" t="s">
        <v>5445</v>
      </c>
      <c r="E682" s="2">
        <v>10697277</v>
      </c>
      <c r="F682" s="2">
        <v>2032482.63</v>
      </c>
      <c r="G682" s="2">
        <v>0</v>
      </c>
      <c r="H682" s="4">
        <v>0</v>
      </c>
      <c r="I682" s="4">
        <v>0</v>
      </c>
      <c r="J682" s="4">
        <v>0</v>
      </c>
      <c r="K682" s="4">
        <v>12729759.630000001</v>
      </c>
      <c r="L682" s="4" t="s">
        <v>5443</v>
      </c>
      <c r="M682" s="4" t="s">
        <v>5444</v>
      </c>
      <c r="N682" s="4" t="s">
        <v>1437</v>
      </c>
      <c r="O682" s="4" t="s">
        <v>382</v>
      </c>
      <c r="P682" s="4" t="s">
        <v>1039</v>
      </c>
      <c r="Q682" s="4" t="s">
        <v>100</v>
      </c>
      <c r="R682" s="9">
        <f t="shared" si="10"/>
        <v>2.1308894074978312E-4</v>
      </c>
    </row>
    <row r="683" spans="1:18" hidden="1" x14ac:dyDescent="0.2">
      <c r="A683" s="4">
        <v>623</v>
      </c>
      <c r="B683" s="2">
        <v>10666079</v>
      </c>
      <c r="C683" s="2">
        <v>0</v>
      </c>
      <c r="D683" s="4" t="s">
        <v>2634</v>
      </c>
      <c r="E683" s="2">
        <v>10666079</v>
      </c>
      <c r="F683" s="2">
        <v>2026555.01</v>
      </c>
      <c r="G683" s="2">
        <v>266651.98</v>
      </c>
      <c r="H683" s="4">
        <v>0</v>
      </c>
      <c r="I683" s="4">
        <v>0</v>
      </c>
      <c r="J683" s="4">
        <v>266651.98</v>
      </c>
      <c r="K683" s="4">
        <v>12425982.029999999</v>
      </c>
      <c r="L683" s="4" t="s">
        <v>2632</v>
      </c>
      <c r="M683" s="4" t="s">
        <v>2633</v>
      </c>
      <c r="N683" s="4" t="s">
        <v>401</v>
      </c>
      <c r="O683" s="4" t="s">
        <v>27</v>
      </c>
      <c r="P683" s="4" t="s">
        <v>27</v>
      </c>
      <c r="Q683" s="4" t="s">
        <v>28</v>
      </c>
      <c r="R683" s="9">
        <f t="shared" si="10"/>
        <v>2.1246747897278026E-4</v>
      </c>
    </row>
    <row r="684" spans="1:18" hidden="1" x14ac:dyDescent="0.2">
      <c r="A684" s="4">
        <v>1502</v>
      </c>
      <c r="B684" s="2">
        <v>10658136</v>
      </c>
      <c r="C684" s="2">
        <v>0</v>
      </c>
      <c r="D684" s="4" t="s">
        <v>4179</v>
      </c>
      <c r="E684" s="2">
        <v>10658136</v>
      </c>
      <c r="F684" s="2">
        <v>2025045.84</v>
      </c>
      <c r="G684" s="2">
        <v>0</v>
      </c>
      <c r="H684" s="4">
        <v>0</v>
      </c>
      <c r="I684" s="4">
        <v>0</v>
      </c>
      <c r="J684" s="4">
        <v>0</v>
      </c>
      <c r="K684" s="4">
        <v>12683181.84</v>
      </c>
      <c r="L684" s="4" t="s">
        <v>4177</v>
      </c>
      <c r="M684" s="4" t="s">
        <v>4178</v>
      </c>
      <c r="N684" s="4" t="s">
        <v>20</v>
      </c>
      <c r="O684" s="4" t="s">
        <v>372</v>
      </c>
      <c r="P684" s="4" t="s">
        <v>372</v>
      </c>
      <c r="Q684" s="4" t="s">
        <v>100</v>
      </c>
      <c r="R684" s="9">
        <f t="shared" si="10"/>
        <v>2.1230925501949051E-4</v>
      </c>
    </row>
    <row r="685" spans="1:18" hidden="1" x14ac:dyDescent="0.2">
      <c r="A685" s="4">
        <v>1835</v>
      </c>
      <c r="B685" s="2">
        <v>10655014</v>
      </c>
      <c r="C685" s="2">
        <v>0</v>
      </c>
      <c r="D685" s="4" t="s">
        <v>2594</v>
      </c>
      <c r="E685" s="2">
        <v>10655014</v>
      </c>
      <c r="F685" s="2">
        <v>2024452.66</v>
      </c>
      <c r="G685" s="2">
        <v>0</v>
      </c>
      <c r="H685" s="4">
        <v>0</v>
      </c>
      <c r="I685" s="4">
        <v>0</v>
      </c>
      <c r="J685" s="4">
        <v>0</v>
      </c>
      <c r="K685" s="4">
        <v>12679466.66</v>
      </c>
      <c r="L685" s="4" t="s">
        <v>2592</v>
      </c>
      <c r="M685" s="4" t="s">
        <v>2593</v>
      </c>
      <c r="N685" s="4" t="s">
        <v>124</v>
      </c>
      <c r="O685" s="4" t="s">
        <v>33</v>
      </c>
      <c r="P685" s="4" t="s">
        <v>33</v>
      </c>
      <c r="Q685" s="4" t="s">
        <v>100</v>
      </c>
      <c r="R685" s="9">
        <f t="shared" si="10"/>
        <v>2.1224706501795826E-4</v>
      </c>
    </row>
    <row r="686" spans="1:18" hidden="1" x14ac:dyDescent="0.2">
      <c r="A686" s="4">
        <v>1704</v>
      </c>
      <c r="B686" s="2">
        <v>10700346</v>
      </c>
      <c r="C686" s="2">
        <v>48494.22</v>
      </c>
      <c r="D686" s="4" t="s">
        <v>5448</v>
      </c>
      <c r="E686" s="2">
        <v>10651851.779999999</v>
      </c>
      <c r="F686" s="2">
        <v>2023851.84</v>
      </c>
      <c r="G686" s="2">
        <v>0</v>
      </c>
      <c r="H686" s="4">
        <v>0</v>
      </c>
      <c r="I686" s="4">
        <v>0</v>
      </c>
      <c r="J686" s="4">
        <v>0</v>
      </c>
      <c r="K686" s="4">
        <v>12675703.619999999</v>
      </c>
      <c r="L686" s="4" t="s">
        <v>5446</v>
      </c>
      <c r="M686" s="4" t="s">
        <v>5447</v>
      </c>
      <c r="N686" s="4" t="s">
        <v>2117</v>
      </c>
      <c r="O686" s="4" t="s">
        <v>89</v>
      </c>
      <c r="P686" s="4" t="s">
        <v>89</v>
      </c>
      <c r="Q686" s="4" t="s">
        <v>100</v>
      </c>
      <c r="R686" s="9">
        <f t="shared" si="10"/>
        <v>2.1218407383709814E-4</v>
      </c>
    </row>
    <row r="687" spans="1:18" hidden="1" x14ac:dyDescent="0.2">
      <c r="A687" s="4">
        <v>1924</v>
      </c>
      <c r="B687" s="2">
        <v>10643324</v>
      </c>
      <c r="C687" s="2">
        <v>0</v>
      </c>
      <c r="D687" s="4" t="s">
        <v>5451</v>
      </c>
      <c r="E687" s="2">
        <v>10643324</v>
      </c>
      <c r="F687" s="2">
        <v>2022231.56</v>
      </c>
      <c r="G687" s="2">
        <v>0</v>
      </c>
      <c r="H687" s="4">
        <v>0</v>
      </c>
      <c r="I687" s="4">
        <v>0</v>
      </c>
      <c r="J687" s="4">
        <v>0</v>
      </c>
      <c r="K687" s="4">
        <v>12665555.560000001</v>
      </c>
      <c r="L687" s="4" t="s">
        <v>5449</v>
      </c>
      <c r="M687" s="4" t="s">
        <v>5450</v>
      </c>
      <c r="N687" s="4" t="s">
        <v>20</v>
      </c>
      <c r="O687" s="4" t="s">
        <v>316</v>
      </c>
      <c r="P687" s="4" t="s">
        <v>316</v>
      </c>
      <c r="Q687" s="4" t="s">
        <v>100</v>
      </c>
      <c r="R687" s="9">
        <f t="shared" si="10"/>
        <v>2.1201420111087565E-4</v>
      </c>
    </row>
    <row r="688" spans="1:18" hidden="1" x14ac:dyDescent="0.2">
      <c r="A688" s="4">
        <v>1197</v>
      </c>
      <c r="B688" s="2">
        <v>10618395</v>
      </c>
      <c r="C688" s="2">
        <v>0</v>
      </c>
      <c r="D688" s="4" t="s">
        <v>1922</v>
      </c>
      <c r="E688" s="2">
        <v>10618395</v>
      </c>
      <c r="F688" s="2">
        <v>2017495.05</v>
      </c>
      <c r="G688" s="2">
        <v>0</v>
      </c>
      <c r="H688" s="4">
        <v>0</v>
      </c>
      <c r="I688" s="4">
        <v>0</v>
      </c>
      <c r="J688" s="4">
        <v>0</v>
      </c>
      <c r="K688" s="4">
        <v>12635890.050000001</v>
      </c>
      <c r="L688" s="4" t="s">
        <v>1920</v>
      </c>
      <c r="M688" s="4" t="s">
        <v>1921</v>
      </c>
      <c r="N688" s="4" t="s">
        <v>186</v>
      </c>
      <c r="O688" s="4" t="s">
        <v>59</v>
      </c>
      <c r="P688" s="4" t="s">
        <v>59</v>
      </c>
      <c r="Q688" s="4" t="s">
        <v>100</v>
      </c>
      <c r="R688" s="9">
        <f t="shared" si="10"/>
        <v>2.115176173350277E-4</v>
      </c>
    </row>
    <row r="689" spans="1:18" hidden="1" x14ac:dyDescent="0.2">
      <c r="A689" s="4">
        <v>453</v>
      </c>
      <c r="B689" s="2">
        <v>10618259</v>
      </c>
      <c r="C689" s="2">
        <v>0</v>
      </c>
      <c r="D689" s="4" t="s">
        <v>2354</v>
      </c>
      <c r="E689" s="2">
        <v>10618259</v>
      </c>
      <c r="F689" s="2">
        <v>2017469.21</v>
      </c>
      <c r="G689" s="2">
        <v>108591.15</v>
      </c>
      <c r="H689" s="4">
        <v>0</v>
      </c>
      <c r="I689" s="4">
        <v>0</v>
      </c>
      <c r="J689" s="4">
        <v>108591.15</v>
      </c>
      <c r="K689" s="4">
        <v>12527137.060000001</v>
      </c>
      <c r="L689" s="4" t="s">
        <v>2352</v>
      </c>
      <c r="M689" s="4" t="s">
        <v>2353</v>
      </c>
      <c r="N689" s="4" t="s">
        <v>2113</v>
      </c>
      <c r="O689" s="4" t="s">
        <v>89</v>
      </c>
      <c r="P689" s="4" t="s">
        <v>89</v>
      </c>
      <c r="Q689" s="4" t="s">
        <v>100</v>
      </c>
      <c r="R689" s="9">
        <f t="shared" si="10"/>
        <v>2.1151490822541579E-4</v>
      </c>
    </row>
    <row r="690" spans="1:18" hidden="1" x14ac:dyDescent="0.2">
      <c r="A690" s="4">
        <v>126</v>
      </c>
      <c r="B690" s="2">
        <v>10617328</v>
      </c>
      <c r="C690" s="2">
        <v>0</v>
      </c>
      <c r="D690" s="4" t="s">
        <v>5454</v>
      </c>
      <c r="E690" s="2">
        <v>10617328</v>
      </c>
      <c r="F690" s="2">
        <v>2017292.32</v>
      </c>
      <c r="G690" s="2">
        <v>215006.21</v>
      </c>
      <c r="H690" s="4">
        <v>0</v>
      </c>
      <c r="I690" s="4">
        <v>0</v>
      </c>
      <c r="J690" s="4">
        <v>215006.21</v>
      </c>
      <c r="K690" s="4">
        <v>12419614.109999999</v>
      </c>
      <c r="L690" s="4" t="s">
        <v>5452</v>
      </c>
      <c r="M690" s="4" t="s">
        <v>5453</v>
      </c>
      <c r="N690" s="4" t="s">
        <v>1553</v>
      </c>
      <c r="O690" s="4" t="s">
        <v>747</v>
      </c>
      <c r="P690" s="4" t="s">
        <v>1039</v>
      </c>
      <c r="Q690" s="4" t="s">
        <v>100</v>
      </c>
      <c r="R690" s="9">
        <f t="shared" si="10"/>
        <v>2.1149636277652839E-4</v>
      </c>
    </row>
    <row r="691" spans="1:18" hidden="1" x14ac:dyDescent="0.2">
      <c r="A691" s="4">
        <v>1650</v>
      </c>
      <c r="B691" s="2">
        <v>10554991</v>
      </c>
      <c r="C691" s="2">
        <v>0</v>
      </c>
      <c r="D691" s="4" t="s">
        <v>5457</v>
      </c>
      <c r="E691" s="2">
        <v>10554991</v>
      </c>
      <c r="F691" s="2">
        <v>2005448.29</v>
      </c>
      <c r="G691" s="2">
        <v>195433.13</v>
      </c>
      <c r="H691" s="4">
        <v>0</v>
      </c>
      <c r="I691" s="4">
        <v>0</v>
      </c>
      <c r="J691" s="4">
        <v>195433.13</v>
      </c>
      <c r="K691" s="4">
        <v>12365006.16</v>
      </c>
      <c r="L691" s="4" t="s">
        <v>5455</v>
      </c>
      <c r="M691" s="4" t="s">
        <v>5456</v>
      </c>
      <c r="N691" s="4" t="s">
        <v>20</v>
      </c>
      <c r="O691" s="4" t="s">
        <v>1157</v>
      </c>
      <c r="P691" s="4" t="s">
        <v>1039</v>
      </c>
      <c r="Q691" s="4" t="s">
        <v>100</v>
      </c>
      <c r="R691" s="9">
        <f t="shared" si="10"/>
        <v>2.1025461449801608E-4</v>
      </c>
    </row>
    <row r="692" spans="1:18" hidden="1" x14ac:dyDescent="0.2">
      <c r="A692" s="4">
        <v>688</v>
      </c>
      <c r="B692" s="2">
        <v>10521510</v>
      </c>
      <c r="C692" s="2">
        <v>0</v>
      </c>
      <c r="D692" s="4" t="s">
        <v>5460</v>
      </c>
      <c r="E692" s="2">
        <v>10521510</v>
      </c>
      <c r="F692" s="2">
        <v>1999086.9</v>
      </c>
      <c r="G692" s="2">
        <v>105085.98</v>
      </c>
      <c r="H692" s="4">
        <v>0</v>
      </c>
      <c r="I692" s="4">
        <v>0</v>
      </c>
      <c r="J692" s="4">
        <v>105085.98</v>
      </c>
      <c r="K692" s="4">
        <v>12415510.92</v>
      </c>
      <c r="L692" s="4" t="s">
        <v>5458</v>
      </c>
      <c r="M692" s="4" t="s">
        <v>5459</v>
      </c>
      <c r="N692" s="4" t="s">
        <v>853</v>
      </c>
      <c r="O692" s="4" t="s">
        <v>196</v>
      </c>
      <c r="P692" s="4" t="s">
        <v>196</v>
      </c>
      <c r="Q692" s="4" t="s">
        <v>100</v>
      </c>
      <c r="R692" s="9">
        <f t="shared" si="10"/>
        <v>2.0958767553539565E-4</v>
      </c>
    </row>
    <row r="693" spans="1:18" hidden="1" x14ac:dyDescent="0.2">
      <c r="A693" s="4">
        <v>889</v>
      </c>
      <c r="B693" s="2">
        <v>10482748</v>
      </c>
      <c r="C693" s="2">
        <v>0</v>
      </c>
      <c r="D693" s="4" t="s">
        <v>1540</v>
      </c>
      <c r="E693" s="2">
        <v>10482748</v>
      </c>
      <c r="F693" s="2">
        <v>1991722.12</v>
      </c>
      <c r="G693" s="2">
        <v>232332</v>
      </c>
      <c r="H693" s="4">
        <v>0</v>
      </c>
      <c r="I693" s="4">
        <v>0</v>
      </c>
      <c r="J693" s="4">
        <v>232332</v>
      </c>
      <c r="K693" s="4">
        <v>12242138.119999999</v>
      </c>
      <c r="L693" s="4" t="s">
        <v>1538</v>
      </c>
      <c r="M693" s="4" t="s">
        <v>1539</v>
      </c>
      <c r="N693" s="4" t="s">
        <v>434</v>
      </c>
      <c r="O693" s="4" t="s">
        <v>382</v>
      </c>
      <c r="P693" s="4" t="s">
        <v>382</v>
      </c>
      <c r="Q693" s="4" t="s">
        <v>100</v>
      </c>
      <c r="R693" s="9">
        <f t="shared" si="10"/>
        <v>2.0881553945615387E-4</v>
      </c>
    </row>
    <row r="694" spans="1:18" hidden="1" x14ac:dyDescent="0.2">
      <c r="A694" s="4">
        <v>460</v>
      </c>
      <c r="B694" s="2">
        <v>10518211</v>
      </c>
      <c r="C694" s="2">
        <v>46006.32</v>
      </c>
      <c r="D694" s="4" t="s">
        <v>2138</v>
      </c>
      <c r="E694" s="2">
        <v>10472204.68</v>
      </c>
      <c r="F694" s="2">
        <v>1989718.89</v>
      </c>
      <c r="G694" s="2">
        <v>37188.44</v>
      </c>
      <c r="H694" s="4">
        <v>0</v>
      </c>
      <c r="I694" s="4">
        <v>0</v>
      </c>
      <c r="J694" s="4">
        <v>37188.44</v>
      </c>
      <c r="K694" s="4">
        <v>12424735.130000001</v>
      </c>
      <c r="L694" s="4" t="s">
        <v>2136</v>
      </c>
      <c r="M694" s="4" t="s">
        <v>2137</v>
      </c>
      <c r="N694" s="4" t="s">
        <v>20</v>
      </c>
      <c r="O694" s="4" t="s">
        <v>631</v>
      </c>
      <c r="P694" s="4" t="s">
        <v>631</v>
      </c>
      <c r="Q694" s="4" t="s">
        <v>100</v>
      </c>
      <c r="R694" s="9">
        <f t="shared" si="10"/>
        <v>2.0860551732708438E-4</v>
      </c>
    </row>
    <row r="695" spans="1:18" hidden="1" x14ac:dyDescent="0.2">
      <c r="A695" s="4">
        <v>334</v>
      </c>
      <c r="B695" s="2">
        <v>10418780</v>
      </c>
      <c r="C695" s="2">
        <v>0</v>
      </c>
      <c r="D695" s="4" t="s">
        <v>5463</v>
      </c>
      <c r="E695" s="2">
        <v>10418780</v>
      </c>
      <c r="F695" s="2">
        <v>1979568.2</v>
      </c>
      <c r="G695" s="2">
        <v>260469.5</v>
      </c>
      <c r="H695" s="4">
        <v>0</v>
      </c>
      <c r="I695" s="4">
        <v>0</v>
      </c>
      <c r="J695" s="4">
        <v>260469.5</v>
      </c>
      <c r="K695" s="4">
        <v>12137878.699999999</v>
      </c>
      <c r="L695" s="4" t="s">
        <v>5461</v>
      </c>
      <c r="M695" s="4" t="s">
        <v>5462</v>
      </c>
      <c r="N695" s="4" t="s">
        <v>20</v>
      </c>
      <c r="O695" s="4" t="s">
        <v>76</v>
      </c>
      <c r="P695" s="4" t="s">
        <v>76</v>
      </c>
      <c r="Q695" s="4" t="s">
        <v>408</v>
      </c>
      <c r="R695" s="9">
        <f t="shared" si="10"/>
        <v>2.0754130178222226E-4</v>
      </c>
    </row>
    <row r="696" spans="1:18" hidden="1" x14ac:dyDescent="0.2">
      <c r="A696" s="4">
        <v>857</v>
      </c>
      <c r="B696" s="2">
        <v>10384348</v>
      </c>
      <c r="C696" s="2">
        <v>0</v>
      </c>
      <c r="D696" s="4" t="s">
        <v>2555</v>
      </c>
      <c r="E696" s="2">
        <v>10384348</v>
      </c>
      <c r="F696" s="2">
        <v>1973026.12</v>
      </c>
      <c r="G696" s="2">
        <v>0</v>
      </c>
      <c r="H696" s="4">
        <v>0</v>
      </c>
      <c r="I696" s="4">
        <v>0</v>
      </c>
      <c r="J696" s="4">
        <v>0</v>
      </c>
      <c r="K696" s="4">
        <v>12357374.119999999</v>
      </c>
      <c r="L696" s="4" t="s">
        <v>2553</v>
      </c>
      <c r="M696" s="4" t="s">
        <v>2554</v>
      </c>
      <c r="N696" s="4" t="s">
        <v>20</v>
      </c>
      <c r="O696" s="4" t="s">
        <v>316</v>
      </c>
      <c r="P696" s="4" t="s">
        <v>316</v>
      </c>
      <c r="Q696" s="4" t="s">
        <v>100</v>
      </c>
      <c r="R696" s="9">
        <f t="shared" si="10"/>
        <v>2.0685541897224206E-4</v>
      </c>
    </row>
    <row r="697" spans="1:18" hidden="1" x14ac:dyDescent="0.2">
      <c r="A697" s="4">
        <v>707</v>
      </c>
      <c r="B697" s="2">
        <v>10394624</v>
      </c>
      <c r="C697" s="2">
        <v>16261.59</v>
      </c>
      <c r="D697" s="4" t="s">
        <v>1777</v>
      </c>
      <c r="E697" s="2">
        <v>10378362.41</v>
      </c>
      <c r="F697" s="2">
        <v>1971888.86</v>
      </c>
      <c r="G697" s="2">
        <v>0</v>
      </c>
      <c r="H697" s="4">
        <v>0</v>
      </c>
      <c r="I697" s="4">
        <v>0</v>
      </c>
      <c r="J697" s="4">
        <v>0</v>
      </c>
      <c r="K697" s="4">
        <v>12350251.27</v>
      </c>
      <c r="L697" s="4" t="s">
        <v>1776</v>
      </c>
      <c r="M697" s="4" t="s">
        <v>304</v>
      </c>
      <c r="N697" s="4" t="s">
        <v>867</v>
      </c>
      <c r="O697" s="4" t="s">
        <v>42</v>
      </c>
      <c r="P697" s="4" t="s">
        <v>42</v>
      </c>
      <c r="Q697" s="4" t="s">
        <v>28</v>
      </c>
      <c r="R697" s="9">
        <f t="shared" si="10"/>
        <v>2.0673618647663945E-4</v>
      </c>
    </row>
    <row r="698" spans="1:18" hidden="1" x14ac:dyDescent="0.2">
      <c r="A698" s="4">
        <v>1485</v>
      </c>
      <c r="B698" s="2">
        <v>10303148</v>
      </c>
      <c r="C698" s="2">
        <v>0</v>
      </c>
      <c r="D698" s="4" t="s">
        <v>3551</v>
      </c>
      <c r="E698" s="2">
        <v>10303148</v>
      </c>
      <c r="F698" s="2">
        <v>1957598.12</v>
      </c>
      <c r="G698" s="2">
        <v>0</v>
      </c>
      <c r="H698" s="4">
        <v>0</v>
      </c>
      <c r="I698" s="4">
        <v>0</v>
      </c>
      <c r="J698" s="4">
        <v>0</v>
      </c>
      <c r="K698" s="4">
        <v>12260746.119999999</v>
      </c>
      <c r="L698" s="4" t="s">
        <v>3549</v>
      </c>
      <c r="M698" s="4" t="s">
        <v>3550</v>
      </c>
      <c r="N698" s="4" t="s">
        <v>58</v>
      </c>
      <c r="O698" s="4" t="s">
        <v>59</v>
      </c>
      <c r="P698" s="4" t="s">
        <v>59</v>
      </c>
      <c r="Q698" s="4" t="s">
        <v>100</v>
      </c>
      <c r="R698" s="9">
        <f t="shared" si="10"/>
        <v>2.0523792117454248E-4</v>
      </c>
    </row>
    <row r="699" spans="1:18" hidden="1" x14ac:dyDescent="0.2">
      <c r="A699" s="4">
        <v>850</v>
      </c>
      <c r="B699" s="2">
        <v>10291804</v>
      </c>
      <c r="C699" s="2">
        <v>0</v>
      </c>
      <c r="D699" s="4" t="s">
        <v>1453</v>
      </c>
      <c r="E699" s="2">
        <v>10291804</v>
      </c>
      <c r="F699" s="2">
        <v>1955442.76</v>
      </c>
      <c r="G699" s="2">
        <v>189140.75</v>
      </c>
      <c r="H699" s="4">
        <v>0</v>
      </c>
      <c r="I699" s="4">
        <v>0</v>
      </c>
      <c r="J699" s="4">
        <v>189140.75</v>
      </c>
      <c r="K699" s="4">
        <v>12058106.01</v>
      </c>
      <c r="L699" s="4" t="s">
        <v>1451</v>
      </c>
      <c r="M699" s="4" t="s">
        <v>1452</v>
      </c>
      <c r="N699" s="4" t="s">
        <v>1454</v>
      </c>
      <c r="O699" s="4" t="s">
        <v>67</v>
      </c>
      <c r="P699" s="4" t="s">
        <v>67</v>
      </c>
      <c r="Q699" s="4" t="s">
        <v>100</v>
      </c>
      <c r="R699" s="9">
        <f t="shared" si="10"/>
        <v>2.0501194956103135E-4</v>
      </c>
    </row>
    <row r="700" spans="1:18" hidden="1" x14ac:dyDescent="0.2">
      <c r="A700" s="4">
        <v>1164</v>
      </c>
      <c r="B700" s="2">
        <v>10265297</v>
      </c>
      <c r="C700" s="2">
        <v>0</v>
      </c>
      <c r="D700" s="4" t="s">
        <v>2160</v>
      </c>
      <c r="E700" s="2">
        <v>10265297</v>
      </c>
      <c r="F700" s="2">
        <v>1950406.43</v>
      </c>
      <c r="G700" s="2">
        <v>0</v>
      </c>
      <c r="H700" s="4">
        <v>18437.79</v>
      </c>
      <c r="I700" s="4">
        <v>0</v>
      </c>
      <c r="J700" s="4">
        <v>18437.79</v>
      </c>
      <c r="K700" s="4">
        <v>12197265.640000001</v>
      </c>
      <c r="L700" s="4" t="s">
        <v>2159</v>
      </c>
      <c r="M700" s="4" t="s">
        <v>178</v>
      </c>
      <c r="N700" s="4" t="s">
        <v>20</v>
      </c>
      <c r="O700" s="4" t="s">
        <v>71</v>
      </c>
      <c r="P700" s="4" t="s">
        <v>71</v>
      </c>
      <c r="Q700" s="4" t="s">
        <v>28</v>
      </c>
      <c r="R700" s="9">
        <f t="shared" si="10"/>
        <v>2.044839321457158E-4</v>
      </c>
    </row>
    <row r="701" spans="1:18" hidden="1" x14ac:dyDescent="0.2">
      <c r="A701" s="4">
        <v>897</v>
      </c>
      <c r="B701" s="2">
        <v>10254378</v>
      </c>
      <c r="C701" s="2">
        <v>0</v>
      </c>
      <c r="D701" s="4" t="s">
        <v>5466</v>
      </c>
      <c r="E701" s="2">
        <v>10254378</v>
      </c>
      <c r="F701" s="2">
        <v>1948331.82</v>
      </c>
      <c r="G701" s="2">
        <v>0</v>
      </c>
      <c r="H701" s="4">
        <v>0</v>
      </c>
      <c r="I701" s="4">
        <v>0</v>
      </c>
      <c r="J701" s="4">
        <v>0</v>
      </c>
      <c r="K701" s="4">
        <v>12202709.82</v>
      </c>
      <c r="L701" s="4" t="s">
        <v>5464</v>
      </c>
      <c r="M701" s="4" t="s">
        <v>5465</v>
      </c>
      <c r="N701" s="4" t="s">
        <v>20</v>
      </c>
      <c r="O701" s="4" t="s">
        <v>372</v>
      </c>
      <c r="P701" s="4" t="s">
        <v>372</v>
      </c>
      <c r="Q701" s="4" t="s">
        <v>100</v>
      </c>
      <c r="R701" s="9">
        <f t="shared" si="10"/>
        <v>2.0426642649974189E-4</v>
      </c>
    </row>
    <row r="702" spans="1:18" hidden="1" x14ac:dyDescent="0.2">
      <c r="A702" s="4">
        <v>1619</v>
      </c>
      <c r="B702" s="2">
        <v>10237994</v>
      </c>
      <c r="C702" s="2">
        <v>0</v>
      </c>
      <c r="D702" s="4" t="s">
        <v>5469</v>
      </c>
      <c r="E702" s="2">
        <v>10237994</v>
      </c>
      <c r="F702" s="2">
        <v>1945218.86</v>
      </c>
      <c r="G702" s="2">
        <v>0</v>
      </c>
      <c r="H702" s="4">
        <v>0</v>
      </c>
      <c r="I702" s="4">
        <v>0</v>
      </c>
      <c r="J702" s="4">
        <v>0</v>
      </c>
      <c r="K702" s="4">
        <v>12183212.859999999</v>
      </c>
      <c r="L702" s="4" t="s">
        <v>5467</v>
      </c>
      <c r="M702" s="4" t="s">
        <v>5468</v>
      </c>
      <c r="N702" s="4" t="s">
        <v>1714</v>
      </c>
      <c r="O702" s="4" t="s">
        <v>559</v>
      </c>
      <c r="P702" s="4" t="s">
        <v>559</v>
      </c>
      <c r="Q702" s="4" t="s">
        <v>100</v>
      </c>
      <c r="R702" s="9">
        <f t="shared" si="10"/>
        <v>2.0394005847120114E-4</v>
      </c>
    </row>
    <row r="703" spans="1:18" hidden="1" x14ac:dyDescent="0.2">
      <c r="A703" s="4">
        <v>750</v>
      </c>
      <c r="B703" s="2">
        <v>10164594</v>
      </c>
      <c r="C703" s="2">
        <v>0</v>
      </c>
      <c r="D703" s="4" t="s">
        <v>3590</v>
      </c>
      <c r="E703" s="2">
        <v>10164594</v>
      </c>
      <c r="F703" s="2">
        <v>1931272.86</v>
      </c>
      <c r="G703" s="2">
        <v>0</v>
      </c>
      <c r="H703" s="4">
        <v>0</v>
      </c>
      <c r="I703" s="4">
        <v>0</v>
      </c>
      <c r="J703" s="4">
        <v>0</v>
      </c>
      <c r="K703" s="4">
        <v>12095866.859999999</v>
      </c>
      <c r="L703" s="4" t="s">
        <v>3588</v>
      </c>
      <c r="M703" s="4" t="s">
        <v>3589</v>
      </c>
      <c r="N703" s="4" t="s">
        <v>88</v>
      </c>
      <c r="O703" s="4" t="s">
        <v>89</v>
      </c>
      <c r="P703" s="4" t="s">
        <v>89</v>
      </c>
      <c r="Q703" s="4" t="s">
        <v>100</v>
      </c>
      <c r="R703" s="9">
        <f t="shared" si="10"/>
        <v>2.0247793607771407E-4</v>
      </c>
    </row>
    <row r="704" spans="1:18" hidden="1" x14ac:dyDescent="0.2">
      <c r="A704" s="4">
        <v>482</v>
      </c>
      <c r="B704" s="2">
        <v>10079635</v>
      </c>
      <c r="C704" s="2">
        <v>0</v>
      </c>
      <c r="D704" s="4" t="s">
        <v>2075</v>
      </c>
      <c r="E704" s="2">
        <v>10079635</v>
      </c>
      <c r="F704" s="2">
        <v>1915130.65</v>
      </c>
      <c r="G704" s="2">
        <v>0</v>
      </c>
      <c r="H704" s="4">
        <v>0</v>
      </c>
      <c r="I704" s="4">
        <v>0</v>
      </c>
      <c r="J704" s="4">
        <v>0</v>
      </c>
      <c r="K704" s="4">
        <v>11994765.65</v>
      </c>
      <c r="L704" s="4" t="s">
        <v>2073</v>
      </c>
      <c r="M704" s="4" t="s">
        <v>2074</v>
      </c>
      <c r="N704" s="4" t="s">
        <v>20</v>
      </c>
      <c r="O704" s="4" t="s">
        <v>631</v>
      </c>
      <c r="P704" s="4" t="s">
        <v>631</v>
      </c>
      <c r="Q704" s="4" t="s">
        <v>100</v>
      </c>
      <c r="R704" s="9">
        <f t="shared" si="10"/>
        <v>2.007855592871382E-4</v>
      </c>
    </row>
    <row r="705" spans="1:18" hidden="1" x14ac:dyDescent="0.2">
      <c r="A705" s="4">
        <v>1734</v>
      </c>
      <c r="B705" s="2">
        <v>10083554</v>
      </c>
      <c r="C705" s="2">
        <v>6410.88</v>
      </c>
      <c r="D705" s="4" t="s">
        <v>5472</v>
      </c>
      <c r="E705" s="2">
        <v>10077143.119999999</v>
      </c>
      <c r="F705" s="2">
        <v>1914657.19</v>
      </c>
      <c r="G705" s="2">
        <v>0</v>
      </c>
      <c r="H705" s="4">
        <v>0</v>
      </c>
      <c r="I705" s="4">
        <v>0</v>
      </c>
      <c r="J705" s="4">
        <v>0</v>
      </c>
      <c r="K705" s="4">
        <v>11991800.310000001</v>
      </c>
      <c r="L705" s="4" t="s">
        <v>5470</v>
      </c>
      <c r="M705" s="4" t="s">
        <v>5471</v>
      </c>
      <c r="N705" s="4" t="s">
        <v>20</v>
      </c>
      <c r="O705" s="4" t="s">
        <v>316</v>
      </c>
      <c r="P705" s="4" t="s">
        <v>316</v>
      </c>
      <c r="Q705" s="4" t="s">
        <v>100</v>
      </c>
      <c r="R705" s="9">
        <f t="shared" si="10"/>
        <v>2.0073592122787549E-4</v>
      </c>
    </row>
    <row r="706" spans="1:18" hidden="1" x14ac:dyDescent="0.2">
      <c r="A706" s="4">
        <v>915</v>
      </c>
      <c r="B706" s="2">
        <v>10059361</v>
      </c>
      <c r="C706" s="2">
        <v>0</v>
      </c>
      <c r="D706" s="4" t="s">
        <v>3593</v>
      </c>
      <c r="E706" s="2">
        <v>10059361</v>
      </c>
      <c r="F706" s="2">
        <v>1911278.59</v>
      </c>
      <c r="G706" s="2">
        <v>174715.83</v>
      </c>
      <c r="H706" s="4">
        <v>0</v>
      </c>
      <c r="I706" s="4">
        <v>0</v>
      </c>
      <c r="J706" s="4">
        <v>174715.83</v>
      </c>
      <c r="K706" s="4">
        <v>11795923.76</v>
      </c>
      <c r="L706" s="4" t="s">
        <v>3591</v>
      </c>
      <c r="M706" s="4" t="s">
        <v>3592</v>
      </c>
      <c r="N706" s="4" t="s">
        <v>20</v>
      </c>
      <c r="O706" s="4" t="s">
        <v>631</v>
      </c>
      <c r="P706" s="4" t="s">
        <v>631</v>
      </c>
      <c r="Q706" s="4" t="s">
        <v>100</v>
      </c>
      <c r="R706" s="9">
        <f t="shared" si="10"/>
        <v>2.0038170275572735E-4</v>
      </c>
    </row>
    <row r="707" spans="1:18" hidden="1" x14ac:dyDescent="0.2">
      <c r="A707" s="4">
        <v>212</v>
      </c>
      <c r="B707" s="2">
        <v>10057606</v>
      </c>
      <c r="C707" s="2">
        <v>0</v>
      </c>
      <c r="D707" s="4" t="s">
        <v>2437</v>
      </c>
      <c r="E707" s="2">
        <v>10057606</v>
      </c>
      <c r="F707" s="2">
        <v>1910945.14</v>
      </c>
      <c r="G707" s="2">
        <v>0</v>
      </c>
      <c r="H707" s="4">
        <v>0</v>
      </c>
      <c r="I707" s="4">
        <v>0</v>
      </c>
      <c r="J707" s="4">
        <v>0</v>
      </c>
      <c r="K707" s="4">
        <v>11968551.140000001</v>
      </c>
      <c r="L707" s="4" t="s">
        <v>2435</v>
      </c>
      <c r="M707" s="4" t="s">
        <v>2436</v>
      </c>
      <c r="N707" s="4" t="s">
        <v>427</v>
      </c>
      <c r="O707" s="4" t="s">
        <v>89</v>
      </c>
      <c r="P707" s="4" t="s">
        <v>89</v>
      </c>
      <c r="Q707" s="4" t="s">
        <v>100</v>
      </c>
      <c r="R707" s="9">
        <f t="shared" ref="R707:R770" si="11">E707/$E$2034</f>
        <v>2.0034674328977953E-4</v>
      </c>
    </row>
    <row r="708" spans="1:18" hidden="1" x14ac:dyDescent="0.2">
      <c r="A708" s="4">
        <v>512</v>
      </c>
      <c r="B708" s="2">
        <v>10039468</v>
      </c>
      <c r="C708" s="2">
        <v>0</v>
      </c>
      <c r="D708" s="4" t="s">
        <v>1440</v>
      </c>
      <c r="E708" s="2">
        <v>10039468</v>
      </c>
      <c r="F708" s="2">
        <v>1907498.92</v>
      </c>
      <c r="G708" s="2">
        <v>250986.7</v>
      </c>
      <c r="H708" s="4">
        <v>0</v>
      </c>
      <c r="I708" s="4">
        <v>0</v>
      </c>
      <c r="J708" s="4">
        <v>250986.7</v>
      </c>
      <c r="K708" s="4">
        <v>11695980.220000001</v>
      </c>
      <c r="L708" s="4" t="s">
        <v>1438</v>
      </c>
      <c r="M708" s="4" t="s">
        <v>1439</v>
      </c>
      <c r="N708" s="4" t="s">
        <v>1441</v>
      </c>
      <c r="O708" s="4" t="s">
        <v>196</v>
      </c>
      <c r="P708" s="4" t="s">
        <v>196</v>
      </c>
      <c r="Q708" s="4" t="s">
        <v>100</v>
      </c>
      <c r="R708" s="9">
        <f t="shared" si="11"/>
        <v>1.9998543571521458E-4</v>
      </c>
    </row>
    <row r="709" spans="1:18" hidden="1" x14ac:dyDescent="0.2">
      <c r="A709" s="4">
        <v>1515</v>
      </c>
      <c r="B709" s="2">
        <v>10004959</v>
      </c>
      <c r="C709" s="2">
        <v>0</v>
      </c>
      <c r="D709" s="4" t="s">
        <v>1769</v>
      </c>
      <c r="E709" s="2">
        <v>10004959</v>
      </c>
      <c r="F709" s="2">
        <v>1900942.21</v>
      </c>
      <c r="G709" s="2">
        <v>0</v>
      </c>
      <c r="H709" s="4">
        <v>0</v>
      </c>
      <c r="I709" s="4">
        <v>0</v>
      </c>
      <c r="J709" s="4">
        <v>0</v>
      </c>
      <c r="K709" s="4">
        <v>11905901.210000001</v>
      </c>
      <c r="L709" s="4" t="s">
        <v>1767</v>
      </c>
      <c r="M709" s="4" t="s">
        <v>1768</v>
      </c>
      <c r="N709" s="4" t="s">
        <v>705</v>
      </c>
      <c r="O709" s="4" t="s">
        <v>59</v>
      </c>
      <c r="P709" s="4" t="s">
        <v>59</v>
      </c>
      <c r="Q709" s="4" t="s">
        <v>100</v>
      </c>
      <c r="R709" s="9">
        <f t="shared" si="11"/>
        <v>1.9929801907111588E-4</v>
      </c>
    </row>
    <row r="710" spans="1:18" hidden="1" x14ac:dyDescent="0.2">
      <c r="A710" s="4">
        <v>1764</v>
      </c>
      <c r="B710" s="2">
        <v>10004686</v>
      </c>
      <c r="C710" s="2">
        <v>0</v>
      </c>
      <c r="D710" s="4" t="s">
        <v>2271</v>
      </c>
      <c r="E710" s="2">
        <v>10004686</v>
      </c>
      <c r="F710" s="2">
        <v>1900890.34</v>
      </c>
      <c r="G710" s="2">
        <v>0</v>
      </c>
      <c r="H710" s="4">
        <v>0</v>
      </c>
      <c r="I710" s="4">
        <v>0</v>
      </c>
      <c r="J710" s="4">
        <v>0</v>
      </c>
      <c r="K710" s="4">
        <v>11905576.34</v>
      </c>
      <c r="L710" s="4" t="s">
        <v>2269</v>
      </c>
      <c r="M710" s="4" t="s">
        <v>2270</v>
      </c>
      <c r="N710" s="4" t="s">
        <v>20</v>
      </c>
      <c r="O710" s="4" t="s">
        <v>372</v>
      </c>
      <c r="P710" s="4" t="s">
        <v>372</v>
      </c>
      <c r="Q710" s="4" t="s">
        <v>100</v>
      </c>
      <c r="R710" s="9">
        <f t="shared" si="11"/>
        <v>1.9929258093196844E-4</v>
      </c>
    </row>
    <row r="711" spans="1:18" hidden="1" x14ac:dyDescent="0.2">
      <c r="A711" s="4">
        <v>357</v>
      </c>
      <c r="B711" s="2">
        <v>9994881</v>
      </c>
      <c r="C711" s="2">
        <v>0</v>
      </c>
      <c r="D711" s="4" t="s">
        <v>2671</v>
      </c>
      <c r="E711" s="2">
        <v>9994881</v>
      </c>
      <c r="F711" s="2">
        <v>1899027.39</v>
      </c>
      <c r="G711" s="2">
        <v>0</v>
      </c>
      <c r="H711" s="4">
        <v>0</v>
      </c>
      <c r="I711" s="4">
        <v>0</v>
      </c>
      <c r="J711" s="4">
        <v>0</v>
      </c>
      <c r="K711" s="4">
        <v>11893908.390000001</v>
      </c>
      <c r="L711" s="4" t="s">
        <v>2669</v>
      </c>
      <c r="M711" s="4" t="s">
        <v>2670</v>
      </c>
      <c r="N711" s="4" t="s">
        <v>20</v>
      </c>
      <c r="O711" s="4" t="s">
        <v>631</v>
      </c>
      <c r="P711" s="4" t="s">
        <v>631</v>
      </c>
      <c r="Q711" s="4" t="s">
        <v>100</v>
      </c>
      <c r="R711" s="9">
        <f t="shared" si="11"/>
        <v>1.9909726608090386E-4</v>
      </c>
    </row>
    <row r="712" spans="1:18" hidden="1" x14ac:dyDescent="0.2">
      <c r="A712" s="4">
        <v>1125</v>
      </c>
      <c r="B712" s="2">
        <v>9998490</v>
      </c>
      <c r="C712" s="2">
        <v>20756.91</v>
      </c>
      <c r="D712" s="4" t="s">
        <v>3024</v>
      </c>
      <c r="E712" s="2">
        <v>9977733.0899999999</v>
      </c>
      <c r="F712" s="2">
        <v>1895769.29</v>
      </c>
      <c r="G712" s="2">
        <v>0</v>
      </c>
      <c r="H712" s="4">
        <v>0</v>
      </c>
      <c r="I712" s="4">
        <v>0</v>
      </c>
      <c r="J712" s="4">
        <v>0</v>
      </c>
      <c r="K712" s="4">
        <v>11873502.380000001</v>
      </c>
      <c r="L712" s="4" t="s">
        <v>3022</v>
      </c>
      <c r="M712" s="4" t="s">
        <v>3023</v>
      </c>
      <c r="N712" s="4" t="s">
        <v>2206</v>
      </c>
      <c r="O712" s="4" t="s">
        <v>196</v>
      </c>
      <c r="P712" s="4" t="s">
        <v>196</v>
      </c>
      <c r="Q712" s="4" t="s">
        <v>100</v>
      </c>
      <c r="R712" s="9">
        <f t="shared" si="11"/>
        <v>1.9875568102351284E-4</v>
      </c>
    </row>
    <row r="713" spans="1:18" hidden="1" x14ac:dyDescent="0.2">
      <c r="A713" s="4">
        <v>1947</v>
      </c>
      <c r="B713" s="2">
        <v>9976404</v>
      </c>
      <c r="C713" s="2">
        <v>0</v>
      </c>
      <c r="D713" s="4" t="s">
        <v>3817</v>
      </c>
      <c r="E713" s="2">
        <v>9976404</v>
      </c>
      <c r="F713" s="2">
        <v>1895516.76</v>
      </c>
      <c r="G713" s="2">
        <v>0</v>
      </c>
      <c r="H713" s="4">
        <v>0</v>
      </c>
      <c r="I713" s="4">
        <v>0</v>
      </c>
      <c r="J713" s="4">
        <v>0</v>
      </c>
      <c r="K713" s="4">
        <v>11871920.76</v>
      </c>
      <c r="L713" s="4" t="s">
        <v>3815</v>
      </c>
      <c r="M713" s="4" t="s">
        <v>3816</v>
      </c>
      <c r="N713" s="4" t="s">
        <v>1623</v>
      </c>
      <c r="O713" s="4" t="s">
        <v>229</v>
      </c>
      <c r="P713" s="4" t="s">
        <v>229</v>
      </c>
      <c r="Q713" s="4" t="s">
        <v>100</v>
      </c>
      <c r="R713" s="9">
        <f t="shared" si="11"/>
        <v>1.9872920565223274E-4</v>
      </c>
    </row>
    <row r="714" spans="1:18" hidden="1" x14ac:dyDescent="0.2">
      <c r="A714" s="4">
        <v>1599</v>
      </c>
      <c r="B714" s="2">
        <v>9962969</v>
      </c>
      <c r="C714" s="2">
        <v>0</v>
      </c>
      <c r="D714" s="4" t="s">
        <v>2613</v>
      </c>
      <c r="E714" s="2">
        <v>9962969</v>
      </c>
      <c r="F714" s="2">
        <v>1892964.11</v>
      </c>
      <c r="G714" s="2">
        <v>0</v>
      </c>
      <c r="H714" s="4">
        <v>0</v>
      </c>
      <c r="I714" s="4">
        <v>0</v>
      </c>
      <c r="J714" s="4">
        <v>0</v>
      </c>
      <c r="K714" s="4">
        <v>11855933.109999999</v>
      </c>
      <c r="L714" s="4" t="s">
        <v>2611</v>
      </c>
      <c r="M714" s="4" t="s">
        <v>2612</v>
      </c>
      <c r="N714" s="4" t="s">
        <v>1463</v>
      </c>
      <c r="O714" s="4" t="s">
        <v>105</v>
      </c>
      <c r="P714" s="4" t="s">
        <v>105</v>
      </c>
      <c r="Q714" s="4" t="s">
        <v>100</v>
      </c>
      <c r="R714" s="9">
        <f t="shared" si="11"/>
        <v>1.9846158147843846E-4</v>
      </c>
    </row>
    <row r="715" spans="1:18" hidden="1" x14ac:dyDescent="0.2">
      <c r="A715" s="4">
        <v>529</v>
      </c>
      <c r="B715" s="2">
        <v>9876908</v>
      </c>
      <c r="C715" s="2">
        <v>0</v>
      </c>
      <c r="D715" s="4" t="s">
        <v>2493</v>
      </c>
      <c r="E715" s="2">
        <v>9876908</v>
      </c>
      <c r="F715" s="2">
        <v>1876612.52</v>
      </c>
      <c r="G715" s="2">
        <v>194597.38</v>
      </c>
      <c r="H715" s="4">
        <v>0</v>
      </c>
      <c r="I715" s="4">
        <v>0</v>
      </c>
      <c r="J715" s="4">
        <v>194597.38</v>
      </c>
      <c r="K715" s="4">
        <v>11558923.140000001</v>
      </c>
      <c r="L715" s="4" t="s">
        <v>2491</v>
      </c>
      <c r="M715" s="4" t="s">
        <v>2492</v>
      </c>
      <c r="N715" s="4" t="s">
        <v>20</v>
      </c>
      <c r="O715" s="4" t="s">
        <v>76</v>
      </c>
      <c r="P715" s="4" t="s">
        <v>76</v>
      </c>
      <c r="Q715" s="4" t="s">
        <v>585</v>
      </c>
      <c r="R715" s="9">
        <f t="shared" si="11"/>
        <v>1.9674725293203669E-4</v>
      </c>
    </row>
    <row r="716" spans="1:18" hidden="1" x14ac:dyDescent="0.2">
      <c r="A716" s="4">
        <v>202</v>
      </c>
      <c r="B716" s="2">
        <v>9861215</v>
      </c>
      <c r="C716" s="2">
        <v>0</v>
      </c>
      <c r="D716" s="4" t="s">
        <v>5475</v>
      </c>
      <c r="E716" s="2">
        <v>9861215</v>
      </c>
      <c r="F716" s="2">
        <v>1873630.85</v>
      </c>
      <c r="G716" s="2">
        <v>0</v>
      </c>
      <c r="H716" s="4">
        <v>0</v>
      </c>
      <c r="I716" s="4">
        <v>0</v>
      </c>
      <c r="J716" s="4">
        <v>0</v>
      </c>
      <c r="K716" s="4">
        <v>11734845.85</v>
      </c>
      <c r="L716" s="4" t="s">
        <v>5473</v>
      </c>
      <c r="M716" s="4" t="s">
        <v>5474</v>
      </c>
      <c r="N716" s="4" t="s">
        <v>349</v>
      </c>
      <c r="O716" s="4" t="s">
        <v>93</v>
      </c>
      <c r="P716" s="4" t="s">
        <v>93</v>
      </c>
      <c r="Q716" s="4" t="s">
        <v>100</v>
      </c>
      <c r="R716" s="9">
        <f t="shared" si="11"/>
        <v>1.9643464957071527E-4</v>
      </c>
    </row>
    <row r="717" spans="1:18" hidden="1" x14ac:dyDescent="0.2">
      <c r="A717" s="4">
        <v>1836</v>
      </c>
      <c r="B717" s="2">
        <v>9838422</v>
      </c>
      <c r="C717" s="2">
        <v>0</v>
      </c>
      <c r="D717" s="4" t="s">
        <v>3540</v>
      </c>
      <c r="E717" s="2">
        <v>9838422</v>
      </c>
      <c r="F717" s="2">
        <v>1869300.18</v>
      </c>
      <c r="G717" s="2">
        <v>115990.15</v>
      </c>
      <c r="H717" s="4">
        <v>0</v>
      </c>
      <c r="I717" s="4">
        <v>0</v>
      </c>
      <c r="J717" s="4">
        <v>115990.15</v>
      </c>
      <c r="K717" s="4">
        <v>11591732.029999999</v>
      </c>
      <c r="L717" s="4" t="s">
        <v>3538</v>
      </c>
      <c r="M717" s="4" t="s">
        <v>3539</v>
      </c>
      <c r="N717" s="4" t="s">
        <v>2117</v>
      </c>
      <c r="O717" s="4" t="s">
        <v>89</v>
      </c>
      <c r="P717" s="4" t="s">
        <v>89</v>
      </c>
      <c r="Q717" s="4" t="s">
        <v>100</v>
      </c>
      <c r="R717" s="9">
        <f t="shared" si="11"/>
        <v>1.9598061475171322E-4</v>
      </c>
    </row>
    <row r="718" spans="1:18" hidden="1" x14ac:dyDescent="0.2">
      <c r="A718" s="4">
        <v>360</v>
      </c>
      <c r="B718" s="2">
        <v>9792559</v>
      </c>
      <c r="C718" s="2">
        <v>0</v>
      </c>
      <c r="D718" s="4" t="s">
        <v>964</v>
      </c>
      <c r="E718" s="2">
        <v>9792559</v>
      </c>
      <c r="F718" s="2">
        <v>1860586.21</v>
      </c>
      <c r="G718" s="2">
        <v>0</v>
      </c>
      <c r="H718" s="4">
        <v>0</v>
      </c>
      <c r="I718" s="4">
        <v>0</v>
      </c>
      <c r="J718" s="4">
        <v>0</v>
      </c>
      <c r="K718" s="4">
        <v>11653145.210000001</v>
      </c>
      <c r="L718" s="4" t="s">
        <v>962</v>
      </c>
      <c r="M718" s="4" t="s">
        <v>963</v>
      </c>
      <c r="N718" s="4" t="s">
        <v>20</v>
      </c>
      <c r="O718" s="4" t="s">
        <v>386</v>
      </c>
      <c r="P718" s="4" t="s">
        <v>386</v>
      </c>
      <c r="Q718" s="4" t="s">
        <v>585</v>
      </c>
      <c r="R718" s="9">
        <f t="shared" si="11"/>
        <v>1.9506702729486721E-4</v>
      </c>
    </row>
    <row r="719" spans="1:18" hidden="1" x14ac:dyDescent="0.2">
      <c r="A719" s="4">
        <v>1312</v>
      </c>
      <c r="B719" s="2">
        <v>9788185</v>
      </c>
      <c r="C719" s="2">
        <v>0</v>
      </c>
      <c r="D719" s="4" t="s">
        <v>5477</v>
      </c>
      <c r="E719" s="2">
        <v>9788185</v>
      </c>
      <c r="F719" s="2">
        <v>1859755.15</v>
      </c>
      <c r="G719" s="2">
        <v>244704.63</v>
      </c>
      <c r="H719" s="4">
        <v>0</v>
      </c>
      <c r="I719" s="4">
        <v>58729.11</v>
      </c>
      <c r="J719" s="4">
        <v>303433.74</v>
      </c>
      <c r="K719" s="4">
        <v>11344506.41</v>
      </c>
      <c r="L719" s="4" t="s">
        <v>5476</v>
      </c>
      <c r="M719" s="4" t="s">
        <v>548</v>
      </c>
      <c r="N719" s="4" t="s">
        <v>293</v>
      </c>
      <c r="O719" s="4" t="s">
        <v>229</v>
      </c>
      <c r="P719" s="4" t="s">
        <v>229</v>
      </c>
      <c r="Q719" s="4" t="s">
        <v>28</v>
      </c>
      <c r="R719" s="9">
        <f t="shared" si="11"/>
        <v>1.9497989754896651E-4</v>
      </c>
    </row>
    <row r="720" spans="1:18" hidden="1" x14ac:dyDescent="0.2">
      <c r="A720" s="4">
        <v>1891</v>
      </c>
      <c r="B720" s="2">
        <v>9782464</v>
      </c>
      <c r="C720" s="2">
        <v>0</v>
      </c>
      <c r="D720" s="4" t="s">
        <v>2469</v>
      </c>
      <c r="E720" s="2">
        <v>9782464</v>
      </c>
      <c r="F720" s="2">
        <v>1858668.16</v>
      </c>
      <c r="G720" s="2">
        <v>0</v>
      </c>
      <c r="H720" s="4">
        <v>0</v>
      </c>
      <c r="I720" s="4">
        <v>0</v>
      </c>
      <c r="J720" s="4">
        <v>0</v>
      </c>
      <c r="K720" s="4">
        <v>11641132.16</v>
      </c>
      <c r="L720" s="4" t="s">
        <v>2467</v>
      </c>
      <c r="M720" s="4" t="s">
        <v>2468</v>
      </c>
      <c r="N720" s="4" t="s">
        <v>468</v>
      </c>
      <c r="O720" s="4" t="s">
        <v>105</v>
      </c>
      <c r="P720" s="4" t="s">
        <v>105</v>
      </c>
      <c r="Q720" s="4" t="s">
        <v>100</v>
      </c>
      <c r="R720" s="9">
        <f t="shared" si="11"/>
        <v>1.9486593566595372E-4</v>
      </c>
    </row>
    <row r="721" spans="1:18" hidden="1" x14ac:dyDescent="0.2">
      <c r="A721" s="4">
        <v>1634</v>
      </c>
      <c r="B721" s="2">
        <v>9730048</v>
      </c>
      <c r="C721" s="2">
        <v>0</v>
      </c>
      <c r="D721" s="4" t="s">
        <v>2040</v>
      </c>
      <c r="E721" s="2">
        <v>9730048</v>
      </c>
      <c r="F721" s="2">
        <v>1848709.1200000001</v>
      </c>
      <c r="G721" s="2">
        <v>0</v>
      </c>
      <c r="H721" s="4">
        <v>0</v>
      </c>
      <c r="I721" s="4">
        <v>0</v>
      </c>
      <c r="J721" s="4">
        <v>0</v>
      </c>
      <c r="K721" s="4">
        <v>11578757.119999999</v>
      </c>
      <c r="L721" s="4" t="s">
        <v>2038</v>
      </c>
      <c r="M721" s="4" t="s">
        <v>2039</v>
      </c>
      <c r="N721" s="4" t="s">
        <v>20</v>
      </c>
      <c r="O721" s="4" t="s">
        <v>631</v>
      </c>
      <c r="P721" s="4" t="s">
        <v>631</v>
      </c>
      <c r="Q721" s="4" t="s">
        <v>100</v>
      </c>
      <c r="R721" s="9">
        <f t="shared" si="11"/>
        <v>1.9382181294964556E-4</v>
      </c>
    </row>
    <row r="722" spans="1:18" hidden="1" x14ac:dyDescent="0.2">
      <c r="A722" s="4">
        <v>3</v>
      </c>
      <c r="B722" s="2">
        <v>9711092</v>
      </c>
      <c r="C722" s="2">
        <v>0</v>
      </c>
      <c r="D722" s="4" t="s">
        <v>1801</v>
      </c>
      <c r="E722" s="2">
        <v>9711092</v>
      </c>
      <c r="F722" s="2">
        <v>1845107.48</v>
      </c>
      <c r="G722" s="2">
        <v>86754</v>
      </c>
      <c r="H722" s="4">
        <v>0</v>
      </c>
      <c r="I722" s="4">
        <v>0</v>
      </c>
      <c r="J722" s="4">
        <v>86754</v>
      </c>
      <c r="K722" s="4">
        <v>11469445.48</v>
      </c>
      <c r="L722" s="4" t="s">
        <v>1799</v>
      </c>
      <c r="M722" s="4" t="s">
        <v>1800</v>
      </c>
      <c r="N722" s="4" t="s">
        <v>20</v>
      </c>
      <c r="O722" s="4" t="s">
        <v>76</v>
      </c>
      <c r="P722" s="4" t="s">
        <v>76</v>
      </c>
      <c r="Q722" s="4" t="s">
        <v>1378</v>
      </c>
      <c r="R722" s="9">
        <f t="shared" si="11"/>
        <v>1.9344421087756191E-4</v>
      </c>
    </row>
    <row r="723" spans="1:18" hidden="1" x14ac:dyDescent="0.2">
      <c r="A723" s="4">
        <v>354</v>
      </c>
      <c r="B723" s="2">
        <v>9671368</v>
      </c>
      <c r="C723" s="2">
        <v>0</v>
      </c>
      <c r="D723" s="4" t="s">
        <v>2647</v>
      </c>
      <c r="E723" s="2">
        <v>9671368</v>
      </c>
      <c r="F723" s="2">
        <v>1837559.92</v>
      </c>
      <c r="G723" s="2">
        <v>156055.9</v>
      </c>
      <c r="H723" s="4">
        <v>0</v>
      </c>
      <c r="I723" s="4">
        <v>0</v>
      </c>
      <c r="J723" s="4">
        <v>156055.9</v>
      </c>
      <c r="K723" s="4">
        <v>11352872.02</v>
      </c>
      <c r="L723" s="4" t="s">
        <v>2645</v>
      </c>
      <c r="M723" s="4" t="s">
        <v>2646</v>
      </c>
      <c r="N723" s="4" t="s">
        <v>332</v>
      </c>
      <c r="O723" s="4" t="s">
        <v>1127</v>
      </c>
      <c r="P723" s="4" t="s">
        <v>1127</v>
      </c>
      <c r="Q723" s="4" t="s">
        <v>100</v>
      </c>
      <c r="R723" s="9">
        <f t="shared" si="11"/>
        <v>1.926529118318006E-4</v>
      </c>
    </row>
    <row r="724" spans="1:18" hidden="1" x14ac:dyDescent="0.2">
      <c r="A724" s="4">
        <v>1163</v>
      </c>
      <c r="B724" s="2">
        <v>9970277</v>
      </c>
      <c r="C724" s="2">
        <v>299108.31</v>
      </c>
      <c r="D724" s="4" t="s">
        <v>3364</v>
      </c>
      <c r="E724" s="2">
        <v>9671168.6899999995</v>
      </c>
      <c r="F724" s="2">
        <v>1837522.05</v>
      </c>
      <c r="G724" s="2">
        <v>241779.22</v>
      </c>
      <c r="H724" s="4">
        <v>275628.31</v>
      </c>
      <c r="I724" s="4">
        <v>58027.01</v>
      </c>
      <c r="J724" s="4">
        <v>575434.54</v>
      </c>
      <c r="K724" s="4">
        <v>10933256.199999999</v>
      </c>
      <c r="L724" s="4" t="s">
        <v>3363</v>
      </c>
      <c r="M724" s="4" t="s">
        <v>178</v>
      </c>
      <c r="N724" s="4" t="s">
        <v>245</v>
      </c>
      <c r="O724" s="4" t="s">
        <v>237</v>
      </c>
      <c r="P724" s="4" t="s">
        <v>237</v>
      </c>
      <c r="Q724" s="4" t="s">
        <v>28</v>
      </c>
      <c r="R724" s="9">
        <f t="shared" si="11"/>
        <v>1.9264894159182449E-4</v>
      </c>
    </row>
    <row r="725" spans="1:18" hidden="1" x14ac:dyDescent="0.2">
      <c r="A725" s="4">
        <v>648</v>
      </c>
      <c r="B725" s="2">
        <v>9660553</v>
      </c>
      <c r="C725" s="2">
        <v>0</v>
      </c>
      <c r="D725" s="4" t="s">
        <v>3626</v>
      </c>
      <c r="E725" s="2">
        <v>9660553</v>
      </c>
      <c r="F725" s="2">
        <v>1835505.07</v>
      </c>
      <c r="G725" s="2">
        <v>71277.009999999995</v>
      </c>
      <c r="H725" s="4">
        <v>0</v>
      </c>
      <c r="I725" s="4">
        <v>0</v>
      </c>
      <c r="J725" s="4">
        <v>71277.009999999995</v>
      </c>
      <c r="K725" s="4">
        <v>11424781.060000001</v>
      </c>
      <c r="L725" s="4" t="s">
        <v>3624</v>
      </c>
      <c r="M725" s="4" t="s">
        <v>3625</v>
      </c>
      <c r="N725" s="4" t="s">
        <v>482</v>
      </c>
      <c r="O725" s="4" t="s">
        <v>89</v>
      </c>
      <c r="P725" s="4" t="s">
        <v>89</v>
      </c>
      <c r="Q725" s="4" t="s">
        <v>100</v>
      </c>
      <c r="R725" s="9">
        <f t="shared" si="11"/>
        <v>1.9243747785788285E-4</v>
      </c>
    </row>
    <row r="726" spans="1:18" hidden="1" x14ac:dyDescent="0.2">
      <c r="A726" s="4">
        <v>329</v>
      </c>
      <c r="B726" s="2">
        <v>9647675</v>
      </c>
      <c r="C726" s="2">
        <v>0</v>
      </c>
      <c r="D726" s="4" t="s">
        <v>3748</v>
      </c>
      <c r="E726" s="2">
        <v>9647675</v>
      </c>
      <c r="F726" s="2">
        <v>1833058.25</v>
      </c>
      <c r="G726" s="2">
        <v>194079.59</v>
      </c>
      <c r="H726" s="4">
        <v>0</v>
      </c>
      <c r="I726" s="4">
        <v>0</v>
      </c>
      <c r="J726" s="4">
        <v>194079.59</v>
      </c>
      <c r="K726" s="4">
        <v>11286653.66</v>
      </c>
      <c r="L726" s="4" t="s">
        <v>3746</v>
      </c>
      <c r="M726" s="4" t="s">
        <v>3747</v>
      </c>
      <c r="N726" s="4" t="s">
        <v>117</v>
      </c>
      <c r="O726" s="4" t="s">
        <v>93</v>
      </c>
      <c r="P726" s="4" t="s">
        <v>93</v>
      </c>
      <c r="Q726" s="4" t="s">
        <v>100</v>
      </c>
      <c r="R726" s="9">
        <f t="shared" si="11"/>
        <v>1.9218094908154325E-4</v>
      </c>
    </row>
    <row r="727" spans="1:18" hidden="1" x14ac:dyDescent="0.2">
      <c r="A727" s="4">
        <v>1610</v>
      </c>
      <c r="B727" s="2">
        <v>9629300</v>
      </c>
      <c r="C727" s="2">
        <v>0</v>
      </c>
      <c r="D727" s="4" t="s">
        <v>3880</v>
      </c>
      <c r="E727" s="2">
        <v>9629300</v>
      </c>
      <c r="F727" s="2">
        <v>1829567</v>
      </c>
      <c r="G727" s="2">
        <v>236474.8</v>
      </c>
      <c r="H727" s="4">
        <v>269581.27</v>
      </c>
      <c r="I727" s="4">
        <v>0</v>
      </c>
      <c r="J727" s="4">
        <v>506056.07</v>
      </c>
      <c r="K727" s="4">
        <v>10952810.93</v>
      </c>
      <c r="L727" s="4" t="s">
        <v>3878</v>
      </c>
      <c r="M727" s="4" t="s">
        <v>3879</v>
      </c>
      <c r="N727" s="4" t="s">
        <v>20</v>
      </c>
      <c r="O727" s="4" t="s">
        <v>76</v>
      </c>
      <c r="P727" s="4" t="s">
        <v>76</v>
      </c>
      <c r="Q727" s="4" t="s">
        <v>1378</v>
      </c>
      <c r="R727" s="9">
        <f t="shared" si="11"/>
        <v>1.9181492048508106E-4</v>
      </c>
    </row>
    <row r="728" spans="1:18" hidden="1" x14ac:dyDescent="0.2">
      <c r="A728" s="4">
        <v>369</v>
      </c>
      <c r="B728" s="2">
        <v>9614305</v>
      </c>
      <c r="C728" s="2">
        <v>0</v>
      </c>
      <c r="D728" s="4" t="s">
        <v>2463</v>
      </c>
      <c r="E728" s="2">
        <v>9614305</v>
      </c>
      <c r="F728" s="2">
        <v>1826717.95</v>
      </c>
      <c r="G728" s="2">
        <v>0</v>
      </c>
      <c r="H728" s="4">
        <v>0</v>
      </c>
      <c r="I728" s="4">
        <v>0</v>
      </c>
      <c r="J728" s="4">
        <v>0</v>
      </c>
      <c r="K728" s="4">
        <v>11441022.949999999</v>
      </c>
      <c r="L728" s="4" t="s">
        <v>2461</v>
      </c>
      <c r="M728" s="4" t="s">
        <v>2462</v>
      </c>
      <c r="N728" s="4" t="s">
        <v>20</v>
      </c>
      <c r="O728" s="4" t="s">
        <v>386</v>
      </c>
      <c r="P728" s="4" t="s">
        <v>386</v>
      </c>
      <c r="Q728" s="4" t="s">
        <v>100</v>
      </c>
      <c r="R728" s="9">
        <f t="shared" si="11"/>
        <v>1.9151622123044431E-4</v>
      </c>
    </row>
    <row r="729" spans="1:18" hidden="1" x14ac:dyDescent="0.2">
      <c r="A729" s="4">
        <v>104</v>
      </c>
      <c r="B729" s="2">
        <v>9600000</v>
      </c>
      <c r="C729" s="2">
        <v>0</v>
      </c>
      <c r="D729" s="4" t="s">
        <v>5480</v>
      </c>
      <c r="E729" s="2">
        <v>9600000</v>
      </c>
      <c r="F729" s="2">
        <v>0</v>
      </c>
      <c r="G729" s="2">
        <v>240000</v>
      </c>
      <c r="H729" s="4">
        <v>0</v>
      </c>
      <c r="I729" s="4">
        <v>0</v>
      </c>
      <c r="J729" s="4">
        <v>240000</v>
      </c>
      <c r="K729" s="4">
        <v>9360000</v>
      </c>
      <c r="L729" s="4" t="s">
        <v>5478</v>
      </c>
      <c r="M729" s="4" t="s">
        <v>5479</v>
      </c>
      <c r="N729" s="4" t="s">
        <v>41</v>
      </c>
      <c r="O729" s="4" t="s">
        <v>1891</v>
      </c>
      <c r="P729" s="4" t="s">
        <v>1891</v>
      </c>
      <c r="Q729" s="4" t="s">
        <v>5481</v>
      </c>
      <c r="R729" s="9">
        <f t="shared" si="11"/>
        <v>1.9123126672310325E-4</v>
      </c>
    </row>
    <row r="730" spans="1:18" hidden="1" x14ac:dyDescent="0.2">
      <c r="A730" s="4">
        <v>1300</v>
      </c>
      <c r="B730" s="2">
        <v>9578097</v>
      </c>
      <c r="C730" s="2">
        <v>0</v>
      </c>
      <c r="D730" s="4" t="s">
        <v>1572</v>
      </c>
      <c r="E730" s="2">
        <v>9578097</v>
      </c>
      <c r="F730" s="2">
        <v>1819838.43</v>
      </c>
      <c r="G730" s="2">
        <v>170362.38</v>
      </c>
      <c r="H730" s="4">
        <v>0</v>
      </c>
      <c r="I730" s="4">
        <v>0</v>
      </c>
      <c r="J730" s="4">
        <v>170362.38</v>
      </c>
      <c r="K730" s="4">
        <v>11227573.050000001</v>
      </c>
      <c r="L730" s="4" t="s">
        <v>1570</v>
      </c>
      <c r="M730" s="4" t="s">
        <v>1571</v>
      </c>
      <c r="N730" s="4" t="s">
        <v>20</v>
      </c>
      <c r="O730" s="4" t="s">
        <v>1356</v>
      </c>
      <c r="P730" s="4" t="s">
        <v>1356</v>
      </c>
      <c r="Q730" s="4" t="s">
        <v>100</v>
      </c>
      <c r="R730" s="9">
        <f t="shared" si="11"/>
        <v>1.9079496063612034E-4</v>
      </c>
    </row>
    <row r="731" spans="1:18" hidden="1" x14ac:dyDescent="0.2">
      <c r="A731" s="4">
        <v>559</v>
      </c>
      <c r="B731" s="2">
        <v>9602487</v>
      </c>
      <c r="C731" s="2">
        <v>36165.99</v>
      </c>
      <c r="D731" s="4" t="s">
        <v>1786</v>
      </c>
      <c r="E731" s="2">
        <v>9566321.0099999998</v>
      </c>
      <c r="F731" s="2">
        <v>1817600.99</v>
      </c>
      <c r="G731" s="2">
        <v>149406.13</v>
      </c>
      <c r="H731" s="4">
        <v>0</v>
      </c>
      <c r="I731" s="4">
        <v>0</v>
      </c>
      <c r="J731" s="4">
        <v>149406.13</v>
      </c>
      <c r="K731" s="4">
        <v>11234515.869999999</v>
      </c>
      <c r="L731" s="4" t="s">
        <v>1784</v>
      </c>
      <c r="M731" s="4" t="s">
        <v>1785</v>
      </c>
      <c r="N731" s="4" t="s">
        <v>127</v>
      </c>
      <c r="O731" s="4" t="s">
        <v>67</v>
      </c>
      <c r="P731" s="4" t="s">
        <v>67</v>
      </c>
      <c r="Q731" s="4" t="s">
        <v>28</v>
      </c>
      <c r="R731" s="9">
        <f t="shared" si="11"/>
        <v>1.9056038381480588E-4</v>
      </c>
    </row>
    <row r="732" spans="1:18" hidden="1" x14ac:dyDescent="0.2">
      <c r="A732" s="4">
        <v>1554</v>
      </c>
      <c r="B732" s="2">
        <v>9514730</v>
      </c>
      <c r="C732" s="2">
        <v>0</v>
      </c>
      <c r="D732" s="4" t="s">
        <v>1834</v>
      </c>
      <c r="E732" s="2">
        <v>9514730</v>
      </c>
      <c r="F732" s="2">
        <v>1807798.7</v>
      </c>
      <c r="G732" s="2">
        <v>0</v>
      </c>
      <c r="H732" s="4">
        <v>0</v>
      </c>
      <c r="I732" s="4">
        <v>0</v>
      </c>
      <c r="J732" s="4">
        <v>0</v>
      </c>
      <c r="K732" s="4">
        <v>11322528.699999999</v>
      </c>
      <c r="L732" s="4" t="s">
        <v>1832</v>
      </c>
      <c r="M732" s="4" t="s">
        <v>1833</v>
      </c>
      <c r="N732" s="4" t="s">
        <v>58</v>
      </c>
      <c r="O732" s="4" t="s">
        <v>59</v>
      </c>
      <c r="P732" s="4" t="s">
        <v>59</v>
      </c>
      <c r="Q732" s="4" t="s">
        <v>100</v>
      </c>
      <c r="R732" s="9">
        <f t="shared" si="11"/>
        <v>1.8953269483628252E-4</v>
      </c>
    </row>
    <row r="733" spans="1:18" hidden="1" x14ac:dyDescent="0.2">
      <c r="A733" s="4">
        <v>684</v>
      </c>
      <c r="B733" s="2">
        <v>9512792</v>
      </c>
      <c r="C733" s="2">
        <v>0</v>
      </c>
      <c r="D733" s="4" t="s">
        <v>495</v>
      </c>
      <c r="E733" s="2">
        <v>9512792</v>
      </c>
      <c r="F733" s="2">
        <v>1807430.48</v>
      </c>
      <c r="G733" s="2">
        <v>193319.08</v>
      </c>
      <c r="H733" s="4">
        <v>0</v>
      </c>
      <c r="I733" s="4">
        <v>0</v>
      </c>
      <c r="J733" s="4">
        <v>193319.08</v>
      </c>
      <c r="K733" s="4">
        <v>11126903.4</v>
      </c>
      <c r="L733" s="4" t="s">
        <v>493</v>
      </c>
      <c r="M733" s="4" t="s">
        <v>494</v>
      </c>
      <c r="N733" s="4" t="s">
        <v>32</v>
      </c>
      <c r="O733" s="4" t="s">
        <v>33</v>
      </c>
      <c r="P733" s="4" t="s">
        <v>33</v>
      </c>
      <c r="Q733" s="4" t="s">
        <v>100</v>
      </c>
      <c r="R733" s="9">
        <f t="shared" si="11"/>
        <v>1.8949409002431281E-4</v>
      </c>
    </row>
    <row r="734" spans="1:18" hidden="1" x14ac:dyDescent="0.2">
      <c r="A734" s="4">
        <v>1176</v>
      </c>
      <c r="B734" s="2">
        <v>9471634</v>
      </c>
      <c r="C734" s="2">
        <v>0</v>
      </c>
      <c r="D734" s="4" t="s">
        <v>2144</v>
      </c>
      <c r="E734" s="2">
        <v>9471634</v>
      </c>
      <c r="F734" s="2">
        <v>1799610.46</v>
      </c>
      <c r="G734" s="2">
        <v>0</v>
      </c>
      <c r="H734" s="4">
        <v>0</v>
      </c>
      <c r="I734" s="4">
        <v>0</v>
      </c>
      <c r="J734" s="4">
        <v>0</v>
      </c>
      <c r="K734" s="4">
        <v>11271244.460000001</v>
      </c>
      <c r="L734" s="4" t="s">
        <v>2142</v>
      </c>
      <c r="M734" s="4" t="s">
        <v>2143</v>
      </c>
      <c r="N734" s="4" t="s">
        <v>92</v>
      </c>
      <c r="O734" s="4" t="s">
        <v>93</v>
      </c>
      <c r="P734" s="4" t="s">
        <v>93</v>
      </c>
      <c r="Q734" s="4" t="s">
        <v>28</v>
      </c>
      <c r="R734" s="9">
        <f t="shared" si="11"/>
        <v>1.8867422580808472E-4</v>
      </c>
    </row>
    <row r="735" spans="1:18" hidden="1" x14ac:dyDescent="0.2">
      <c r="A735" s="4">
        <v>974</v>
      </c>
      <c r="B735" s="2">
        <v>9371553</v>
      </c>
      <c r="C735" s="2">
        <v>0</v>
      </c>
      <c r="D735" s="4" t="s">
        <v>2934</v>
      </c>
      <c r="E735" s="2">
        <v>9371553</v>
      </c>
      <c r="F735" s="2">
        <v>1780595.07</v>
      </c>
      <c r="G735" s="2">
        <v>0</v>
      </c>
      <c r="H735" s="4">
        <v>0</v>
      </c>
      <c r="I735" s="4">
        <v>0</v>
      </c>
      <c r="J735" s="4">
        <v>0</v>
      </c>
      <c r="K735" s="4">
        <v>11152148.07</v>
      </c>
      <c r="L735" s="4" t="s">
        <v>2932</v>
      </c>
      <c r="M735" s="4" t="s">
        <v>2933</v>
      </c>
      <c r="N735" s="4" t="s">
        <v>779</v>
      </c>
      <c r="O735" s="4" t="s">
        <v>33</v>
      </c>
      <c r="P735" s="4" t="s">
        <v>33</v>
      </c>
      <c r="Q735" s="4" t="s">
        <v>100</v>
      </c>
      <c r="R735" s="9">
        <f t="shared" si="11"/>
        <v>1.8668061993257275E-4</v>
      </c>
    </row>
    <row r="736" spans="1:18" hidden="1" x14ac:dyDescent="0.2">
      <c r="A736" s="4">
        <v>1771</v>
      </c>
      <c r="B736" s="2">
        <v>9355268</v>
      </c>
      <c r="C736" s="2">
        <v>0</v>
      </c>
      <c r="D736" s="4" t="s">
        <v>5484</v>
      </c>
      <c r="E736" s="2">
        <v>9355268</v>
      </c>
      <c r="F736" s="2">
        <v>1777500.92</v>
      </c>
      <c r="G736" s="2">
        <v>233881.7</v>
      </c>
      <c r="H736" s="4">
        <v>0</v>
      </c>
      <c r="I736" s="4">
        <v>0</v>
      </c>
      <c r="J736" s="4">
        <v>233881.7</v>
      </c>
      <c r="K736" s="4">
        <v>10898887.220000001</v>
      </c>
      <c r="L736" s="4" t="s">
        <v>5482</v>
      </c>
      <c r="M736" s="4" t="s">
        <v>5483</v>
      </c>
      <c r="N736" s="4" t="s">
        <v>1421</v>
      </c>
      <c r="O736" s="4" t="s">
        <v>76</v>
      </c>
      <c r="P736" s="4" t="s">
        <v>76</v>
      </c>
      <c r="Q736" s="4" t="s">
        <v>408</v>
      </c>
      <c r="R736" s="9">
        <f t="shared" si="11"/>
        <v>1.8635622397647009E-4</v>
      </c>
    </row>
    <row r="737" spans="1:18" hidden="1" x14ac:dyDescent="0.2">
      <c r="A737" s="4">
        <v>782</v>
      </c>
      <c r="B737" s="2">
        <v>9306252</v>
      </c>
      <c r="C737" s="2">
        <v>0</v>
      </c>
      <c r="D737" s="4" t="s">
        <v>2315</v>
      </c>
      <c r="E737" s="2">
        <v>9306252</v>
      </c>
      <c r="F737" s="2">
        <v>1768187.88</v>
      </c>
      <c r="G737" s="2">
        <v>184166.43</v>
      </c>
      <c r="H737" s="4">
        <v>209949.71</v>
      </c>
      <c r="I737" s="4">
        <v>0</v>
      </c>
      <c r="J737" s="4">
        <v>394116.14</v>
      </c>
      <c r="K737" s="4">
        <v>10680323.74</v>
      </c>
      <c r="L737" s="4" t="s">
        <v>2313</v>
      </c>
      <c r="M737" s="4" t="s">
        <v>2314</v>
      </c>
      <c r="N737" s="4" t="s">
        <v>368</v>
      </c>
      <c r="O737" s="4" t="s">
        <v>76</v>
      </c>
      <c r="P737" s="4" t="s">
        <v>76</v>
      </c>
      <c r="Q737" s="4" t="s">
        <v>408</v>
      </c>
      <c r="R737" s="9">
        <f t="shared" si="11"/>
        <v>1.853798290004597E-4</v>
      </c>
    </row>
    <row r="738" spans="1:18" hidden="1" x14ac:dyDescent="0.2">
      <c r="A738" s="4">
        <v>1930</v>
      </c>
      <c r="B738" s="2">
        <v>9385069</v>
      </c>
      <c r="C738" s="2">
        <v>92190.51</v>
      </c>
      <c r="D738" s="4" t="s">
        <v>562</v>
      </c>
      <c r="E738" s="2">
        <v>9292878.4900000002</v>
      </c>
      <c r="F738" s="2">
        <v>1765646.91</v>
      </c>
      <c r="G738" s="2">
        <v>0</v>
      </c>
      <c r="H738" s="4">
        <v>0</v>
      </c>
      <c r="I738" s="4">
        <v>0</v>
      </c>
      <c r="J738" s="4">
        <v>0</v>
      </c>
      <c r="K738" s="4">
        <v>11058525.4</v>
      </c>
      <c r="L738" s="4" t="s">
        <v>560</v>
      </c>
      <c r="M738" s="4" t="s">
        <v>561</v>
      </c>
      <c r="N738" s="4" t="s">
        <v>124</v>
      </c>
      <c r="O738" s="4" t="s">
        <v>33</v>
      </c>
      <c r="P738" s="4" t="s">
        <v>33</v>
      </c>
      <c r="Q738" s="4" t="s">
        <v>100</v>
      </c>
      <c r="R738" s="9">
        <f t="shared" si="11"/>
        <v>1.8511342970276866E-4</v>
      </c>
    </row>
    <row r="739" spans="1:18" hidden="1" x14ac:dyDescent="0.2">
      <c r="A739" s="4">
        <v>1160</v>
      </c>
      <c r="B739" s="2">
        <v>9289260</v>
      </c>
      <c r="C739" s="2">
        <v>0</v>
      </c>
      <c r="D739" s="4" t="s">
        <v>5487</v>
      </c>
      <c r="E739" s="2">
        <v>9289260</v>
      </c>
      <c r="F739" s="2">
        <v>1764959.4</v>
      </c>
      <c r="G739" s="2">
        <v>169496.76</v>
      </c>
      <c r="H739" s="4">
        <v>0</v>
      </c>
      <c r="I739" s="4">
        <v>0</v>
      </c>
      <c r="J739" s="4">
        <v>169496.76</v>
      </c>
      <c r="K739" s="4">
        <v>10884722.640000001</v>
      </c>
      <c r="L739" s="4" t="s">
        <v>5485</v>
      </c>
      <c r="M739" s="4" t="s">
        <v>5486</v>
      </c>
      <c r="N739" s="4" t="s">
        <v>20</v>
      </c>
      <c r="O739" s="4" t="s">
        <v>76</v>
      </c>
      <c r="P739" s="4" t="s">
        <v>76</v>
      </c>
      <c r="Q739" s="4" t="s">
        <v>585</v>
      </c>
      <c r="R739" s="9">
        <f t="shared" si="11"/>
        <v>1.8504134965835982E-4</v>
      </c>
    </row>
    <row r="740" spans="1:18" hidden="1" x14ac:dyDescent="0.2">
      <c r="A740" s="4">
        <v>727</v>
      </c>
      <c r="B740" s="2">
        <v>9200098</v>
      </c>
      <c r="C740" s="2">
        <v>0</v>
      </c>
      <c r="D740" s="4" t="s">
        <v>1142</v>
      </c>
      <c r="E740" s="2">
        <v>9200098</v>
      </c>
      <c r="F740" s="2">
        <v>1748018.62</v>
      </c>
      <c r="G740" s="2">
        <v>129388.25</v>
      </c>
      <c r="H740" s="4">
        <v>0</v>
      </c>
      <c r="I740" s="4">
        <v>0</v>
      </c>
      <c r="J740" s="4">
        <v>129388.25</v>
      </c>
      <c r="K740" s="4">
        <v>10818728.369999999</v>
      </c>
      <c r="L740" s="4" t="s">
        <v>1140</v>
      </c>
      <c r="M740" s="4" t="s">
        <v>1141</v>
      </c>
      <c r="N740" s="4" t="s">
        <v>1143</v>
      </c>
      <c r="O740" s="4" t="s">
        <v>340</v>
      </c>
      <c r="P740" s="4" t="s">
        <v>340</v>
      </c>
      <c r="Q740" s="4" t="s">
        <v>100</v>
      </c>
      <c r="R740" s="9">
        <f t="shared" si="11"/>
        <v>1.8326524942882176E-4</v>
      </c>
    </row>
    <row r="741" spans="1:18" hidden="1" x14ac:dyDescent="0.2">
      <c r="A741" s="4">
        <v>515</v>
      </c>
      <c r="B741" s="2">
        <v>9189122</v>
      </c>
      <c r="C741" s="2">
        <v>0</v>
      </c>
      <c r="D741" s="4" t="s">
        <v>2393</v>
      </c>
      <c r="E741" s="2">
        <v>9189122</v>
      </c>
      <c r="F741" s="2">
        <v>1745933.18</v>
      </c>
      <c r="G741" s="2">
        <v>226986.86</v>
      </c>
      <c r="H741" s="4">
        <v>0</v>
      </c>
      <c r="I741" s="4">
        <v>0</v>
      </c>
      <c r="J741" s="4">
        <v>226986.86</v>
      </c>
      <c r="K741" s="4">
        <v>10708068.32</v>
      </c>
      <c r="L741" s="4" t="s">
        <v>2391</v>
      </c>
      <c r="M741" s="4" t="s">
        <v>2392</v>
      </c>
      <c r="N741" s="4" t="s">
        <v>272</v>
      </c>
      <c r="O741" s="4" t="s">
        <v>89</v>
      </c>
      <c r="P741" s="4" t="s">
        <v>89</v>
      </c>
      <c r="Q741" s="4" t="s">
        <v>100</v>
      </c>
      <c r="R741" s="9">
        <f t="shared" si="11"/>
        <v>1.8304660834720168E-4</v>
      </c>
    </row>
    <row r="742" spans="1:18" hidden="1" x14ac:dyDescent="0.2">
      <c r="A742" s="4">
        <v>1732</v>
      </c>
      <c r="B742" s="2">
        <v>9142467</v>
      </c>
      <c r="C742" s="2">
        <v>0</v>
      </c>
      <c r="D742" s="4" t="s">
        <v>2345</v>
      </c>
      <c r="E742" s="2">
        <v>9142467</v>
      </c>
      <c r="F742" s="2">
        <v>1737068.73</v>
      </c>
      <c r="G742" s="2">
        <v>0</v>
      </c>
      <c r="H742" s="4">
        <v>0</v>
      </c>
      <c r="I742" s="4">
        <v>0</v>
      </c>
      <c r="J742" s="4">
        <v>0</v>
      </c>
      <c r="K742" s="4">
        <v>10879535.73</v>
      </c>
      <c r="L742" s="4" t="s">
        <v>2343</v>
      </c>
      <c r="M742" s="4" t="s">
        <v>2344</v>
      </c>
      <c r="N742" s="4" t="s">
        <v>20</v>
      </c>
      <c r="O742" s="4" t="s">
        <v>768</v>
      </c>
      <c r="P742" s="4" t="s">
        <v>768</v>
      </c>
      <c r="Q742" s="4" t="s">
        <v>100</v>
      </c>
      <c r="R742" s="9">
        <f t="shared" si="11"/>
        <v>1.8211724431085101E-4</v>
      </c>
    </row>
    <row r="743" spans="1:18" hidden="1" x14ac:dyDescent="0.2">
      <c r="A743" s="4">
        <v>1191</v>
      </c>
      <c r="B743" s="2">
        <v>9138802</v>
      </c>
      <c r="C743" s="2">
        <v>0</v>
      </c>
      <c r="D743" s="4" t="s">
        <v>3925</v>
      </c>
      <c r="E743" s="2">
        <v>9138802</v>
      </c>
      <c r="F743" s="2">
        <v>1736372.38</v>
      </c>
      <c r="G743" s="2">
        <v>0</v>
      </c>
      <c r="H743" s="4">
        <v>0</v>
      </c>
      <c r="I743" s="4">
        <v>0</v>
      </c>
      <c r="J743" s="4">
        <v>0</v>
      </c>
      <c r="K743" s="4">
        <v>10875174.380000001</v>
      </c>
      <c r="L743" s="4" t="s">
        <v>3923</v>
      </c>
      <c r="M743" s="4" t="s">
        <v>3924</v>
      </c>
      <c r="N743" s="4" t="s">
        <v>293</v>
      </c>
      <c r="O743" s="4" t="s">
        <v>229</v>
      </c>
      <c r="P743" s="4" t="s">
        <v>229</v>
      </c>
      <c r="Q743" s="4" t="s">
        <v>28</v>
      </c>
      <c r="R743" s="9">
        <f t="shared" si="11"/>
        <v>1.8204423779079473E-4</v>
      </c>
    </row>
    <row r="744" spans="1:18" hidden="1" x14ac:dyDescent="0.2">
      <c r="A744" s="4">
        <v>612</v>
      </c>
      <c r="B744" s="2">
        <v>9122884</v>
      </c>
      <c r="C744" s="2">
        <v>0</v>
      </c>
      <c r="D744" s="4" t="s">
        <v>2826</v>
      </c>
      <c r="E744" s="2">
        <v>9122884</v>
      </c>
      <c r="F744" s="2">
        <v>1733347.96</v>
      </c>
      <c r="G744" s="2">
        <v>0</v>
      </c>
      <c r="H744" s="4">
        <v>0</v>
      </c>
      <c r="I744" s="4">
        <v>0</v>
      </c>
      <c r="J744" s="4">
        <v>0</v>
      </c>
      <c r="K744" s="4">
        <v>10856231.960000001</v>
      </c>
      <c r="L744" s="4" t="s">
        <v>2824</v>
      </c>
      <c r="M744" s="4" t="s">
        <v>2825</v>
      </c>
      <c r="N744" s="4" t="s">
        <v>293</v>
      </c>
      <c r="O744" s="4" t="s">
        <v>229</v>
      </c>
      <c r="P744" s="4" t="s">
        <v>229</v>
      </c>
      <c r="Q744" s="4" t="s">
        <v>100</v>
      </c>
      <c r="R744" s="9">
        <f t="shared" si="11"/>
        <v>1.8172715244665948E-4</v>
      </c>
    </row>
    <row r="745" spans="1:18" hidden="1" x14ac:dyDescent="0.2">
      <c r="A745" s="4">
        <v>1392</v>
      </c>
      <c r="B745" s="2">
        <v>9114718</v>
      </c>
      <c r="C745" s="2">
        <v>0</v>
      </c>
      <c r="D745" s="4" t="s">
        <v>2045</v>
      </c>
      <c r="E745" s="2">
        <v>9114718</v>
      </c>
      <c r="F745" s="2">
        <v>1731796.42</v>
      </c>
      <c r="G745" s="2">
        <v>0</v>
      </c>
      <c r="H745" s="4">
        <v>0</v>
      </c>
      <c r="I745" s="4">
        <v>0</v>
      </c>
      <c r="J745" s="4">
        <v>0</v>
      </c>
      <c r="K745" s="4">
        <v>10846514.42</v>
      </c>
      <c r="L745" s="4" t="s">
        <v>2043</v>
      </c>
      <c r="M745" s="4" t="s">
        <v>2044</v>
      </c>
      <c r="N745" s="4" t="s">
        <v>2046</v>
      </c>
      <c r="O745" s="4" t="s">
        <v>27</v>
      </c>
      <c r="P745" s="4" t="s">
        <v>27</v>
      </c>
      <c r="Q745" s="4" t="s">
        <v>100</v>
      </c>
      <c r="R745" s="9">
        <f t="shared" si="11"/>
        <v>1.8156448635040315E-4</v>
      </c>
    </row>
    <row r="746" spans="1:18" hidden="1" x14ac:dyDescent="0.2">
      <c r="A746" s="4">
        <v>173</v>
      </c>
      <c r="B746" s="2">
        <v>9100109</v>
      </c>
      <c r="C746" s="2">
        <v>0</v>
      </c>
      <c r="D746" s="4" t="s">
        <v>2034</v>
      </c>
      <c r="E746" s="2">
        <v>9100109</v>
      </c>
      <c r="F746" s="2">
        <v>1729020.71</v>
      </c>
      <c r="G746" s="2">
        <v>0</v>
      </c>
      <c r="H746" s="4">
        <v>0</v>
      </c>
      <c r="I746" s="4">
        <v>0</v>
      </c>
      <c r="J746" s="4">
        <v>0</v>
      </c>
      <c r="K746" s="4">
        <v>10829129.710000001</v>
      </c>
      <c r="L746" s="4" t="s">
        <v>2032</v>
      </c>
      <c r="M746" s="4" t="s">
        <v>2033</v>
      </c>
      <c r="N746" s="4" t="s">
        <v>142</v>
      </c>
      <c r="O746" s="4" t="s">
        <v>340</v>
      </c>
      <c r="P746" s="4" t="s">
        <v>340</v>
      </c>
      <c r="Q746" s="4" t="s">
        <v>100</v>
      </c>
      <c r="R746" s="9">
        <f t="shared" si="11"/>
        <v>1.8127347618628254E-4</v>
      </c>
    </row>
    <row r="747" spans="1:18" hidden="1" x14ac:dyDescent="0.2">
      <c r="A747" s="4">
        <v>729</v>
      </c>
      <c r="B747" s="2">
        <v>9099071</v>
      </c>
      <c r="C747" s="2">
        <v>0</v>
      </c>
      <c r="D747" s="4" t="s">
        <v>3459</v>
      </c>
      <c r="E747" s="2">
        <v>9099071</v>
      </c>
      <c r="F747" s="2">
        <v>1728823.49</v>
      </c>
      <c r="G747" s="2">
        <v>0</v>
      </c>
      <c r="H747" s="4">
        <v>0</v>
      </c>
      <c r="I747" s="4">
        <v>0</v>
      </c>
      <c r="J747" s="4">
        <v>0</v>
      </c>
      <c r="K747" s="4">
        <v>10827894.49</v>
      </c>
      <c r="L747" s="4" t="s">
        <v>3458</v>
      </c>
      <c r="M747" s="4" t="s">
        <v>1930</v>
      </c>
      <c r="N747" s="4" t="s">
        <v>3460</v>
      </c>
      <c r="O747" s="4" t="s">
        <v>89</v>
      </c>
      <c r="P747" s="4" t="s">
        <v>89</v>
      </c>
      <c r="Q747" s="4" t="s">
        <v>28</v>
      </c>
      <c r="R747" s="9">
        <f t="shared" si="11"/>
        <v>1.8125279930556812E-4</v>
      </c>
    </row>
    <row r="748" spans="1:18" hidden="1" x14ac:dyDescent="0.2">
      <c r="A748" s="4">
        <v>1359</v>
      </c>
      <c r="B748" s="2">
        <v>9053394</v>
      </c>
      <c r="C748" s="2">
        <v>8501.58</v>
      </c>
      <c r="D748" s="4" t="s">
        <v>2449</v>
      </c>
      <c r="E748" s="2">
        <v>9044892.4199999999</v>
      </c>
      <c r="F748" s="2">
        <v>1718529.56</v>
      </c>
      <c r="G748" s="2">
        <v>0</v>
      </c>
      <c r="H748" s="4">
        <v>0</v>
      </c>
      <c r="I748" s="4">
        <v>0</v>
      </c>
      <c r="J748" s="4">
        <v>0</v>
      </c>
      <c r="K748" s="4">
        <v>10763421.98</v>
      </c>
      <c r="L748" s="4" t="s">
        <v>2447</v>
      </c>
      <c r="M748" s="4" t="s">
        <v>2448</v>
      </c>
      <c r="N748" s="4" t="s">
        <v>20</v>
      </c>
      <c r="O748" s="4" t="s">
        <v>1356</v>
      </c>
      <c r="P748" s="4" t="s">
        <v>1356</v>
      </c>
      <c r="Q748" s="4" t="s">
        <v>100</v>
      </c>
      <c r="R748" s="9">
        <f t="shared" si="11"/>
        <v>1.8017356613029114E-4</v>
      </c>
    </row>
    <row r="749" spans="1:18" hidden="1" x14ac:dyDescent="0.2">
      <c r="A749" s="4">
        <v>858</v>
      </c>
      <c r="B749" s="2">
        <v>8979252</v>
      </c>
      <c r="C749" s="2">
        <v>0</v>
      </c>
      <c r="D749" s="4" t="s">
        <v>5490</v>
      </c>
      <c r="E749" s="2">
        <v>8979252</v>
      </c>
      <c r="F749" s="2">
        <v>0</v>
      </c>
      <c r="G749" s="2">
        <v>224481.3</v>
      </c>
      <c r="H749" s="4">
        <v>0</v>
      </c>
      <c r="I749" s="4">
        <v>0</v>
      </c>
      <c r="J749" s="4">
        <v>224481.3</v>
      </c>
      <c r="K749" s="4">
        <v>8754770.6999999993</v>
      </c>
      <c r="L749" s="4" t="s">
        <v>5488</v>
      </c>
      <c r="M749" s="4" t="s">
        <v>5489</v>
      </c>
      <c r="N749" s="4" t="s">
        <v>544</v>
      </c>
      <c r="O749" s="4" t="s">
        <v>76</v>
      </c>
      <c r="P749" s="4" t="s">
        <v>76</v>
      </c>
      <c r="Q749" s="4" t="s">
        <v>100</v>
      </c>
      <c r="R749" s="9">
        <f t="shared" si="11"/>
        <v>1.78866013977704E-4</v>
      </c>
    </row>
    <row r="750" spans="1:18" hidden="1" x14ac:dyDescent="0.2">
      <c r="A750" s="4">
        <v>1386</v>
      </c>
      <c r="B750" s="2">
        <v>8950957</v>
      </c>
      <c r="C750" s="2">
        <v>0</v>
      </c>
      <c r="D750" s="4" t="s">
        <v>2112</v>
      </c>
      <c r="E750" s="2">
        <v>8950957</v>
      </c>
      <c r="F750" s="2">
        <v>1700681.83</v>
      </c>
      <c r="G750" s="2">
        <v>57322.7</v>
      </c>
      <c r="H750" s="4">
        <v>0</v>
      </c>
      <c r="I750" s="4">
        <v>0</v>
      </c>
      <c r="J750" s="4">
        <v>57322.7</v>
      </c>
      <c r="K750" s="4">
        <v>10594316.130000001</v>
      </c>
      <c r="L750" s="4" t="s">
        <v>2110</v>
      </c>
      <c r="M750" s="4" t="s">
        <v>2111</v>
      </c>
      <c r="N750" s="4" t="s">
        <v>2113</v>
      </c>
      <c r="O750" s="4" t="s">
        <v>89</v>
      </c>
      <c r="P750" s="4" t="s">
        <v>89</v>
      </c>
      <c r="Q750" s="4" t="s">
        <v>100</v>
      </c>
      <c r="R750" s="9">
        <f t="shared" si="11"/>
        <v>1.7830237973896128E-4</v>
      </c>
    </row>
    <row r="751" spans="1:18" hidden="1" x14ac:dyDescent="0.2">
      <c r="A751" s="4">
        <v>245</v>
      </c>
      <c r="B751" s="2">
        <v>8907827</v>
      </c>
      <c r="C751" s="2">
        <v>0</v>
      </c>
      <c r="D751" s="4" t="s">
        <v>2369</v>
      </c>
      <c r="E751" s="2">
        <v>8907827</v>
      </c>
      <c r="F751" s="2">
        <v>1692487.13</v>
      </c>
      <c r="G751" s="2">
        <v>0</v>
      </c>
      <c r="H751" s="4">
        <v>0</v>
      </c>
      <c r="I751" s="4">
        <v>0</v>
      </c>
      <c r="J751" s="4">
        <v>0</v>
      </c>
      <c r="K751" s="4">
        <v>10600314.130000001</v>
      </c>
      <c r="L751" s="4" t="s">
        <v>2367</v>
      </c>
      <c r="M751" s="4" t="s">
        <v>2368</v>
      </c>
      <c r="N751" s="4" t="s">
        <v>332</v>
      </c>
      <c r="O751" s="4" t="s">
        <v>1127</v>
      </c>
      <c r="P751" s="4" t="s">
        <v>1127</v>
      </c>
      <c r="Q751" s="4" t="s">
        <v>100</v>
      </c>
      <c r="R751" s="9">
        <f t="shared" si="11"/>
        <v>1.7744323343336048E-4</v>
      </c>
    </row>
    <row r="752" spans="1:18" hidden="1" x14ac:dyDescent="0.2">
      <c r="A752" s="4">
        <v>1484</v>
      </c>
      <c r="B752" s="2">
        <v>8899299</v>
      </c>
      <c r="C752" s="2">
        <v>0</v>
      </c>
      <c r="D752" s="4" t="s">
        <v>2517</v>
      </c>
      <c r="E752" s="2">
        <v>8899299</v>
      </c>
      <c r="F752" s="2">
        <v>1690866.81</v>
      </c>
      <c r="G752" s="2">
        <v>0</v>
      </c>
      <c r="H752" s="4">
        <v>0</v>
      </c>
      <c r="I752" s="4">
        <v>0</v>
      </c>
      <c r="J752" s="4">
        <v>0</v>
      </c>
      <c r="K752" s="4">
        <v>10590165.810000001</v>
      </c>
      <c r="L752" s="4" t="s">
        <v>2515</v>
      </c>
      <c r="M752" s="4" t="s">
        <v>2516</v>
      </c>
      <c r="N752" s="4" t="s">
        <v>20</v>
      </c>
      <c r="O752" s="4" t="s">
        <v>631</v>
      </c>
      <c r="P752" s="4" t="s">
        <v>631</v>
      </c>
      <c r="Q752" s="4" t="s">
        <v>100</v>
      </c>
      <c r="R752" s="9">
        <f t="shared" si="11"/>
        <v>1.7727335632475481E-4</v>
      </c>
    </row>
    <row r="753" spans="1:18" hidden="1" x14ac:dyDescent="0.2">
      <c r="A753" s="4">
        <v>174</v>
      </c>
      <c r="B753" s="2">
        <v>8888810</v>
      </c>
      <c r="C753" s="2">
        <v>0</v>
      </c>
      <c r="D753" s="4" t="s">
        <v>3724</v>
      </c>
      <c r="E753" s="2">
        <v>8888810</v>
      </c>
      <c r="F753" s="2">
        <v>1688873.9</v>
      </c>
      <c r="G753" s="2">
        <v>0</v>
      </c>
      <c r="H753" s="4">
        <v>0</v>
      </c>
      <c r="I753" s="4">
        <v>0</v>
      </c>
      <c r="J753" s="4">
        <v>0</v>
      </c>
      <c r="K753" s="4">
        <v>10577683.9</v>
      </c>
      <c r="L753" s="4" t="s">
        <v>3722</v>
      </c>
      <c r="M753" s="4" t="s">
        <v>3723</v>
      </c>
      <c r="N753" s="4" t="s">
        <v>1150</v>
      </c>
      <c r="O753" s="4" t="s">
        <v>89</v>
      </c>
      <c r="P753" s="4" t="s">
        <v>89</v>
      </c>
      <c r="Q753" s="4" t="s">
        <v>100</v>
      </c>
      <c r="R753" s="9">
        <f t="shared" si="11"/>
        <v>1.7706441624593618E-4</v>
      </c>
    </row>
    <row r="754" spans="1:18" hidden="1" x14ac:dyDescent="0.2">
      <c r="A754" s="4">
        <v>1021</v>
      </c>
      <c r="B754" s="2">
        <v>9025898</v>
      </c>
      <c r="C754" s="2">
        <v>163049.16</v>
      </c>
      <c r="D754" s="4" t="s">
        <v>2213</v>
      </c>
      <c r="E754" s="2">
        <v>8862848.8399999999</v>
      </c>
      <c r="F754" s="2">
        <v>1683941.28</v>
      </c>
      <c r="G754" s="2">
        <v>186427.57</v>
      </c>
      <c r="H754" s="4">
        <v>0</v>
      </c>
      <c r="I754" s="4">
        <v>0</v>
      </c>
      <c r="J754" s="4">
        <v>186427.57</v>
      </c>
      <c r="K754" s="4">
        <v>10360362.550000001</v>
      </c>
      <c r="L754" s="4" t="s">
        <v>2211</v>
      </c>
      <c r="M754" s="4" t="s">
        <v>2212</v>
      </c>
      <c r="N754" s="4" t="s">
        <v>20</v>
      </c>
      <c r="O754" s="4" t="s">
        <v>1517</v>
      </c>
      <c r="P754" s="4" t="s">
        <v>603</v>
      </c>
      <c r="Q754" s="4" t="s">
        <v>100</v>
      </c>
      <c r="R754" s="9">
        <f t="shared" si="11"/>
        <v>1.7654727192172774E-4</v>
      </c>
    </row>
    <row r="755" spans="1:18" hidden="1" x14ac:dyDescent="0.2">
      <c r="A755" s="4">
        <v>1325</v>
      </c>
      <c r="B755" s="2">
        <v>8851944</v>
      </c>
      <c r="C755" s="2">
        <v>0</v>
      </c>
      <c r="D755" s="4" t="s">
        <v>3114</v>
      </c>
      <c r="E755" s="2">
        <v>8851944</v>
      </c>
      <c r="F755" s="2">
        <v>1681869.36</v>
      </c>
      <c r="G755" s="2">
        <v>155555.21</v>
      </c>
      <c r="H755" s="4">
        <v>0</v>
      </c>
      <c r="I755" s="4">
        <v>0</v>
      </c>
      <c r="J755" s="4">
        <v>155555.21</v>
      </c>
      <c r="K755" s="4">
        <v>10378258.15</v>
      </c>
      <c r="L755" s="4" t="s">
        <v>3112</v>
      </c>
      <c r="M755" s="4" t="s">
        <v>3113</v>
      </c>
      <c r="N755" s="4" t="s">
        <v>3115</v>
      </c>
      <c r="O755" s="4" t="s">
        <v>33</v>
      </c>
      <c r="P755" s="4" t="s">
        <v>33</v>
      </c>
      <c r="Q755" s="4" t="s">
        <v>100</v>
      </c>
      <c r="R755" s="9">
        <f t="shared" si="11"/>
        <v>1.7633004834187224E-4</v>
      </c>
    </row>
    <row r="756" spans="1:18" hidden="1" x14ac:dyDescent="0.2">
      <c r="A756" s="4">
        <v>2015</v>
      </c>
      <c r="B756" s="2">
        <v>8832363</v>
      </c>
      <c r="C756" s="2">
        <v>0</v>
      </c>
      <c r="D756" s="4" t="s">
        <v>2031</v>
      </c>
      <c r="E756" s="2">
        <v>8832363</v>
      </c>
      <c r="F756" s="2">
        <v>1678148.97</v>
      </c>
      <c r="G756" s="2">
        <v>0</v>
      </c>
      <c r="H756" s="4">
        <v>0</v>
      </c>
      <c r="I756" s="4">
        <v>0</v>
      </c>
      <c r="J756" s="4">
        <v>0</v>
      </c>
      <c r="K756" s="4">
        <v>10510511.970000001</v>
      </c>
      <c r="L756" s="4" t="s">
        <v>2029</v>
      </c>
      <c r="M756" s="4" t="s">
        <v>2030</v>
      </c>
      <c r="N756" s="4" t="s">
        <v>714</v>
      </c>
      <c r="O756" s="4" t="s">
        <v>382</v>
      </c>
      <c r="P756" s="4" t="s">
        <v>382</v>
      </c>
      <c r="Q756" s="4" t="s">
        <v>100</v>
      </c>
      <c r="R756" s="9">
        <f t="shared" si="11"/>
        <v>1.7593999631752797E-4</v>
      </c>
    </row>
    <row r="757" spans="1:18" hidden="1" x14ac:dyDescent="0.2">
      <c r="A757" s="4">
        <v>1289</v>
      </c>
      <c r="B757" s="2">
        <v>8798431</v>
      </c>
      <c r="C757" s="2">
        <v>0</v>
      </c>
      <c r="D757" s="4" t="s">
        <v>2455</v>
      </c>
      <c r="E757" s="2">
        <v>8798431</v>
      </c>
      <c r="F757" s="2">
        <v>1671701.89</v>
      </c>
      <c r="G757" s="2">
        <v>0</v>
      </c>
      <c r="H757" s="4">
        <v>0</v>
      </c>
      <c r="I757" s="4">
        <v>0</v>
      </c>
      <c r="J757" s="4">
        <v>0</v>
      </c>
      <c r="K757" s="4">
        <v>10470132.890000001</v>
      </c>
      <c r="L757" s="4" t="s">
        <v>2453</v>
      </c>
      <c r="M757" s="4" t="s">
        <v>2454</v>
      </c>
      <c r="N757" s="4" t="s">
        <v>2231</v>
      </c>
      <c r="O757" s="4" t="s">
        <v>42</v>
      </c>
      <c r="P757" s="4" t="s">
        <v>42</v>
      </c>
      <c r="Q757" s="4" t="s">
        <v>100</v>
      </c>
      <c r="R757" s="9">
        <f t="shared" si="11"/>
        <v>1.7526407346935626E-4</v>
      </c>
    </row>
    <row r="758" spans="1:18" hidden="1" x14ac:dyDescent="0.2">
      <c r="A758" s="4">
        <v>914</v>
      </c>
      <c r="B758" s="2">
        <v>8796198</v>
      </c>
      <c r="C758" s="2">
        <v>0</v>
      </c>
      <c r="D758" s="4" t="s">
        <v>3183</v>
      </c>
      <c r="E758" s="2">
        <v>8796198</v>
      </c>
      <c r="F758" s="2">
        <v>1671277.62</v>
      </c>
      <c r="G758" s="2">
        <v>0</v>
      </c>
      <c r="H758" s="4">
        <v>0</v>
      </c>
      <c r="I758" s="4">
        <v>0</v>
      </c>
      <c r="J758" s="4">
        <v>0</v>
      </c>
      <c r="K758" s="4">
        <v>10467475.619999999</v>
      </c>
      <c r="L758" s="4" t="s">
        <v>3181</v>
      </c>
      <c r="M758" s="4" t="s">
        <v>3182</v>
      </c>
      <c r="N758" s="4" t="s">
        <v>20</v>
      </c>
      <c r="O758" s="4" t="s">
        <v>372</v>
      </c>
      <c r="P758" s="4" t="s">
        <v>372</v>
      </c>
      <c r="Q758" s="4" t="s">
        <v>100</v>
      </c>
      <c r="R758" s="9">
        <f t="shared" si="11"/>
        <v>1.7521959227991953E-4</v>
      </c>
    </row>
    <row r="759" spans="1:18" hidden="1" x14ac:dyDescent="0.2">
      <c r="A759" s="4">
        <v>1388</v>
      </c>
      <c r="B759" s="2">
        <v>8763278</v>
      </c>
      <c r="C759" s="2">
        <v>0</v>
      </c>
      <c r="D759" s="4" t="s">
        <v>4182</v>
      </c>
      <c r="E759" s="2">
        <v>8763278</v>
      </c>
      <c r="F759" s="2">
        <v>1665022.82</v>
      </c>
      <c r="G759" s="2">
        <v>162308.95000000001</v>
      </c>
      <c r="H759" s="4">
        <v>0</v>
      </c>
      <c r="I759" s="4">
        <v>0</v>
      </c>
      <c r="J759" s="4">
        <v>162308.95000000001</v>
      </c>
      <c r="K759" s="4">
        <v>10265991.869999999</v>
      </c>
      <c r="L759" s="4" t="s">
        <v>4180</v>
      </c>
      <c r="M759" s="4" t="s">
        <v>4181</v>
      </c>
      <c r="N759" s="4" t="s">
        <v>293</v>
      </c>
      <c r="O759" s="4" t="s">
        <v>229</v>
      </c>
      <c r="P759" s="4" t="s">
        <v>229</v>
      </c>
      <c r="Q759" s="4" t="s">
        <v>100</v>
      </c>
      <c r="R759" s="9">
        <f t="shared" si="11"/>
        <v>1.7456382839444823E-4</v>
      </c>
    </row>
    <row r="760" spans="1:18" hidden="1" x14ac:dyDescent="0.2">
      <c r="A760" s="4">
        <v>1439</v>
      </c>
      <c r="B760" s="2">
        <v>8759440</v>
      </c>
      <c r="C760" s="2">
        <v>0</v>
      </c>
      <c r="D760" s="4" t="s">
        <v>2386</v>
      </c>
      <c r="E760" s="2">
        <v>8759440</v>
      </c>
      <c r="F760" s="2">
        <v>1664293.6</v>
      </c>
      <c r="G760" s="2">
        <v>0</v>
      </c>
      <c r="H760" s="4">
        <v>0</v>
      </c>
      <c r="I760" s="4">
        <v>0</v>
      </c>
      <c r="J760" s="4">
        <v>0</v>
      </c>
      <c r="K760" s="4">
        <v>10423733.6</v>
      </c>
      <c r="L760" s="4" t="s">
        <v>2384</v>
      </c>
      <c r="M760" s="4" t="s">
        <v>2385</v>
      </c>
      <c r="N760" s="4" t="s">
        <v>20</v>
      </c>
      <c r="O760" s="4" t="s">
        <v>372</v>
      </c>
      <c r="P760" s="4" t="s">
        <v>372</v>
      </c>
      <c r="Q760" s="4" t="s">
        <v>100</v>
      </c>
      <c r="R760" s="9">
        <f t="shared" si="11"/>
        <v>1.744873757276062E-4</v>
      </c>
    </row>
    <row r="761" spans="1:18" hidden="1" x14ac:dyDescent="0.2">
      <c r="A761" s="4">
        <v>1052</v>
      </c>
      <c r="B761" s="2">
        <v>8763743</v>
      </c>
      <c r="C761" s="2">
        <v>39026.400000000001</v>
      </c>
      <c r="D761" s="4" t="s">
        <v>2814</v>
      </c>
      <c r="E761" s="2">
        <v>8724716.5999999996</v>
      </c>
      <c r="F761" s="2">
        <v>1657696.15</v>
      </c>
      <c r="G761" s="2">
        <v>218117.92</v>
      </c>
      <c r="H761" s="4">
        <v>0</v>
      </c>
      <c r="I761" s="4">
        <v>0</v>
      </c>
      <c r="J761" s="4">
        <v>218117.92</v>
      </c>
      <c r="K761" s="4">
        <v>10164294.83</v>
      </c>
      <c r="L761" s="4" t="s">
        <v>2813</v>
      </c>
      <c r="M761" s="4" t="s">
        <v>44</v>
      </c>
      <c r="N761" s="4" t="s">
        <v>20</v>
      </c>
      <c r="O761" s="4" t="s">
        <v>1043</v>
      </c>
      <c r="P761" s="4" t="s">
        <v>1043</v>
      </c>
      <c r="Q761" s="4" t="s">
        <v>22</v>
      </c>
      <c r="R761" s="9">
        <f t="shared" si="11"/>
        <v>1.73795688251884E-4</v>
      </c>
    </row>
    <row r="762" spans="1:18" hidden="1" x14ac:dyDescent="0.2">
      <c r="A762" s="4">
        <v>1166</v>
      </c>
      <c r="B762" s="2">
        <v>8688401</v>
      </c>
      <c r="C762" s="2">
        <v>0</v>
      </c>
      <c r="D762" s="4" t="s">
        <v>3496</v>
      </c>
      <c r="E762" s="2">
        <v>8688401</v>
      </c>
      <c r="F762" s="2">
        <v>1650796.19</v>
      </c>
      <c r="G762" s="2">
        <v>0</v>
      </c>
      <c r="H762" s="4">
        <v>0</v>
      </c>
      <c r="I762" s="4">
        <v>0</v>
      </c>
      <c r="J762" s="4">
        <v>0</v>
      </c>
      <c r="K762" s="4">
        <v>10339197.189999999</v>
      </c>
      <c r="L762" s="4" t="s">
        <v>3495</v>
      </c>
      <c r="M762" s="4" t="s">
        <v>178</v>
      </c>
      <c r="N762" s="4" t="s">
        <v>20</v>
      </c>
      <c r="O762" s="4" t="s">
        <v>1043</v>
      </c>
      <c r="P762" s="4" t="s">
        <v>1043</v>
      </c>
      <c r="Q762" s="4" t="s">
        <v>28</v>
      </c>
      <c r="R762" s="9">
        <f t="shared" si="11"/>
        <v>1.7307228427377886E-4</v>
      </c>
    </row>
    <row r="763" spans="1:18" hidden="1" x14ac:dyDescent="0.2">
      <c r="A763" s="4">
        <v>1853</v>
      </c>
      <c r="B763" s="2">
        <v>8647978</v>
      </c>
      <c r="C763" s="2">
        <v>0</v>
      </c>
      <c r="D763" s="4" t="s">
        <v>2163</v>
      </c>
      <c r="E763" s="2">
        <v>8647978</v>
      </c>
      <c r="F763" s="2">
        <v>1643115.82</v>
      </c>
      <c r="G763" s="2">
        <v>80370.73</v>
      </c>
      <c r="H763" s="4">
        <v>0</v>
      </c>
      <c r="I763" s="4">
        <v>0</v>
      </c>
      <c r="J763" s="4">
        <v>80370.73</v>
      </c>
      <c r="K763" s="4">
        <v>10210723.09</v>
      </c>
      <c r="L763" s="4" t="s">
        <v>2161</v>
      </c>
      <c r="M763" s="4" t="s">
        <v>2162</v>
      </c>
      <c r="N763" s="4" t="s">
        <v>20</v>
      </c>
      <c r="O763" s="4" t="s">
        <v>631</v>
      </c>
      <c r="P763" s="4" t="s">
        <v>631</v>
      </c>
      <c r="Q763" s="4" t="s">
        <v>100</v>
      </c>
      <c r="R763" s="9">
        <f t="shared" si="11"/>
        <v>1.7226706120140927E-4</v>
      </c>
    </row>
    <row r="764" spans="1:18" hidden="1" x14ac:dyDescent="0.2">
      <c r="A764" s="4">
        <v>1552</v>
      </c>
      <c r="B764" s="2">
        <v>8591161</v>
      </c>
      <c r="C764" s="2">
        <v>26388.45</v>
      </c>
      <c r="D764" s="4" t="s">
        <v>2765</v>
      </c>
      <c r="E764" s="2">
        <v>8564772.5500000007</v>
      </c>
      <c r="F764" s="2">
        <v>1627306.78</v>
      </c>
      <c r="G764" s="2">
        <v>0</v>
      </c>
      <c r="H764" s="4">
        <v>0</v>
      </c>
      <c r="I764" s="4">
        <v>0</v>
      </c>
      <c r="J764" s="4">
        <v>0</v>
      </c>
      <c r="K764" s="4">
        <v>10192079.33</v>
      </c>
      <c r="L764" s="4" t="s">
        <v>2763</v>
      </c>
      <c r="M764" s="4" t="s">
        <v>2764</v>
      </c>
      <c r="N764" s="4" t="s">
        <v>1107</v>
      </c>
      <c r="O764" s="4" t="s">
        <v>89</v>
      </c>
      <c r="P764" s="4" t="s">
        <v>89</v>
      </c>
      <c r="Q764" s="4" t="s">
        <v>100</v>
      </c>
      <c r="R764" s="9">
        <f t="shared" si="11"/>
        <v>1.7060961499289201E-4</v>
      </c>
    </row>
    <row r="765" spans="1:18" hidden="1" x14ac:dyDescent="0.2">
      <c r="A765" s="4">
        <v>1082</v>
      </c>
      <c r="B765" s="2">
        <v>8521100</v>
      </c>
      <c r="C765" s="2">
        <v>0</v>
      </c>
      <c r="D765" s="4" t="s">
        <v>3485</v>
      </c>
      <c r="E765" s="2">
        <v>8521100</v>
      </c>
      <c r="F765" s="2">
        <v>1619009</v>
      </c>
      <c r="G765" s="2">
        <v>213027.5</v>
      </c>
      <c r="H765" s="4">
        <v>0</v>
      </c>
      <c r="I765" s="4">
        <v>0</v>
      </c>
      <c r="J765" s="4">
        <v>213027.5</v>
      </c>
      <c r="K765" s="4">
        <v>9927081.5</v>
      </c>
      <c r="L765" s="4" t="s">
        <v>3483</v>
      </c>
      <c r="M765" s="4" t="s">
        <v>3484</v>
      </c>
      <c r="N765" s="4" t="s">
        <v>172</v>
      </c>
      <c r="O765" s="4" t="s">
        <v>173</v>
      </c>
      <c r="P765" s="4" t="s">
        <v>173</v>
      </c>
      <c r="Q765" s="4" t="s">
        <v>100</v>
      </c>
      <c r="R765" s="9">
        <f t="shared" si="11"/>
        <v>1.6973966113273284E-4</v>
      </c>
    </row>
    <row r="766" spans="1:18" hidden="1" x14ac:dyDescent="0.2">
      <c r="A766" s="4">
        <v>1904</v>
      </c>
      <c r="B766" s="2">
        <v>8503952</v>
      </c>
      <c r="C766" s="2">
        <v>0</v>
      </c>
      <c r="D766" s="4" t="s">
        <v>3180</v>
      </c>
      <c r="E766" s="2">
        <v>8503952</v>
      </c>
      <c r="F766" s="2">
        <v>1615750.88</v>
      </c>
      <c r="G766" s="2">
        <v>0</v>
      </c>
      <c r="H766" s="4">
        <v>0</v>
      </c>
      <c r="I766" s="4">
        <v>0</v>
      </c>
      <c r="J766" s="4">
        <v>0</v>
      </c>
      <c r="K766" s="4">
        <v>10119702.880000001</v>
      </c>
      <c r="L766" s="4" t="s">
        <v>3178</v>
      </c>
      <c r="M766" s="4" t="s">
        <v>3179</v>
      </c>
      <c r="N766" s="4" t="s">
        <v>272</v>
      </c>
      <c r="O766" s="4" t="s">
        <v>89</v>
      </c>
      <c r="P766" s="4" t="s">
        <v>89</v>
      </c>
      <c r="Q766" s="4" t="s">
        <v>100</v>
      </c>
      <c r="R766" s="9">
        <f t="shared" si="11"/>
        <v>1.6939807428254869E-4</v>
      </c>
    </row>
    <row r="767" spans="1:18" hidden="1" x14ac:dyDescent="0.2">
      <c r="A767" s="4">
        <v>24</v>
      </c>
      <c r="B767" s="2">
        <v>8432016</v>
      </c>
      <c r="C767" s="2">
        <v>0</v>
      </c>
      <c r="D767" s="4" t="s">
        <v>2172</v>
      </c>
      <c r="E767" s="2">
        <v>8432016</v>
      </c>
      <c r="F767" s="2">
        <v>1602083.04</v>
      </c>
      <c r="G767" s="2">
        <v>210800.4</v>
      </c>
      <c r="H767" s="4">
        <v>240312.45</v>
      </c>
      <c r="I767" s="4">
        <v>0</v>
      </c>
      <c r="J767" s="4">
        <v>451112.85</v>
      </c>
      <c r="K767" s="4">
        <v>9582986.1899999995</v>
      </c>
      <c r="L767" s="4" t="s">
        <v>2171</v>
      </c>
      <c r="M767" s="4" t="s">
        <v>146</v>
      </c>
      <c r="N767" s="4" t="s">
        <v>332</v>
      </c>
      <c r="O767" s="4" t="s">
        <v>1127</v>
      </c>
      <c r="P767" s="4" t="s">
        <v>1127</v>
      </c>
      <c r="Q767" s="4" t="s">
        <v>28</v>
      </c>
      <c r="R767" s="9">
        <f t="shared" si="11"/>
        <v>1.6796511465723689E-4</v>
      </c>
    </row>
    <row r="768" spans="1:18" x14ac:dyDescent="0.2">
      <c r="A768" s="4">
        <v>809</v>
      </c>
      <c r="B768" s="2">
        <v>8409900</v>
      </c>
      <c r="C768" s="2">
        <v>0</v>
      </c>
      <c r="D768" s="4" t="s">
        <v>1087</v>
      </c>
      <c r="E768" s="2">
        <v>8409900</v>
      </c>
      <c r="F768" s="2">
        <v>1597881</v>
      </c>
      <c r="G768" s="2">
        <v>80312.800000000003</v>
      </c>
      <c r="H768" s="4">
        <v>91556.59</v>
      </c>
      <c r="I768" s="4">
        <v>0</v>
      </c>
      <c r="J768" s="4">
        <v>171869.39</v>
      </c>
      <c r="K768" s="4">
        <v>9835911.6099999994</v>
      </c>
      <c r="L768" s="4" t="s">
        <v>1086</v>
      </c>
      <c r="M768" s="4" t="s">
        <v>81</v>
      </c>
      <c r="N768" s="4" t="s">
        <v>32</v>
      </c>
      <c r="O768" s="4" t="s">
        <v>33</v>
      </c>
      <c r="P768" s="4" t="s">
        <v>33</v>
      </c>
      <c r="Q768" s="4" t="s">
        <v>28</v>
      </c>
      <c r="R768" s="9">
        <f t="shared" si="11"/>
        <v>1.6752456562652354E-4</v>
      </c>
    </row>
    <row r="769" spans="1:18" hidden="1" x14ac:dyDescent="0.2">
      <c r="A769" s="4">
        <v>928</v>
      </c>
      <c r="B769" s="2">
        <v>8386334</v>
      </c>
      <c r="C769" s="2">
        <v>0</v>
      </c>
      <c r="D769" s="4" t="s">
        <v>3050</v>
      </c>
      <c r="E769" s="2">
        <v>8386334</v>
      </c>
      <c r="F769" s="2">
        <v>1593403.46</v>
      </c>
      <c r="G769" s="2">
        <v>83682.05</v>
      </c>
      <c r="H769" s="4">
        <v>0</v>
      </c>
      <c r="I769" s="4">
        <v>0</v>
      </c>
      <c r="J769" s="4">
        <v>83682.05</v>
      </c>
      <c r="K769" s="4">
        <v>9896055.4100000001</v>
      </c>
      <c r="L769" s="4" t="s">
        <v>3048</v>
      </c>
      <c r="M769" s="4" t="s">
        <v>3049</v>
      </c>
      <c r="N769" s="4" t="s">
        <v>20</v>
      </c>
      <c r="O769" s="4" t="s">
        <v>76</v>
      </c>
      <c r="P769" s="4" t="s">
        <v>76</v>
      </c>
      <c r="Q769" s="4" t="s">
        <v>1378</v>
      </c>
      <c r="R769" s="9">
        <f t="shared" si="11"/>
        <v>1.6705513270656556E-4</v>
      </c>
    </row>
    <row r="770" spans="1:18" hidden="1" x14ac:dyDescent="0.2">
      <c r="A770" s="4">
        <v>614</v>
      </c>
      <c r="B770" s="2">
        <v>8429847</v>
      </c>
      <c r="C770" s="2">
        <v>51648.21</v>
      </c>
      <c r="D770" s="4" t="s">
        <v>5493</v>
      </c>
      <c r="E770" s="2">
        <v>8378198.79</v>
      </c>
      <c r="F770" s="2">
        <v>1591857.77</v>
      </c>
      <c r="G770" s="2">
        <v>115070.17</v>
      </c>
      <c r="H770" s="4">
        <v>0</v>
      </c>
      <c r="I770" s="4">
        <v>0</v>
      </c>
      <c r="J770" s="4">
        <v>115070.17</v>
      </c>
      <c r="K770" s="4">
        <v>9854986.3900000006</v>
      </c>
      <c r="L770" s="4" t="s">
        <v>5491</v>
      </c>
      <c r="M770" s="4" t="s">
        <v>5492</v>
      </c>
      <c r="N770" s="4" t="s">
        <v>88</v>
      </c>
      <c r="O770" s="4" t="s">
        <v>89</v>
      </c>
      <c r="P770" s="4" t="s">
        <v>89</v>
      </c>
      <c r="Q770" s="4" t="s">
        <v>100</v>
      </c>
      <c r="R770" s="9">
        <f t="shared" si="11"/>
        <v>1.668930799447574E-4</v>
      </c>
    </row>
    <row r="771" spans="1:18" hidden="1" x14ac:dyDescent="0.2">
      <c r="A771" s="4">
        <v>1407</v>
      </c>
      <c r="B771" s="2">
        <v>8368267</v>
      </c>
      <c r="C771" s="2">
        <v>0</v>
      </c>
      <c r="D771" s="4" t="s">
        <v>5496</v>
      </c>
      <c r="E771" s="2">
        <v>8368267</v>
      </c>
      <c r="F771" s="2">
        <v>1589970.73</v>
      </c>
      <c r="G771" s="2">
        <v>187561.48</v>
      </c>
      <c r="H771" s="4">
        <v>0</v>
      </c>
      <c r="I771" s="4">
        <v>0</v>
      </c>
      <c r="J771" s="4">
        <v>187561.48</v>
      </c>
      <c r="K771" s="4">
        <v>9770676.25</v>
      </c>
      <c r="L771" s="4" t="s">
        <v>5494</v>
      </c>
      <c r="M771" s="4" t="s">
        <v>5495</v>
      </c>
      <c r="N771" s="4" t="s">
        <v>124</v>
      </c>
      <c r="O771" s="4" t="s">
        <v>33</v>
      </c>
      <c r="P771" s="4" t="s">
        <v>1039</v>
      </c>
      <c r="Q771" s="4" t="s">
        <v>100</v>
      </c>
      <c r="R771" s="9">
        <f t="shared" ref="R771:R834" si="12">E771/$E$2034</f>
        <v>1.6669523944657741E-4</v>
      </c>
    </row>
    <row r="772" spans="1:18" hidden="1" x14ac:dyDescent="0.2">
      <c r="A772" s="4">
        <v>924</v>
      </c>
      <c r="B772" s="2">
        <v>8342316</v>
      </c>
      <c r="C772" s="2">
        <v>0</v>
      </c>
      <c r="D772" s="4" t="s">
        <v>5499</v>
      </c>
      <c r="E772" s="2">
        <v>8342316</v>
      </c>
      <c r="F772" s="2">
        <v>1585040.04</v>
      </c>
      <c r="G772" s="2">
        <v>162486.88</v>
      </c>
      <c r="H772" s="4">
        <v>0</v>
      </c>
      <c r="I772" s="4">
        <v>0</v>
      </c>
      <c r="J772" s="4">
        <v>162486.88</v>
      </c>
      <c r="K772" s="4">
        <v>9764869.1600000001</v>
      </c>
      <c r="L772" s="4" t="s">
        <v>5497</v>
      </c>
      <c r="M772" s="4" t="s">
        <v>5498</v>
      </c>
      <c r="N772" s="4" t="s">
        <v>20</v>
      </c>
      <c r="O772" s="4" t="s">
        <v>257</v>
      </c>
      <c r="P772" s="4" t="s">
        <v>257</v>
      </c>
      <c r="Q772" s="4" t="s">
        <v>100</v>
      </c>
      <c r="R772" s="9">
        <f t="shared" si="12"/>
        <v>1.6617829750879289E-4</v>
      </c>
    </row>
    <row r="773" spans="1:18" hidden="1" x14ac:dyDescent="0.2">
      <c r="A773" s="4">
        <v>1337</v>
      </c>
      <c r="B773" s="2">
        <v>8337628</v>
      </c>
      <c r="C773" s="2">
        <v>0</v>
      </c>
      <c r="D773" s="4" t="s">
        <v>1635</v>
      </c>
      <c r="E773" s="2">
        <v>8337628</v>
      </c>
      <c r="F773" s="2">
        <v>1584149.32</v>
      </c>
      <c r="G773" s="2">
        <v>0</v>
      </c>
      <c r="H773" s="4">
        <v>0</v>
      </c>
      <c r="I773" s="4">
        <v>0</v>
      </c>
      <c r="J773" s="4">
        <v>0</v>
      </c>
      <c r="K773" s="4">
        <v>9921777.3200000003</v>
      </c>
      <c r="L773" s="4" t="s">
        <v>1633</v>
      </c>
      <c r="M773" s="4" t="s">
        <v>1634</v>
      </c>
      <c r="N773" s="4" t="s">
        <v>32</v>
      </c>
      <c r="O773" s="4" t="s">
        <v>33</v>
      </c>
      <c r="P773" s="4" t="s">
        <v>33</v>
      </c>
      <c r="Q773" s="4" t="s">
        <v>100</v>
      </c>
      <c r="R773" s="9">
        <f t="shared" si="12"/>
        <v>1.6608491290687644E-4</v>
      </c>
    </row>
    <row r="774" spans="1:18" hidden="1" x14ac:dyDescent="0.2">
      <c r="A774" s="4">
        <v>1098</v>
      </c>
      <c r="B774" s="2">
        <v>8322786</v>
      </c>
      <c r="C774" s="2">
        <v>0</v>
      </c>
      <c r="D774" s="4" t="s">
        <v>3704</v>
      </c>
      <c r="E774" s="2">
        <v>8322786</v>
      </c>
      <c r="F774" s="2">
        <v>1581329.34</v>
      </c>
      <c r="G774" s="2">
        <v>74452.710000000006</v>
      </c>
      <c r="H774" s="4">
        <v>0</v>
      </c>
      <c r="I774" s="4">
        <v>0</v>
      </c>
      <c r="J774" s="4">
        <v>74452.710000000006</v>
      </c>
      <c r="K774" s="4">
        <v>9829662.6300000008</v>
      </c>
      <c r="L774" s="4" t="s">
        <v>3702</v>
      </c>
      <c r="M774" s="4" t="s">
        <v>3703</v>
      </c>
      <c r="N774" s="4" t="s">
        <v>368</v>
      </c>
      <c r="O774" s="4" t="s">
        <v>89</v>
      </c>
      <c r="P774" s="4" t="s">
        <v>89</v>
      </c>
      <c r="Q774" s="4" t="s">
        <v>100</v>
      </c>
      <c r="R774" s="9">
        <f t="shared" si="12"/>
        <v>1.6578926140055309E-4</v>
      </c>
    </row>
    <row r="775" spans="1:18" hidden="1" x14ac:dyDescent="0.2">
      <c r="A775" s="4">
        <v>1587</v>
      </c>
      <c r="B775" s="2">
        <v>8318889</v>
      </c>
      <c r="C775" s="2">
        <v>8880.7199999999993</v>
      </c>
      <c r="D775" s="4" t="s">
        <v>2850</v>
      </c>
      <c r="E775" s="2">
        <v>8310008.2800000003</v>
      </c>
      <c r="F775" s="2">
        <v>1578901.57</v>
      </c>
      <c r="G775" s="2">
        <v>0</v>
      </c>
      <c r="H775" s="4">
        <v>0</v>
      </c>
      <c r="I775" s="4">
        <v>0</v>
      </c>
      <c r="J775" s="4">
        <v>0</v>
      </c>
      <c r="K775" s="4">
        <v>9888909.8499999996</v>
      </c>
      <c r="L775" s="4" t="s">
        <v>2848</v>
      </c>
      <c r="M775" s="4" t="s">
        <v>2849</v>
      </c>
      <c r="N775" s="4" t="s">
        <v>20</v>
      </c>
      <c r="O775" s="4" t="s">
        <v>1356</v>
      </c>
      <c r="P775" s="4" t="s">
        <v>1356</v>
      </c>
      <c r="Q775" s="4" t="s">
        <v>100</v>
      </c>
      <c r="R775" s="9">
        <f t="shared" si="12"/>
        <v>1.6553473019415382E-4</v>
      </c>
    </row>
    <row r="776" spans="1:18" hidden="1" x14ac:dyDescent="0.2">
      <c r="A776" s="4">
        <v>1428</v>
      </c>
      <c r="B776" s="2">
        <v>8285326</v>
      </c>
      <c r="C776" s="2">
        <v>0</v>
      </c>
      <c r="D776" s="4" t="s">
        <v>2607</v>
      </c>
      <c r="E776" s="2">
        <v>8285326</v>
      </c>
      <c r="F776" s="2">
        <v>1574211.94</v>
      </c>
      <c r="G776" s="2">
        <v>0</v>
      </c>
      <c r="H776" s="4">
        <v>0</v>
      </c>
      <c r="I776" s="4">
        <v>0</v>
      </c>
      <c r="J776" s="4">
        <v>0</v>
      </c>
      <c r="K776" s="4">
        <v>9859537.9399999995</v>
      </c>
      <c r="L776" s="4" t="s">
        <v>2605</v>
      </c>
      <c r="M776" s="4" t="s">
        <v>2606</v>
      </c>
      <c r="N776" s="4" t="s">
        <v>20</v>
      </c>
      <c r="O776" s="4" t="s">
        <v>1356</v>
      </c>
      <c r="P776" s="4" t="s">
        <v>1356</v>
      </c>
      <c r="Q776" s="4" t="s">
        <v>100</v>
      </c>
      <c r="R776" s="9">
        <f t="shared" si="12"/>
        <v>1.6504306106186064E-4</v>
      </c>
    </row>
    <row r="777" spans="1:18" hidden="1" x14ac:dyDescent="0.2">
      <c r="A777" s="4">
        <v>467</v>
      </c>
      <c r="B777" s="2">
        <v>8261665</v>
      </c>
      <c r="C777" s="2">
        <v>0</v>
      </c>
      <c r="D777" s="4" t="s">
        <v>2791</v>
      </c>
      <c r="E777" s="2">
        <v>8261665</v>
      </c>
      <c r="F777" s="2">
        <v>1569716.35</v>
      </c>
      <c r="G777" s="2">
        <v>0</v>
      </c>
      <c r="H777" s="4">
        <v>0</v>
      </c>
      <c r="I777" s="4">
        <v>0</v>
      </c>
      <c r="J777" s="4">
        <v>0</v>
      </c>
      <c r="K777" s="4">
        <v>9831381.3499999996</v>
      </c>
      <c r="L777" s="4" t="s">
        <v>2790</v>
      </c>
      <c r="M777" s="4" t="s">
        <v>1250</v>
      </c>
      <c r="N777" s="4" t="s">
        <v>20</v>
      </c>
      <c r="O777" s="4" t="s">
        <v>359</v>
      </c>
      <c r="P777" s="4" t="s">
        <v>359</v>
      </c>
      <c r="Q777" s="4" t="s">
        <v>100</v>
      </c>
      <c r="R777" s="9">
        <f t="shared" si="12"/>
        <v>1.6457173574915905E-4</v>
      </c>
    </row>
    <row r="778" spans="1:18" hidden="1" x14ac:dyDescent="0.2">
      <c r="A778" s="4">
        <v>1569</v>
      </c>
      <c r="B778" s="2">
        <v>8260023</v>
      </c>
      <c r="C778" s="2">
        <v>0</v>
      </c>
      <c r="D778" s="4" t="s">
        <v>2308</v>
      </c>
      <c r="E778" s="2">
        <v>8260023</v>
      </c>
      <c r="F778" s="2">
        <v>1569404.37</v>
      </c>
      <c r="G778" s="2">
        <v>37145.75</v>
      </c>
      <c r="H778" s="4">
        <v>0</v>
      </c>
      <c r="I778" s="4">
        <v>0</v>
      </c>
      <c r="J778" s="4">
        <v>37145.75</v>
      </c>
      <c r="K778" s="4">
        <v>9792281.6199999992</v>
      </c>
      <c r="L778" s="4" t="s">
        <v>2306</v>
      </c>
      <c r="M778" s="4" t="s">
        <v>2307</v>
      </c>
      <c r="N778" s="4" t="s">
        <v>20</v>
      </c>
      <c r="O778" s="4" t="s">
        <v>540</v>
      </c>
      <c r="P778" s="4" t="s">
        <v>540</v>
      </c>
      <c r="Q778" s="4" t="s">
        <v>100</v>
      </c>
      <c r="R778" s="9">
        <f t="shared" si="12"/>
        <v>1.6453902723457994E-4</v>
      </c>
    </row>
    <row r="779" spans="1:18" hidden="1" x14ac:dyDescent="0.2">
      <c r="A779" s="4">
        <v>756</v>
      </c>
      <c r="B779" s="2">
        <v>8298806</v>
      </c>
      <c r="C779" s="2">
        <v>39815.160000000003</v>
      </c>
      <c r="D779" s="4" t="s">
        <v>1156</v>
      </c>
      <c r="E779" s="2">
        <v>8258990.8399999999</v>
      </c>
      <c r="F779" s="2">
        <v>1569208.26</v>
      </c>
      <c r="G779" s="2">
        <v>187688.4</v>
      </c>
      <c r="H779" s="4">
        <v>0</v>
      </c>
      <c r="I779" s="4">
        <v>0</v>
      </c>
      <c r="J779" s="4">
        <v>187688.4</v>
      </c>
      <c r="K779" s="4">
        <v>9640510.6999999993</v>
      </c>
      <c r="L779" s="4" t="s">
        <v>1154</v>
      </c>
      <c r="M779" s="4" t="s">
        <v>1155</v>
      </c>
      <c r="N779" s="4" t="s">
        <v>20</v>
      </c>
      <c r="O779" s="4" t="s">
        <v>1157</v>
      </c>
      <c r="P779" s="4" t="s">
        <v>1157</v>
      </c>
      <c r="Q779" s="4" t="s">
        <v>28</v>
      </c>
      <c r="R779" s="9">
        <f t="shared" si="12"/>
        <v>1.6451846668621943E-4</v>
      </c>
    </row>
    <row r="780" spans="1:18" hidden="1" x14ac:dyDescent="0.2">
      <c r="A780" s="4">
        <v>1437</v>
      </c>
      <c r="B780" s="2">
        <v>8222310</v>
      </c>
      <c r="C780" s="2">
        <v>0</v>
      </c>
      <c r="D780" s="4" t="s">
        <v>2452</v>
      </c>
      <c r="E780" s="2">
        <v>8222310</v>
      </c>
      <c r="F780" s="2">
        <v>1562238.9</v>
      </c>
      <c r="G780" s="2">
        <v>0</v>
      </c>
      <c r="H780" s="4">
        <v>0</v>
      </c>
      <c r="I780" s="4">
        <v>0</v>
      </c>
      <c r="J780" s="4">
        <v>0</v>
      </c>
      <c r="K780" s="4">
        <v>9784548.9000000004</v>
      </c>
      <c r="L780" s="4" t="s">
        <v>2450</v>
      </c>
      <c r="M780" s="4" t="s">
        <v>2451</v>
      </c>
      <c r="N780" s="4" t="s">
        <v>20</v>
      </c>
      <c r="O780" s="4" t="s">
        <v>71</v>
      </c>
      <c r="P780" s="4" t="s">
        <v>71</v>
      </c>
      <c r="Q780" s="4" t="s">
        <v>100</v>
      </c>
      <c r="R780" s="9">
        <f t="shared" si="12"/>
        <v>1.6378778715521241E-4</v>
      </c>
    </row>
    <row r="781" spans="1:18" hidden="1" x14ac:dyDescent="0.2">
      <c r="A781" s="4">
        <v>1654</v>
      </c>
      <c r="B781" s="2">
        <v>8210909</v>
      </c>
      <c r="C781" s="2">
        <v>0</v>
      </c>
      <c r="D781" s="4" t="s">
        <v>3260</v>
      </c>
      <c r="E781" s="2">
        <v>8210909</v>
      </c>
      <c r="F781" s="2">
        <v>1560072.71</v>
      </c>
      <c r="G781" s="2">
        <v>0</v>
      </c>
      <c r="H781" s="4">
        <v>0</v>
      </c>
      <c r="I781" s="4">
        <v>0</v>
      </c>
      <c r="J781" s="4">
        <v>0</v>
      </c>
      <c r="K781" s="4">
        <v>9770981.7100000009</v>
      </c>
      <c r="L781" s="4" t="s">
        <v>3258</v>
      </c>
      <c r="M781" s="4" t="s">
        <v>3259</v>
      </c>
      <c r="N781" s="4" t="s">
        <v>20</v>
      </c>
      <c r="O781" s="4" t="s">
        <v>768</v>
      </c>
      <c r="P781" s="4" t="s">
        <v>768</v>
      </c>
      <c r="Q781" s="4" t="s">
        <v>100</v>
      </c>
      <c r="R781" s="9">
        <f t="shared" si="12"/>
        <v>1.6356068010605512E-4</v>
      </c>
    </row>
    <row r="782" spans="1:18" hidden="1" x14ac:dyDescent="0.2">
      <c r="A782" s="4">
        <v>1429</v>
      </c>
      <c r="B782" s="2">
        <v>8172643</v>
      </c>
      <c r="C782" s="2">
        <v>0</v>
      </c>
      <c r="D782" s="4" t="s">
        <v>2478</v>
      </c>
      <c r="E782" s="2">
        <v>8172643</v>
      </c>
      <c r="F782" s="2">
        <v>1552802.17</v>
      </c>
      <c r="G782" s="2">
        <v>0</v>
      </c>
      <c r="H782" s="4">
        <v>0</v>
      </c>
      <c r="I782" s="4">
        <v>0</v>
      </c>
      <c r="J782" s="4">
        <v>0</v>
      </c>
      <c r="K782" s="4">
        <v>9725445.1699999999</v>
      </c>
      <c r="L782" s="4" t="s">
        <v>2476</v>
      </c>
      <c r="M782" s="4" t="s">
        <v>2477</v>
      </c>
      <c r="N782" s="4" t="s">
        <v>20</v>
      </c>
      <c r="O782" s="4" t="s">
        <v>1356</v>
      </c>
      <c r="P782" s="4" t="s">
        <v>1356</v>
      </c>
      <c r="Q782" s="4" t="s">
        <v>100</v>
      </c>
      <c r="R782" s="9">
        <f t="shared" si="12"/>
        <v>1.6279842430892737E-4</v>
      </c>
    </row>
    <row r="783" spans="1:18" hidden="1" x14ac:dyDescent="0.2">
      <c r="A783" s="4">
        <v>563</v>
      </c>
      <c r="B783" s="2">
        <v>8170001</v>
      </c>
      <c r="C783" s="2">
        <v>0</v>
      </c>
      <c r="D783" s="4" t="s">
        <v>2181</v>
      </c>
      <c r="E783" s="2">
        <v>8170001</v>
      </c>
      <c r="F783" s="2">
        <v>1552300.19</v>
      </c>
      <c r="G783" s="2">
        <v>0</v>
      </c>
      <c r="H783" s="4">
        <v>0</v>
      </c>
      <c r="I783" s="4">
        <v>0</v>
      </c>
      <c r="J783" s="4">
        <v>0</v>
      </c>
      <c r="K783" s="4">
        <v>9722301.1899999995</v>
      </c>
      <c r="L783" s="4" t="s">
        <v>2179</v>
      </c>
      <c r="M783" s="4" t="s">
        <v>2180</v>
      </c>
      <c r="N783" s="4" t="s">
        <v>272</v>
      </c>
      <c r="O783" s="4" t="s">
        <v>89</v>
      </c>
      <c r="P783" s="4" t="s">
        <v>89</v>
      </c>
      <c r="Q783" s="4" t="s">
        <v>100</v>
      </c>
      <c r="R783" s="9">
        <f t="shared" si="12"/>
        <v>1.6274579587073127E-4</v>
      </c>
    </row>
    <row r="784" spans="1:18" hidden="1" x14ac:dyDescent="0.2">
      <c r="A784" s="4">
        <v>613</v>
      </c>
      <c r="B784" s="2">
        <v>8157544</v>
      </c>
      <c r="C784" s="2">
        <v>0</v>
      </c>
      <c r="D784" s="4" t="s">
        <v>2202</v>
      </c>
      <c r="E784" s="2">
        <v>8157544</v>
      </c>
      <c r="F784" s="2">
        <v>1549933.36</v>
      </c>
      <c r="G784" s="2">
        <v>46462.9</v>
      </c>
      <c r="H784" s="4">
        <v>0</v>
      </c>
      <c r="I784" s="4">
        <v>0</v>
      </c>
      <c r="J784" s="4">
        <v>46462.9</v>
      </c>
      <c r="K784" s="4">
        <v>9661014.4600000009</v>
      </c>
      <c r="L784" s="4" t="s">
        <v>2200</v>
      </c>
      <c r="M784" s="4" t="s">
        <v>2201</v>
      </c>
      <c r="N784" s="4" t="s">
        <v>88</v>
      </c>
      <c r="O784" s="4" t="s">
        <v>89</v>
      </c>
      <c r="P784" s="4" t="s">
        <v>89</v>
      </c>
      <c r="Q784" s="4" t="s">
        <v>100</v>
      </c>
      <c r="R784" s="9">
        <f t="shared" si="12"/>
        <v>1.6249765338223444E-4</v>
      </c>
    </row>
    <row r="785" spans="1:18" hidden="1" x14ac:dyDescent="0.2">
      <c r="A785" s="4">
        <v>1618</v>
      </c>
      <c r="B785" s="2">
        <v>8113488</v>
      </c>
      <c r="C785" s="2">
        <v>0</v>
      </c>
      <c r="D785" s="4" t="s">
        <v>2716</v>
      </c>
      <c r="E785" s="2">
        <v>8113488</v>
      </c>
      <c r="F785" s="2">
        <v>1541562.72</v>
      </c>
      <c r="G785" s="2">
        <v>0</v>
      </c>
      <c r="H785" s="4">
        <v>0</v>
      </c>
      <c r="I785" s="4">
        <v>0</v>
      </c>
      <c r="J785" s="4">
        <v>0</v>
      </c>
      <c r="K785" s="4">
        <v>9655050.7200000007</v>
      </c>
      <c r="L785" s="4" t="s">
        <v>2714</v>
      </c>
      <c r="M785" s="4" t="s">
        <v>2715</v>
      </c>
      <c r="N785" s="4" t="s">
        <v>63</v>
      </c>
      <c r="O785" s="4" t="s">
        <v>33</v>
      </c>
      <c r="P785" s="4" t="s">
        <v>33</v>
      </c>
      <c r="Q785" s="4" t="s">
        <v>100</v>
      </c>
      <c r="R785" s="9">
        <f t="shared" si="12"/>
        <v>1.6162006122736434E-4</v>
      </c>
    </row>
    <row r="786" spans="1:18" hidden="1" x14ac:dyDescent="0.2">
      <c r="A786" s="4">
        <v>1887</v>
      </c>
      <c r="B786" s="2">
        <v>8023022</v>
      </c>
      <c r="C786" s="2">
        <v>0</v>
      </c>
      <c r="D786" s="4" t="s">
        <v>5502</v>
      </c>
      <c r="E786" s="2">
        <v>8023022</v>
      </c>
      <c r="F786" s="2">
        <v>1524374.18</v>
      </c>
      <c r="G786" s="2">
        <v>189599.3</v>
      </c>
      <c r="H786" s="4">
        <v>0</v>
      </c>
      <c r="I786" s="4">
        <v>0</v>
      </c>
      <c r="J786" s="4">
        <v>189599.3</v>
      </c>
      <c r="K786" s="4">
        <v>9357796.8800000008</v>
      </c>
      <c r="L786" s="4" t="s">
        <v>5500</v>
      </c>
      <c r="M786" s="4" t="s">
        <v>5501</v>
      </c>
      <c r="N786" s="4" t="s">
        <v>200</v>
      </c>
      <c r="O786" s="4" t="s">
        <v>201</v>
      </c>
      <c r="P786" s="4" t="s">
        <v>201</v>
      </c>
      <c r="Q786" s="4" t="s">
        <v>100</v>
      </c>
      <c r="R786" s="9">
        <f t="shared" si="12"/>
        <v>1.5981798541742973E-4</v>
      </c>
    </row>
    <row r="787" spans="1:18" hidden="1" x14ac:dyDescent="0.2">
      <c r="A787" s="4">
        <v>151</v>
      </c>
      <c r="B787" s="2">
        <v>7954404</v>
      </c>
      <c r="C787" s="2">
        <v>0</v>
      </c>
      <c r="D787" s="4" t="s">
        <v>3078</v>
      </c>
      <c r="E787" s="2">
        <v>7954404</v>
      </c>
      <c r="F787" s="2">
        <v>1511336.76</v>
      </c>
      <c r="G787" s="2">
        <v>0</v>
      </c>
      <c r="H787" s="4">
        <v>0</v>
      </c>
      <c r="I787" s="4">
        <v>0</v>
      </c>
      <c r="J787" s="4">
        <v>0</v>
      </c>
      <c r="K787" s="4">
        <v>9465740.7599999998</v>
      </c>
      <c r="L787" s="4" t="s">
        <v>3076</v>
      </c>
      <c r="M787" s="4" t="s">
        <v>3077</v>
      </c>
      <c r="N787" s="4" t="s">
        <v>648</v>
      </c>
      <c r="O787" s="4" t="s">
        <v>340</v>
      </c>
      <c r="P787" s="4" t="s">
        <v>340</v>
      </c>
      <c r="Q787" s="4" t="s">
        <v>100</v>
      </c>
      <c r="R787" s="9">
        <f t="shared" si="12"/>
        <v>1.5845112009867912E-4</v>
      </c>
    </row>
    <row r="788" spans="1:18" hidden="1" x14ac:dyDescent="0.2">
      <c r="A788" s="4">
        <v>1499</v>
      </c>
      <c r="B788" s="2">
        <v>7917442</v>
      </c>
      <c r="C788" s="2">
        <v>0</v>
      </c>
      <c r="D788" s="4" t="s">
        <v>2499</v>
      </c>
      <c r="E788" s="2">
        <v>7917442</v>
      </c>
      <c r="F788" s="2">
        <v>1504313.98</v>
      </c>
      <c r="G788" s="2">
        <v>0</v>
      </c>
      <c r="H788" s="4">
        <v>0</v>
      </c>
      <c r="I788" s="4">
        <v>0</v>
      </c>
      <c r="J788" s="4">
        <v>0</v>
      </c>
      <c r="K788" s="4">
        <v>9421755.9800000004</v>
      </c>
      <c r="L788" s="4" t="s">
        <v>2497</v>
      </c>
      <c r="M788" s="4" t="s">
        <v>2498</v>
      </c>
      <c r="N788" s="4" t="s">
        <v>20</v>
      </c>
      <c r="O788" s="4" t="s">
        <v>1549</v>
      </c>
      <c r="P788" s="4" t="s">
        <v>1549</v>
      </c>
      <c r="Q788" s="4" t="s">
        <v>100</v>
      </c>
      <c r="R788" s="9">
        <f t="shared" si="12"/>
        <v>1.5771483988194794E-4</v>
      </c>
    </row>
    <row r="789" spans="1:18" hidden="1" x14ac:dyDescent="0.2">
      <c r="A789" s="4">
        <v>1961</v>
      </c>
      <c r="B789" s="2">
        <v>7901736.5</v>
      </c>
      <c r="C789" s="2">
        <v>0</v>
      </c>
      <c r="D789" s="4" t="s">
        <v>5505</v>
      </c>
      <c r="E789" s="2">
        <v>7901736.5</v>
      </c>
      <c r="F789" s="2">
        <v>1499429.94</v>
      </c>
      <c r="G789" s="2">
        <v>0</v>
      </c>
      <c r="H789" s="4">
        <v>0</v>
      </c>
      <c r="I789" s="4">
        <v>0</v>
      </c>
      <c r="J789" s="4">
        <v>0</v>
      </c>
      <c r="K789" s="4">
        <v>9401166.4399999995</v>
      </c>
      <c r="L789" s="4" t="s">
        <v>5503</v>
      </c>
      <c r="M789" s="4" t="s">
        <v>5504</v>
      </c>
      <c r="N789" s="4" t="s">
        <v>20</v>
      </c>
      <c r="O789" s="4" t="s">
        <v>900</v>
      </c>
      <c r="P789" s="4" t="s">
        <v>900</v>
      </c>
      <c r="Q789" s="4" t="s">
        <v>144</v>
      </c>
      <c r="R789" s="9">
        <f t="shared" si="12"/>
        <v>1.5740198752158129E-4</v>
      </c>
    </row>
    <row r="790" spans="1:18" hidden="1" x14ac:dyDescent="0.2">
      <c r="A790" s="4">
        <v>2025</v>
      </c>
      <c r="B790" s="2">
        <v>7827115</v>
      </c>
      <c r="C790" s="2">
        <v>0</v>
      </c>
      <c r="D790" s="4" t="s">
        <v>2548</v>
      </c>
      <c r="E790" s="2">
        <v>7827115</v>
      </c>
      <c r="F790" s="2">
        <v>1487151.85</v>
      </c>
      <c r="G790" s="2">
        <v>0</v>
      </c>
      <c r="H790" s="4">
        <v>0</v>
      </c>
      <c r="I790" s="4">
        <v>0</v>
      </c>
      <c r="J790" s="4">
        <v>0</v>
      </c>
      <c r="K790" s="4">
        <v>9314266.8499999996</v>
      </c>
      <c r="L790" s="4" t="s">
        <v>2546</v>
      </c>
      <c r="M790" s="4" t="s">
        <v>2547</v>
      </c>
      <c r="N790" s="4" t="s">
        <v>156</v>
      </c>
      <c r="O790" s="4" t="s">
        <v>67</v>
      </c>
      <c r="P790" s="4" t="s">
        <v>67</v>
      </c>
      <c r="Q790" s="4" t="s">
        <v>100</v>
      </c>
      <c r="R790" s="9">
        <f t="shared" si="12"/>
        <v>1.5591553294139608E-4</v>
      </c>
    </row>
    <row r="791" spans="1:18" hidden="1" x14ac:dyDescent="0.2">
      <c r="A791" s="4">
        <v>748</v>
      </c>
      <c r="B791" s="2">
        <v>7780971</v>
      </c>
      <c r="C791" s="2">
        <v>0</v>
      </c>
      <c r="D791" s="4" t="s">
        <v>4655</v>
      </c>
      <c r="E791" s="2">
        <v>7780971</v>
      </c>
      <c r="F791" s="2">
        <v>1478384.49</v>
      </c>
      <c r="G791" s="2">
        <v>118134.35</v>
      </c>
      <c r="H791" s="4">
        <v>0</v>
      </c>
      <c r="I791" s="4">
        <v>0</v>
      </c>
      <c r="J791" s="4">
        <v>118134.35</v>
      </c>
      <c r="K791" s="4">
        <v>9141221.1400000006</v>
      </c>
      <c r="L791" s="4" t="s">
        <v>4653</v>
      </c>
      <c r="M791" s="4" t="s">
        <v>4654</v>
      </c>
      <c r="N791" s="4" t="s">
        <v>20</v>
      </c>
      <c r="O791" s="4" t="s">
        <v>71</v>
      </c>
      <c r="P791" s="4" t="s">
        <v>71</v>
      </c>
      <c r="Q791" s="4" t="s">
        <v>100</v>
      </c>
      <c r="R791" s="9">
        <f t="shared" si="12"/>
        <v>1.5499634798601369E-4</v>
      </c>
    </row>
    <row r="792" spans="1:18" hidden="1" x14ac:dyDescent="0.2">
      <c r="A792" s="4">
        <v>1615</v>
      </c>
      <c r="B792" s="2">
        <v>7761365.75</v>
      </c>
      <c r="C792" s="2">
        <v>0</v>
      </c>
      <c r="D792" s="4" t="s">
        <v>5508</v>
      </c>
      <c r="E792" s="2">
        <v>7761365.75</v>
      </c>
      <c r="F792" s="2">
        <v>1474659.5</v>
      </c>
      <c r="G792" s="2">
        <v>156871.26</v>
      </c>
      <c r="H792" s="4">
        <v>0</v>
      </c>
      <c r="I792" s="4">
        <v>0</v>
      </c>
      <c r="J792" s="4">
        <v>156871.26</v>
      </c>
      <c r="K792" s="4">
        <v>9079153.9900000002</v>
      </c>
      <c r="L792" s="4" t="s">
        <v>5506</v>
      </c>
      <c r="M792" s="4" t="s">
        <v>5507</v>
      </c>
      <c r="N792" s="4" t="s">
        <v>1107</v>
      </c>
      <c r="O792" s="4" t="s">
        <v>76</v>
      </c>
      <c r="P792" s="4" t="s">
        <v>76</v>
      </c>
      <c r="Q792" s="4" t="s">
        <v>144</v>
      </c>
      <c r="R792" s="9">
        <f t="shared" si="12"/>
        <v>1.5460581290352169E-4</v>
      </c>
    </row>
    <row r="793" spans="1:18" hidden="1" x14ac:dyDescent="0.2">
      <c r="A793" s="4">
        <v>316</v>
      </c>
      <c r="B793" s="2">
        <v>7751972</v>
      </c>
      <c r="C793" s="2">
        <v>0</v>
      </c>
      <c r="D793" s="4" t="s">
        <v>2405</v>
      </c>
      <c r="E793" s="2">
        <v>7751972</v>
      </c>
      <c r="F793" s="2">
        <v>1472874.68</v>
      </c>
      <c r="G793" s="2">
        <v>0</v>
      </c>
      <c r="H793" s="4">
        <v>0</v>
      </c>
      <c r="I793" s="4">
        <v>0</v>
      </c>
      <c r="J793" s="4">
        <v>0</v>
      </c>
      <c r="K793" s="4">
        <v>9224846.6799999997</v>
      </c>
      <c r="L793" s="4" t="s">
        <v>2403</v>
      </c>
      <c r="M793" s="4" t="s">
        <v>2404</v>
      </c>
      <c r="N793" s="4" t="s">
        <v>2377</v>
      </c>
      <c r="O793" s="4" t="s">
        <v>229</v>
      </c>
      <c r="P793" s="4" t="s">
        <v>229</v>
      </c>
      <c r="Q793" s="4" t="s">
        <v>100</v>
      </c>
      <c r="R793" s="9">
        <f t="shared" si="12"/>
        <v>1.5441869012104459E-4</v>
      </c>
    </row>
    <row r="794" spans="1:18" hidden="1" x14ac:dyDescent="0.2">
      <c r="A794" s="4">
        <v>264</v>
      </c>
      <c r="B794" s="2">
        <v>7744571</v>
      </c>
      <c r="C794" s="2">
        <v>0</v>
      </c>
      <c r="D794" s="4" t="s">
        <v>2677</v>
      </c>
      <c r="E794" s="2">
        <v>7744571</v>
      </c>
      <c r="F794" s="2">
        <v>1471468.49</v>
      </c>
      <c r="G794" s="2">
        <v>0</v>
      </c>
      <c r="H794" s="4">
        <v>0</v>
      </c>
      <c r="I794" s="4">
        <v>0</v>
      </c>
      <c r="J794" s="4">
        <v>0</v>
      </c>
      <c r="K794" s="4">
        <v>9216039.4900000002</v>
      </c>
      <c r="L794" s="4" t="s">
        <v>2675</v>
      </c>
      <c r="M794" s="4" t="s">
        <v>2676</v>
      </c>
      <c r="N794" s="4" t="s">
        <v>20</v>
      </c>
      <c r="O794" s="4" t="s">
        <v>316</v>
      </c>
      <c r="P794" s="4" t="s">
        <v>316</v>
      </c>
      <c r="Q794" s="4" t="s">
        <v>100</v>
      </c>
      <c r="R794" s="9">
        <f t="shared" si="12"/>
        <v>1.5427126276635527E-4</v>
      </c>
    </row>
    <row r="795" spans="1:18" hidden="1" x14ac:dyDescent="0.2">
      <c r="A795" s="4">
        <v>726</v>
      </c>
      <c r="B795" s="2">
        <v>7741630</v>
      </c>
      <c r="C795" s="2">
        <v>0</v>
      </c>
      <c r="D795" s="4" t="s">
        <v>2131</v>
      </c>
      <c r="E795" s="2">
        <v>7741630</v>
      </c>
      <c r="F795" s="2">
        <v>1470909.7</v>
      </c>
      <c r="G795" s="2">
        <v>-4012.65</v>
      </c>
      <c r="H795" s="4">
        <v>0</v>
      </c>
      <c r="I795" s="4">
        <v>0</v>
      </c>
      <c r="J795" s="4">
        <v>-4012.65</v>
      </c>
      <c r="K795" s="4">
        <v>9216552.3499999996</v>
      </c>
      <c r="L795" s="4" t="s">
        <v>2129</v>
      </c>
      <c r="M795" s="4" t="s">
        <v>2130</v>
      </c>
      <c r="N795" s="4" t="s">
        <v>975</v>
      </c>
      <c r="O795" s="4" t="s">
        <v>89</v>
      </c>
      <c r="P795" s="4" t="s">
        <v>89</v>
      </c>
      <c r="Q795" s="4" t="s">
        <v>100</v>
      </c>
      <c r="R795" s="9">
        <f t="shared" si="12"/>
        <v>1.542126782709977E-4</v>
      </c>
    </row>
    <row r="796" spans="1:18" hidden="1" x14ac:dyDescent="0.2">
      <c r="A796" s="4">
        <v>532</v>
      </c>
      <c r="B796" s="2">
        <v>7760259</v>
      </c>
      <c r="C796" s="2">
        <v>39860.04</v>
      </c>
      <c r="D796" s="4" t="s">
        <v>3066</v>
      </c>
      <c r="E796" s="2">
        <v>7720398.96</v>
      </c>
      <c r="F796" s="2">
        <v>1466875.8</v>
      </c>
      <c r="G796" s="2">
        <v>32220.2</v>
      </c>
      <c r="H796" s="4">
        <v>0</v>
      </c>
      <c r="I796" s="4">
        <v>0</v>
      </c>
      <c r="J796" s="4">
        <v>32220.2</v>
      </c>
      <c r="K796" s="4">
        <v>9155054.5600000005</v>
      </c>
      <c r="L796" s="4" t="s">
        <v>3064</v>
      </c>
      <c r="M796" s="4" t="s">
        <v>3065</v>
      </c>
      <c r="N796" s="4" t="s">
        <v>20</v>
      </c>
      <c r="O796" s="4" t="s">
        <v>1356</v>
      </c>
      <c r="P796" s="4" t="s">
        <v>1356</v>
      </c>
      <c r="Q796" s="4" t="s">
        <v>100</v>
      </c>
      <c r="R796" s="9">
        <f t="shared" si="12"/>
        <v>1.5378975757588843E-4</v>
      </c>
    </row>
    <row r="797" spans="1:18" hidden="1" x14ac:dyDescent="0.2">
      <c r="A797" s="4">
        <v>732</v>
      </c>
      <c r="B797" s="2">
        <v>7713798</v>
      </c>
      <c r="C797" s="2">
        <v>0</v>
      </c>
      <c r="D797" s="4" t="s">
        <v>3171</v>
      </c>
      <c r="E797" s="2">
        <v>7713798</v>
      </c>
      <c r="F797" s="2">
        <v>1465621.62</v>
      </c>
      <c r="G797" s="2">
        <v>0</v>
      </c>
      <c r="H797" s="4">
        <v>0</v>
      </c>
      <c r="I797" s="4">
        <v>0</v>
      </c>
      <c r="J797" s="4">
        <v>0</v>
      </c>
      <c r="K797" s="4">
        <v>9179419.6199999992</v>
      </c>
      <c r="L797" s="4" t="s">
        <v>3170</v>
      </c>
      <c r="M797" s="4" t="s">
        <v>1930</v>
      </c>
      <c r="N797" s="4" t="s">
        <v>2916</v>
      </c>
      <c r="O797" s="4" t="s">
        <v>27</v>
      </c>
      <c r="P797" s="4" t="s">
        <v>27</v>
      </c>
      <c r="Q797" s="4" t="s">
        <v>28</v>
      </c>
      <c r="R797" s="9">
        <f t="shared" si="12"/>
        <v>1.5365826695688963E-4</v>
      </c>
    </row>
    <row r="798" spans="1:18" hidden="1" x14ac:dyDescent="0.2">
      <c r="A798" s="4">
        <v>1883</v>
      </c>
      <c r="B798" s="2">
        <v>7708425</v>
      </c>
      <c r="C798" s="2">
        <v>0</v>
      </c>
      <c r="D798" s="4" t="s">
        <v>2780</v>
      </c>
      <c r="E798" s="2">
        <v>7708425</v>
      </c>
      <c r="F798" s="2">
        <v>1464600.75</v>
      </c>
      <c r="G798" s="2">
        <v>0</v>
      </c>
      <c r="H798" s="4">
        <v>0</v>
      </c>
      <c r="I798" s="4">
        <v>0</v>
      </c>
      <c r="J798" s="4">
        <v>0</v>
      </c>
      <c r="K798" s="4">
        <v>9173025.75</v>
      </c>
      <c r="L798" s="4" t="s">
        <v>2778</v>
      </c>
      <c r="M798" s="4" t="s">
        <v>2779</v>
      </c>
      <c r="N798" s="4" t="s">
        <v>468</v>
      </c>
      <c r="O798" s="4" t="s">
        <v>89</v>
      </c>
      <c r="P798" s="4" t="s">
        <v>89</v>
      </c>
      <c r="Q798" s="4" t="s">
        <v>100</v>
      </c>
      <c r="R798" s="9">
        <f t="shared" si="12"/>
        <v>1.5355123720729553E-4</v>
      </c>
    </row>
    <row r="799" spans="1:18" hidden="1" x14ac:dyDescent="0.2">
      <c r="A799" s="4">
        <v>479</v>
      </c>
      <c r="B799" s="2">
        <v>7696703</v>
      </c>
      <c r="C799" s="2">
        <v>0</v>
      </c>
      <c r="D799" s="4" t="s">
        <v>2745</v>
      </c>
      <c r="E799" s="2">
        <v>7696703</v>
      </c>
      <c r="F799" s="2">
        <v>1462373.57</v>
      </c>
      <c r="G799" s="2">
        <v>0</v>
      </c>
      <c r="H799" s="4">
        <v>0</v>
      </c>
      <c r="I799" s="4">
        <v>0</v>
      </c>
      <c r="J799" s="4">
        <v>0</v>
      </c>
      <c r="K799" s="4">
        <v>9159076.5700000003</v>
      </c>
      <c r="L799" s="4" t="s">
        <v>2743</v>
      </c>
      <c r="M799" s="4" t="s">
        <v>2744</v>
      </c>
      <c r="N799" s="4" t="s">
        <v>332</v>
      </c>
      <c r="O799" s="4" t="s">
        <v>1127</v>
      </c>
      <c r="P799" s="4" t="s">
        <v>1127</v>
      </c>
      <c r="Q799" s="4" t="s">
        <v>100</v>
      </c>
      <c r="R799" s="9">
        <f t="shared" si="12"/>
        <v>1.5331773586265719E-4</v>
      </c>
    </row>
    <row r="800" spans="1:18" hidden="1" x14ac:dyDescent="0.2">
      <c r="A800" s="4">
        <v>193</v>
      </c>
      <c r="B800" s="2">
        <v>7694809</v>
      </c>
      <c r="C800" s="2">
        <v>0</v>
      </c>
      <c r="D800" s="4" t="s">
        <v>2357</v>
      </c>
      <c r="E800" s="2">
        <v>7694809</v>
      </c>
      <c r="F800" s="2">
        <v>1462013.71</v>
      </c>
      <c r="G800" s="2">
        <v>0</v>
      </c>
      <c r="H800" s="4">
        <v>0</v>
      </c>
      <c r="I800" s="4">
        <v>0</v>
      </c>
      <c r="J800" s="4">
        <v>0</v>
      </c>
      <c r="K800" s="4">
        <v>9156822.7100000009</v>
      </c>
      <c r="L800" s="4" t="s">
        <v>2355</v>
      </c>
      <c r="M800" s="4" t="s">
        <v>2356</v>
      </c>
      <c r="N800" s="4" t="s">
        <v>20</v>
      </c>
      <c r="O800" s="4" t="s">
        <v>372</v>
      </c>
      <c r="P800" s="4" t="s">
        <v>372</v>
      </c>
      <c r="Q800" s="4" t="s">
        <v>100</v>
      </c>
      <c r="R800" s="9">
        <f t="shared" si="12"/>
        <v>1.532800075273266E-4</v>
      </c>
    </row>
    <row r="801" spans="1:18" hidden="1" x14ac:dyDescent="0.2">
      <c r="A801" s="4">
        <v>558</v>
      </c>
      <c r="B801" s="2">
        <v>7690320</v>
      </c>
      <c r="C801" s="2">
        <v>0</v>
      </c>
      <c r="D801" s="4" t="s">
        <v>1099</v>
      </c>
      <c r="E801" s="2">
        <v>7690320</v>
      </c>
      <c r="F801" s="2">
        <v>1461160.8</v>
      </c>
      <c r="G801" s="2">
        <v>192258</v>
      </c>
      <c r="H801" s="4">
        <v>0</v>
      </c>
      <c r="I801" s="4">
        <v>0</v>
      </c>
      <c r="J801" s="4">
        <v>192258</v>
      </c>
      <c r="K801" s="4">
        <v>8959222.8000000007</v>
      </c>
      <c r="L801" s="4" t="s">
        <v>1097</v>
      </c>
      <c r="M801" s="4" t="s">
        <v>1098</v>
      </c>
      <c r="N801" s="4" t="s">
        <v>1100</v>
      </c>
      <c r="O801" s="4" t="s">
        <v>229</v>
      </c>
      <c r="P801" s="4" t="s">
        <v>229</v>
      </c>
      <c r="Q801" s="4" t="s">
        <v>100</v>
      </c>
      <c r="R801" s="9">
        <f t="shared" si="12"/>
        <v>1.5319058699020995E-4</v>
      </c>
    </row>
    <row r="802" spans="1:18" hidden="1" x14ac:dyDescent="0.2">
      <c r="A802" s="4">
        <v>211</v>
      </c>
      <c r="B802" s="2">
        <v>7679661</v>
      </c>
      <c r="C802" s="2">
        <v>0</v>
      </c>
      <c r="D802" s="4" t="s">
        <v>2408</v>
      </c>
      <c r="E802" s="2">
        <v>7679661</v>
      </c>
      <c r="F802" s="2">
        <v>1459135.59</v>
      </c>
      <c r="G802" s="2">
        <v>0</v>
      </c>
      <c r="H802" s="4">
        <v>0</v>
      </c>
      <c r="I802" s="4">
        <v>0</v>
      </c>
      <c r="J802" s="4">
        <v>0</v>
      </c>
      <c r="K802" s="4">
        <v>9138796.5899999999</v>
      </c>
      <c r="L802" s="4" t="s">
        <v>2406</v>
      </c>
      <c r="M802" s="4" t="s">
        <v>2407</v>
      </c>
      <c r="N802" s="4" t="s">
        <v>20</v>
      </c>
      <c r="O802" s="4" t="s">
        <v>316</v>
      </c>
      <c r="P802" s="4" t="s">
        <v>316</v>
      </c>
      <c r="Q802" s="4" t="s">
        <v>100</v>
      </c>
      <c r="R802" s="9">
        <f t="shared" si="12"/>
        <v>1.5297826052437644E-4</v>
      </c>
    </row>
    <row r="803" spans="1:18" hidden="1" x14ac:dyDescent="0.2">
      <c r="A803" s="4">
        <v>358</v>
      </c>
      <c r="B803" s="2">
        <v>7669671</v>
      </c>
      <c r="C803" s="2">
        <v>0</v>
      </c>
      <c r="D803" s="4" t="s">
        <v>2237</v>
      </c>
      <c r="E803" s="2">
        <v>7669671</v>
      </c>
      <c r="F803" s="2">
        <v>1457237.49</v>
      </c>
      <c r="G803" s="2">
        <v>129197.35</v>
      </c>
      <c r="H803" s="4">
        <v>0</v>
      </c>
      <c r="I803" s="4">
        <v>0</v>
      </c>
      <c r="J803" s="4">
        <v>129197.35</v>
      </c>
      <c r="K803" s="4">
        <v>8997711.1400000006</v>
      </c>
      <c r="L803" s="4" t="s">
        <v>2235</v>
      </c>
      <c r="M803" s="4" t="s">
        <v>2236</v>
      </c>
      <c r="N803" s="4" t="s">
        <v>705</v>
      </c>
      <c r="O803" s="4" t="s">
        <v>59</v>
      </c>
      <c r="P803" s="4" t="s">
        <v>59</v>
      </c>
      <c r="Q803" s="4" t="s">
        <v>100</v>
      </c>
      <c r="R803" s="9">
        <f t="shared" si="12"/>
        <v>1.5277926048744273E-4</v>
      </c>
    </row>
    <row r="804" spans="1:18" hidden="1" x14ac:dyDescent="0.2">
      <c r="A804" s="4">
        <v>1574</v>
      </c>
      <c r="B804" s="2">
        <v>7662888</v>
      </c>
      <c r="C804" s="2">
        <v>0</v>
      </c>
      <c r="D804" s="4" t="s">
        <v>4691</v>
      </c>
      <c r="E804" s="2">
        <v>7662888</v>
      </c>
      <c r="F804" s="2">
        <v>1455948.72</v>
      </c>
      <c r="G804" s="2">
        <v>45085.78</v>
      </c>
      <c r="H804" s="4">
        <v>0</v>
      </c>
      <c r="I804" s="4">
        <v>0</v>
      </c>
      <c r="J804" s="4">
        <v>45085.78</v>
      </c>
      <c r="K804" s="4">
        <v>9073750.9399999995</v>
      </c>
      <c r="L804" s="4" t="s">
        <v>4689</v>
      </c>
      <c r="M804" s="4" t="s">
        <v>4690</v>
      </c>
      <c r="N804" s="4" t="s">
        <v>975</v>
      </c>
      <c r="O804" s="4" t="s">
        <v>89</v>
      </c>
      <c r="P804" s="4" t="s">
        <v>89</v>
      </c>
      <c r="Q804" s="4" t="s">
        <v>100</v>
      </c>
      <c r="R804" s="9">
        <f t="shared" si="12"/>
        <v>1.5264414364554867E-4</v>
      </c>
    </row>
    <row r="805" spans="1:18" hidden="1" x14ac:dyDescent="0.2">
      <c r="A805" s="4">
        <v>1349</v>
      </c>
      <c r="B805" s="2">
        <v>7656660</v>
      </c>
      <c r="C805" s="2">
        <v>0</v>
      </c>
      <c r="D805" s="4" t="s">
        <v>5511</v>
      </c>
      <c r="E805" s="2">
        <v>7656660</v>
      </c>
      <c r="F805" s="2">
        <v>0</v>
      </c>
      <c r="G805" s="2">
        <v>0</v>
      </c>
      <c r="H805" s="4">
        <v>0</v>
      </c>
      <c r="I805" s="4">
        <v>0</v>
      </c>
      <c r="J805" s="4">
        <v>0</v>
      </c>
      <c r="K805" s="4">
        <v>7656660</v>
      </c>
      <c r="L805" s="4" t="s">
        <v>5509</v>
      </c>
      <c r="M805" s="4" t="s">
        <v>5510</v>
      </c>
      <c r="N805" s="4" t="s">
        <v>336</v>
      </c>
      <c r="O805" s="4" t="s">
        <v>206</v>
      </c>
      <c r="P805" s="4" t="s">
        <v>206</v>
      </c>
      <c r="Q805" s="4" t="s">
        <v>100</v>
      </c>
      <c r="R805" s="9">
        <f t="shared" si="12"/>
        <v>1.5252008236126205E-4</v>
      </c>
    </row>
    <row r="806" spans="1:18" hidden="1" x14ac:dyDescent="0.2">
      <c r="A806" s="4">
        <v>2010</v>
      </c>
      <c r="B806" s="2">
        <v>7638283</v>
      </c>
      <c r="C806" s="2">
        <v>0</v>
      </c>
      <c r="D806" s="4" t="s">
        <v>5514</v>
      </c>
      <c r="E806" s="2">
        <v>7638283</v>
      </c>
      <c r="F806" s="2">
        <v>1451273.77</v>
      </c>
      <c r="G806" s="2">
        <v>0</v>
      </c>
      <c r="H806" s="4">
        <v>0</v>
      </c>
      <c r="I806" s="4">
        <v>0</v>
      </c>
      <c r="J806" s="4">
        <v>0</v>
      </c>
      <c r="K806" s="4">
        <v>9089556.7699999996</v>
      </c>
      <c r="L806" s="4" t="s">
        <v>5512</v>
      </c>
      <c r="M806" s="4" t="s">
        <v>5513</v>
      </c>
      <c r="N806" s="4" t="s">
        <v>674</v>
      </c>
      <c r="O806" s="4" t="s">
        <v>89</v>
      </c>
      <c r="P806" s="4" t="s">
        <v>89</v>
      </c>
      <c r="Q806" s="4" t="s">
        <v>100</v>
      </c>
      <c r="R806" s="9">
        <f t="shared" si="12"/>
        <v>1.5215401392495263E-4</v>
      </c>
    </row>
    <row r="807" spans="1:18" hidden="1" x14ac:dyDescent="0.2">
      <c r="A807" s="4">
        <v>51</v>
      </c>
      <c r="B807" s="2">
        <v>7617614</v>
      </c>
      <c r="C807" s="2">
        <v>0</v>
      </c>
      <c r="D807" s="4" t="s">
        <v>2085</v>
      </c>
      <c r="E807" s="2">
        <v>7617614</v>
      </c>
      <c r="F807" s="2">
        <v>1447346.66</v>
      </c>
      <c r="G807" s="2">
        <v>0</v>
      </c>
      <c r="H807" s="4">
        <v>0</v>
      </c>
      <c r="I807" s="4">
        <v>0</v>
      </c>
      <c r="J807" s="4">
        <v>0</v>
      </c>
      <c r="K807" s="4">
        <v>9064960.6600000001</v>
      </c>
      <c r="L807" s="4" t="s">
        <v>2083</v>
      </c>
      <c r="M807" s="4" t="s">
        <v>2084</v>
      </c>
      <c r="N807" s="4" t="s">
        <v>20</v>
      </c>
      <c r="O807" s="4" t="s">
        <v>316</v>
      </c>
      <c r="P807" s="4" t="s">
        <v>316</v>
      </c>
      <c r="Q807" s="4" t="s">
        <v>100</v>
      </c>
      <c r="R807" s="9">
        <f t="shared" si="12"/>
        <v>1.5174228902371307E-4</v>
      </c>
    </row>
    <row r="808" spans="1:18" hidden="1" x14ac:dyDescent="0.2">
      <c r="A808" s="4">
        <v>1352</v>
      </c>
      <c r="B808" s="2">
        <v>7596095</v>
      </c>
      <c r="C808" s="2">
        <v>0</v>
      </c>
      <c r="D808" s="4" t="s">
        <v>3405</v>
      </c>
      <c r="E808" s="2">
        <v>7596095</v>
      </c>
      <c r="F808" s="2">
        <v>1443258.05</v>
      </c>
      <c r="G808" s="2">
        <v>0</v>
      </c>
      <c r="H808" s="4">
        <v>0</v>
      </c>
      <c r="I808" s="4">
        <v>0</v>
      </c>
      <c r="J808" s="4">
        <v>0</v>
      </c>
      <c r="K808" s="4">
        <v>9039353.0500000007</v>
      </c>
      <c r="L808" s="4" t="s">
        <v>3403</v>
      </c>
      <c r="M808" s="4" t="s">
        <v>3404</v>
      </c>
      <c r="N808" s="4" t="s">
        <v>20</v>
      </c>
      <c r="O808" s="4" t="s">
        <v>768</v>
      </c>
      <c r="P808" s="4" t="s">
        <v>768</v>
      </c>
      <c r="Q808" s="4" t="s">
        <v>100</v>
      </c>
      <c r="R808" s="9">
        <f t="shared" si="12"/>
        <v>1.5131363218739906E-4</v>
      </c>
    </row>
    <row r="809" spans="1:18" hidden="1" x14ac:dyDescent="0.2">
      <c r="A809" s="4">
        <v>988</v>
      </c>
      <c r="B809" s="2">
        <v>7543467</v>
      </c>
      <c r="C809" s="2">
        <v>0</v>
      </c>
      <c r="D809" s="4" t="s">
        <v>5516</v>
      </c>
      <c r="E809" s="2">
        <v>7543467</v>
      </c>
      <c r="F809" s="2">
        <v>1433258.73</v>
      </c>
      <c r="G809" s="2">
        <v>188586.67</v>
      </c>
      <c r="H809" s="4">
        <v>214988.81</v>
      </c>
      <c r="I809" s="4">
        <v>0</v>
      </c>
      <c r="J809" s="4">
        <v>403575.48</v>
      </c>
      <c r="K809" s="4">
        <v>8573150.25</v>
      </c>
      <c r="L809" s="4" t="s">
        <v>5515</v>
      </c>
      <c r="M809" s="4" t="s">
        <v>95</v>
      </c>
      <c r="N809" s="4" t="s">
        <v>127</v>
      </c>
      <c r="O809" s="4" t="s">
        <v>67</v>
      </c>
      <c r="P809" s="4" t="s">
        <v>67</v>
      </c>
      <c r="Q809" s="4" t="s">
        <v>28</v>
      </c>
      <c r="R809" s="9">
        <f t="shared" si="12"/>
        <v>1.5026528644728412E-4</v>
      </c>
    </row>
    <row r="810" spans="1:18" hidden="1" x14ac:dyDescent="0.2">
      <c r="A810" s="4">
        <v>1106</v>
      </c>
      <c r="B810" s="2">
        <v>7527940</v>
      </c>
      <c r="C810" s="2">
        <v>0</v>
      </c>
      <c r="D810" s="4" t="s">
        <v>2351</v>
      </c>
      <c r="E810" s="2">
        <v>7527940</v>
      </c>
      <c r="F810" s="2">
        <v>1430308.6</v>
      </c>
      <c r="G810" s="2">
        <v>113704.58</v>
      </c>
      <c r="H810" s="4">
        <v>0</v>
      </c>
      <c r="I810" s="4">
        <v>0</v>
      </c>
      <c r="J810" s="4">
        <v>113704.58</v>
      </c>
      <c r="K810" s="4">
        <v>8844544.0199999996</v>
      </c>
      <c r="L810" s="4" t="s">
        <v>2349</v>
      </c>
      <c r="M810" s="4" t="s">
        <v>2350</v>
      </c>
      <c r="N810" s="4" t="s">
        <v>332</v>
      </c>
      <c r="O810" s="4" t="s">
        <v>1127</v>
      </c>
      <c r="P810" s="4" t="s">
        <v>1127</v>
      </c>
      <c r="Q810" s="4" t="s">
        <v>100</v>
      </c>
      <c r="R810" s="9">
        <f t="shared" si="12"/>
        <v>1.4995598979328313E-4</v>
      </c>
    </row>
    <row r="811" spans="1:18" hidden="1" x14ac:dyDescent="0.2">
      <c r="A811" s="4">
        <v>986</v>
      </c>
      <c r="B811" s="2">
        <v>7509824</v>
      </c>
      <c r="C811" s="2">
        <v>0</v>
      </c>
      <c r="D811" s="4" t="s">
        <v>2099</v>
      </c>
      <c r="E811" s="2">
        <v>7509824</v>
      </c>
      <c r="F811" s="2">
        <v>1426866.56</v>
      </c>
      <c r="G811" s="2">
        <v>67052</v>
      </c>
      <c r="H811" s="4">
        <v>0</v>
      </c>
      <c r="I811" s="4">
        <v>0</v>
      </c>
      <c r="J811" s="4">
        <v>67052</v>
      </c>
      <c r="K811" s="4">
        <v>8869638.5600000005</v>
      </c>
      <c r="L811" s="4" t="s">
        <v>2097</v>
      </c>
      <c r="M811" s="4" t="s">
        <v>2098</v>
      </c>
      <c r="N811" s="4" t="s">
        <v>2100</v>
      </c>
      <c r="O811" s="4" t="s">
        <v>386</v>
      </c>
      <c r="P811" s="4" t="s">
        <v>386</v>
      </c>
      <c r="Q811" s="4" t="s">
        <v>1378</v>
      </c>
      <c r="R811" s="9">
        <f t="shared" si="12"/>
        <v>1.4959512045703772E-4</v>
      </c>
    </row>
    <row r="812" spans="1:18" hidden="1" x14ac:dyDescent="0.2">
      <c r="A812" s="4">
        <v>459</v>
      </c>
      <c r="B812" s="2">
        <v>7504833</v>
      </c>
      <c r="C812" s="2">
        <v>0</v>
      </c>
      <c r="D812" s="4" t="s">
        <v>2981</v>
      </c>
      <c r="E812" s="2">
        <v>7504833</v>
      </c>
      <c r="F812" s="2">
        <v>1425918.27</v>
      </c>
      <c r="G812" s="2">
        <v>0</v>
      </c>
      <c r="H812" s="4">
        <v>0</v>
      </c>
      <c r="I812" s="4">
        <v>0</v>
      </c>
      <c r="J812" s="4">
        <v>0</v>
      </c>
      <c r="K812" s="4">
        <v>8930751.2699999996</v>
      </c>
      <c r="L812" s="4" t="s">
        <v>2979</v>
      </c>
      <c r="M812" s="4" t="s">
        <v>2980</v>
      </c>
      <c r="N812" s="4" t="s">
        <v>329</v>
      </c>
      <c r="O812" s="4" t="s">
        <v>89</v>
      </c>
      <c r="P812" s="4" t="s">
        <v>1039</v>
      </c>
      <c r="Q812" s="4" t="s">
        <v>100</v>
      </c>
      <c r="R812" s="9">
        <f t="shared" si="12"/>
        <v>1.4949570011826534E-4</v>
      </c>
    </row>
    <row r="813" spans="1:18" hidden="1" x14ac:dyDescent="0.2">
      <c r="A813" s="4">
        <v>1178</v>
      </c>
      <c r="B813" s="2">
        <v>7456425</v>
      </c>
      <c r="C813" s="2">
        <v>0</v>
      </c>
      <c r="D813" s="4" t="s">
        <v>3239</v>
      </c>
      <c r="E813" s="2">
        <v>7456425</v>
      </c>
      <c r="F813" s="2">
        <v>1416720.75</v>
      </c>
      <c r="G813" s="2">
        <v>128071.23</v>
      </c>
      <c r="H813" s="4">
        <v>0</v>
      </c>
      <c r="I813" s="4">
        <v>0</v>
      </c>
      <c r="J813" s="4">
        <v>128071.23</v>
      </c>
      <c r="K813" s="4">
        <v>8745074.5199999996</v>
      </c>
      <c r="L813" s="4" t="s">
        <v>3238</v>
      </c>
      <c r="M813" s="4" t="s">
        <v>2799</v>
      </c>
      <c r="N813" s="4" t="s">
        <v>20</v>
      </c>
      <c r="O813" s="4" t="s">
        <v>692</v>
      </c>
      <c r="P813" s="4" t="s">
        <v>692</v>
      </c>
      <c r="Q813" s="4" t="s">
        <v>100</v>
      </c>
      <c r="R813" s="9">
        <f t="shared" si="12"/>
        <v>1.4853141645581409E-4</v>
      </c>
    </row>
    <row r="814" spans="1:18" hidden="1" x14ac:dyDescent="0.2">
      <c r="A814" s="4">
        <v>137</v>
      </c>
      <c r="B814" s="2">
        <v>7424820</v>
      </c>
      <c r="C814" s="2">
        <v>0</v>
      </c>
      <c r="D814" s="4" t="s">
        <v>2141</v>
      </c>
      <c r="E814" s="2">
        <v>7424820</v>
      </c>
      <c r="F814" s="2">
        <v>1410715.8</v>
      </c>
      <c r="G814" s="2">
        <v>0</v>
      </c>
      <c r="H814" s="4">
        <v>0</v>
      </c>
      <c r="I814" s="4">
        <v>0</v>
      </c>
      <c r="J814" s="4">
        <v>0</v>
      </c>
      <c r="K814" s="4">
        <v>8835535.8000000007</v>
      </c>
      <c r="L814" s="4" t="s">
        <v>2139</v>
      </c>
      <c r="M814" s="4" t="s">
        <v>2140</v>
      </c>
      <c r="N814" s="4" t="s">
        <v>1831</v>
      </c>
      <c r="O814" s="4" t="s">
        <v>33</v>
      </c>
      <c r="P814" s="4" t="s">
        <v>33</v>
      </c>
      <c r="Q814" s="4" t="s">
        <v>100</v>
      </c>
      <c r="R814" s="9">
        <f t="shared" si="12"/>
        <v>1.4790184726989913E-4</v>
      </c>
    </row>
    <row r="815" spans="1:18" hidden="1" x14ac:dyDescent="0.2">
      <c r="A815" s="4">
        <v>728</v>
      </c>
      <c r="B815" s="2">
        <v>7416706</v>
      </c>
      <c r="C815" s="2">
        <v>0</v>
      </c>
      <c r="D815" s="4" t="s">
        <v>3481</v>
      </c>
      <c r="E815" s="2">
        <v>7416706</v>
      </c>
      <c r="F815" s="2">
        <v>1409174.14</v>
      </c>
      <c r="G815" s="2">
        <v>0</v>
      </c>
      <c r="H815" s="4">
        <v>0</v>
      </c>
      <c r="I815" s="4">
        <v>0</v>
      </c>
      <c r="J815" s="4">
        <v>0</v>
      </c>
      <c r="K815" s="4">
        <v>8825880.1400000006</v>
      </c>
      <c r="L815" s="4" t="s">
        <v>3480</v>
      </c>
      <c r="M815" s="4" t="s">
        <v>1930</v>
      </c>
      <c r="N815" s="4" t="s">
        <v>3482</v>
      </c>
      <c r="O815" s="4" t="s">
        <v>89</v>
      </c>
      <c r="P815" s="4" t="s">
        <v>89</v>
      </c>
      <c r="Q815" s="4" t="s">
        <v>28</v>
      </c>
      <c r="R815" s="9">
        <f t="shared" si="12"/>
        <v>1.4774021700967086E-4</v>
      </c>
    </row>
    <row r="816" spans="1:18" hidden="1" x14ac:dyDescent="0.2">
      <c r="A816" s="4">
        <v>1577</v>
      </c>
      <c r="B816" s="2">
        <v>7386725</v>
      </c>
      <c r="C816" s="2">
        <v>0</v>
      </c>
      <c r="D816" s="4" t="s">
        <v>1914</v>
      </c>
      <c r="E816" s="2">
        <v>7386725</v>
      </c>
      <c r="F816" s="2">
        <v>1403477.75</v>
      </c>
      <c r="G816" s="2">
        <v>185468.33</v>
      </c>
      <c r="H816" s="4">
        <v>0</v>
      </c>
      <c r="I816" s="4">
        <v>0</v>
      </c>
      <c r="J816" s="4">
        <v>185468.33</v>
      </c>
      <c r="K816" s="4">
        <v>8604734.4199999999</v>
      </c>
      <c r="L816" s="4" t="s">
        <v>1912</v>
      </c>
      <c r="M816" s="4" t="s">
        <v>1913</v>
      </c>
      <c r="N816" s="4" t="s">
        <v>32</v>
      </c>
      <c r="O816" s="4" t="s">
        <v>33</v>
      </c>
      <c r="P816" s="4" t="s">
        <v>33</v>
      </c>
      <c r="Q816" s="4" t="s">
        <v>100</v>
      </c>
      <c r="R816" s="9">
        <f t="shared" si="12"/>
        <v>1.4714299777970988E-4</v>
      </c>
    </row>
    <row r="817" spans="1:18" hidden="1" x14ac:dyDescent="0.2">
      <c r="A817" s="4">
        <v>1571</v>
      </c>
      <c r="B817" s="2">
        <v>7402802</v>
      </c>
      <c r="C817" s="2">
        <v>20826</v>
      </c>
      <c r="D817" s="4" t="s">
        <v>1946</v>
      </c>
      <c r="E817" s="2">
        <v>7381976</v>
      </c>
      <c r="F817" s="2">
        <v>1402575.44</v>
      </c>
      <c r="G817" s="2">
        <v>0</v>
      </c>
      <c r="H817" s="4">
        <v>0</v>
      </c>
      <c r="I817" s="4">
        <v>0</v>
      </c>
      <c r="J817" s="4">
        <v>0</v>
      </c>
      <c r="K817" s="4">
        <v>8784551.4399999995</v>
      </c>
      <c r="L817" s="4" t="s">
        <v>1944</v>
      </c>
      <c r="M817" s="4" t="s">
        <v>1945</v>
      </c>
      <c r="N817" s="4" t="s">
        <v>142</v>
      </c>
      <c r="O817" s="4" t="s">
        <v>340</v>
      </c>
      <c r="P817" s="4" t="s">
        <v>340</v>
      </c>
      <c r="Q817" s="4" t="s">
        <v>100</v>
      </c>
      <c r="R817" s="9">
        <f t="shared" si="12"/>
        <v>1.4704839806245281E-4</v>
      </c>
    </row>
    <row r="818" spans="1:18" hidden="1" x14ac:dyDescent="0.2">
      <c r="A818" s="4">
        <v>1998</v>
      </c>
      <c r="B818" s="2">
        <v>7376343</v>
      </c>
      <c r="C818" s="2">
        <v>0</v>
      </c>
      <c r="D818" s="4" t="s">
        <v>3287</v>
      </c>
      <c r="E818" s="2">
        <v>7376343</v>
      </c>
      <c r="F818" s="2">
        <v>1401505.17</v>
      </c>
      <c r="G818" s="2">
        <v>0</v>
      </c>
      <c r="H818" s="4">
        <v>0</v>
      </c>
      <c r="I818" s="4">
        <v>0</v>
      </c>
      <c r="J818" s="4">
        <v>0</v>
      </c>
      <c r="K818" s="4">
        <v>8777848.1699999999</v>
      </c>
      <c r="L818" s="4" t="s">
        <v>3285</v>
      </c>
      <c r="M818" s="4" t="s">
        <v>3286</v>
      </c>
      <c r="N818" s="4" t="s">
        <v>648</v>
      </c>
      <c r="O818" s="4" t="s">
        <v>340</v>
      </c>
      <c r="P818" s="4" t="s">
        <v>340</v>
      </c>
      <c r="Q818" s="4" t="s">
        <v>100</v>
      </c>
      <c r="R818" s="9">
        <f t="shared" si="12"/>
        <v>1.4693618913271829E-4</v>
      </c>
    </row>
    <row r="819" spans="1:18" hidden="1" x14ac:dyDescent="0.2">
      <c r="A819" s="4">
        <v>1829</v>
      </c>
      <c r="B819" s="2">
        <v>7354471</v>
      </c>
      <c r="C819" s="2">
        <v>0</v>
      </c>
      <c r="D819" s="4" t="s">
        <v>5519</v>
      </c>
      <c r="E819" s="2">
        <v>7354471</v>
      </c>
      <c r="F819" s="2">
        <v>1397349.49</v>
      </c>
      <c r="G819" s="2">
        <v>0</v>
      </c>
      <c r="H819" s="4">
        <v>0</v>
      </c>
      <c r="I819" s="4">
        <v>0</v>
      </c>
      <c r="J819" s="4">
        <v>0</v>
      </c>
      <c r="K819" s="4">
        <v>8751820.4900000002</v>
      </c>
      <c r="L819" s="4" t="s">
        <v>5517</v>
      </c>
      <c r="M819" s="4" t="s">
        <v>5518</v>
      </c>
      <c r="N819" s="4" t="s">
        <v>200</v>
      </c>
      <c r="O819" s="4" t="s">
        <v>201</v>
      </c>
      <c r="P819" s="4" t="s">
        <v>201</v>
      </c>
      <c r="Q819" s="4" t="s">
        <v>28</v>
      </c>
      <c r="R819" s="9">
        <f t="shared" si="12"/>
        <v>1.4650050056336749E-4</v>
      </c>
    </row>
    <row r="820" spans="1:18" hidden="1" x14ac:dyDescent="0.2">
      <c r="A820" s="4">
        <v>1593</v>
      </c>
      <c r="B820" s="2">
        <v>7356482</v>
      </c>
      <c r="C820" s="2">
        <v>12715.86</v>
      </c>
      <c r="D820" s="4" t="s">
        <v>2396</v>
      </c>
      <c r="E820" s="2">
        <v>7343766.1399999997</v>
      </c>
      <c r="F820" s="2">
        <v>1395315.57</v>
      </c>
      <c r="G820" s="2">
        <v>0</v>
      </c>
      <c r="H820" s="4">
        <v>0</v>
      </c>
      <c r="I820" s="4">
        <v>0</v>
      </c>
      <c r="J820" s="4">
        <v>0</v>
      </c>
      <c r="K820" s="4">
        <v>8739081.7100000009</v>
      </c>
      <c r="L820" s="4" t="s">
        <v>2394</v>
      </c>
      <c r="M820" s="4" t="s">
        <v>2395</v>
      </c>
      <c r="N820" s="4" t="s">
        <v>20</v>
      </c>
      <c r="O820" s="4" t="s">
        <v>1356</v>
      </c>
      <c r="P820" s="4" t="s">
        <v>1356</v>
      </c>
      <c r="Q820" s="4" t="s">
        <v>100</v>
      </c>
      <c r="R820" s="9">
        <f t="shared" si="12"/>
        <v>1.4628726056983691E-4</v>
      </c>
    </row>
    <row r="821" spans="1:18" hidden="1" x14ac:dyDescent="0.2">
      <c r="A821" s="4">
        <v>1068</v>
      </c>
      <c r="B821" s="2">
        <v>7428588</v>
      </c>
      <c r="C821" s="2">
        <v>90831</v>
      </c>
      <c r="D821" s="4" t="s">
        <v>1338</v>
      </c>
      <c r="E821" s="2">
        <v>7337757</v>
      </c>
      <c r="F821" s="2">
        <v>1394173.83</v>
      </c>
      <c r="G821" s="2">
        <v>73421.73</v>
      </c>
      <c r="H821" s="4">
        <v>0</v>
      </c>
      <c r="I821" s="4">
        <v>0</v>
      </c>
      <c r="J821" s="4">
        <v>73421.73</v>
      </c>
      <c r="K821" s="4">
        <v>8658509.0999999996</v>
      </c>
      <c r="L821" s="4" t="s">
        <v>1336</v>
      </c>
      <c r="M821" s="4" t="s">
        <v>1337</v>
      </c>
      <c r="N821" s="4" t="s">
        <v>20</v>
      </c>
      <c r="O821" s="4" t="s">
        <v>540</v>
      </c>
      <c r="P821" s="4" t="s">
        <v>540</v>
      </c>
      <c r="Q821" s="4" t="s">
        <v>100</v>
      </c>
      <c r="R821" s="9">
        <f t="shared" si="12"/>
        <v>1.4616755896003312E-4</v>
      </c>
    </row>
    <row r="822" spans="1:18" hidden="1" x14ac:dyDescent="0.2">
      <c r="A822" s="4">
        <v>854</v>
      </c>
      <c r="B822" s="2">
        <v>7283592</v>
      </c>
      <c r="C822" s="2">
        <v>0</v>
      </c>
      <c r="D822" s="4" t="s">
        <v>3160</v>
      </c>
      <c r="E822" s="2">
        <v>7283592</v>
      </c>
      <c r="F822" s="2">
        <v>1383882.48</v>
      </c>
      <c r="G822" s="2">
        <v>0</v>
      </c>
      <c r="H822" s="4">
        <v>0</v>
      </c>
      <c r="I822" s="4">
        <v>0</v>
      </c>
      <c r="J822" s="4">
        <v>0</v>
      </c>
      <c r="K822" s="4">
        <v>8667474.4800000004</v>
      </c>
      <c r="L822" s="4" t="s">
        <v>3158</v>
      </c>
      <c r="M822" s="4" t="s">
        <v>3159</v>
      </c>
      <c r="N822" s="4" t="s">
        <v>1454</v>
      </c>
      <c r="O822" s="4" t="s">
        <v>67</v>
      </c>
      <c r="P822" s="4" t="s">
        <v>67</v>
      </c>
      <c r="Q822" s="4" t="s">
        <v>100</v>
      </c>
      <c r="R822" s="9">
        <f t="shared" si="12"/>
        <v>1.4508859629731887E-4</v>
      </c>
    </row>
    <row r="823" spans="1:18" hidden="1" x14ac:dyDescent="0.2">
      <c r="A823" s="4">
        <v>962</v>
      </c>
      <c r="B823" s="2">
        <v>7262457</v>
      </c>
      <c r="C823" s="2">
        <v>0</v>
      </c>
      <c r="D823" s="4" t="s">
        <v>5522</v>
      </c>
      <c r="E823" s="2">
        <v>7262457</v>
      </c>
      <c r="F823" s="2">
        <v>1379866.83</v>
      </c>
      <c r="G823" s="2">
        <v>0</v>
      </c>
      <c r="H823" s="4">
        <v>0</v>
      </c>
      <c r="I823" s="4">
        <v>0</v>
      </c>
      <c r="J823" s="4">
        <v>0</v>
      </c>
      <c r="K823" s="4">
        <v>8642323.8300000001</v>
      </c>
      <c r="L823" s="4" t="s">
        <v>5520</v>
      </c>
      <c r="M823" s="4" t="s">
        <v>5521</v>
      </c>
      <c r="N823" s="4" t="s">
        <v>20</v>
      </c>
      <c r="O823" s="4" t="s">
        <v>316</v>
      </c>
      <c r="P823" s="4" t="s">
        <v>1039</v>
      </c>
      <c r="Q823" s="4" t="s">
        <v>100</v>
      </c>
      <c r="R823" s="9">
        <f t="shared" si="12"/>
        <v>1.4466758871167377E-4</v>
      </c>
    </row>
    <row r="824" spans="1:18" hidden="1" x14ac:dyDescent="0.2">
      <c r="A824" s="4">
        <v>1856</v>
      </c>
      <c r="B824" s="2">
        <v>7281160</v>
      </c>
      <c r="C824" s="2">
        <v>22382.97</v>
      </c>
      <c r="D824" s="4" t="s">
        <v>2757</v>
      </c>
      <c r="E824" s="2">
        <v>7258777.0300000003</v>
      </c>
      <c r="F824" s="2">
        <v>1379167.64</v>
      </c>
      <c r="G824" s="2">
        <v>0</v>
      </c>
      <c r="H824" s="4">
        <v>0</v>
      </c>
      <c r="I824" s="4">
        <v>0</v>
      </c>
      <c r="J824" s="4">
        <v>0</v>
      </c>
      <c r="K824" s="4">
        <v>8637944.6699999999</v>
      </c>
      <c r="L824" s="4" t="s">
        <v>2755</v>
      </c>
      <c r="M824" s="4" t="s">
        <v>2756</v>
      </c>
      <c r="N824" s="4" t="s">
        <v>20</v>
      </c>
      <c r="O824" s="4" t="s">
        <v>540</v>
      </c>
      <c r="P824" s="4" t="s">
        <v>540</v>
      </c>
      <c r="Q824" s="4" t="s">
        <v>100</v>
      </c>
      <c r="R824" s="9">
        <f t="shared" si="12"/>
        <v>1.4459428399036096E-4</v>
      </c>
    </row>
    <row r="825" spans="1:18" hidden="1" x14ac:dyDescent="0.2">
      <c r="A825" s="4">
        <v>44</v>
      </c>
      <c r="B825" s="2">
        <v>7246411</v>
      </c>
      <c r="C825" s="2">
        <v>0</v>
      </c>
      <c r="D825" s="4" t="s">
        <v>1928</v>
      </c>
      <c r="E825" s="2">
        <v>7246411</v>
      </c>
      <c r="F825" s="2">
        <v>1376818.09</v>
      </c>
      <c r="G825" s="2">
        <v>181160.28</v>
      </c>
      <c r="H825" s="4">
        <v>206522.71</v>
      </c>
      <c r="I825" s="4">
        <v>0</v>
      </c>
      <c r="J825" s="4">
        <v>387682.99</v>
      </c>
      <c r="K825" s="4">
        <v>8235546.0999999996</v>
      </c>
      <c r="L825" s="4" t="s">
        <v>1927</v>
      </c>
      <c r="M825" s="4" t="s">
        <v>146</v>
      </c>
      <c r="N825" s="4" t="s">
        <v>20</v>
      </c>
      <c r="O825" s="4" t="s">
        <v>71</v>
      </c>
      <c r="P825" s="4" t="s">
        <v>71</v>
      </c>
      <c r="Q825" s="4" t="s">
        <v>28</v>
      </c>
      <c r="R825" s="9">
        <f t="shared" si="12"/>
        <v>1.4434795361731556E-4</v>
      </c>
    </row>
    <row r="826" spans="1:18" hidden="1" x14ac:dyDescent="0.2">
      <c r="A826" s="4">
        <v>918</v>
      </c>
      <c r="B826" s="2">
        <v>7079327</v>
      </c>
      <c r="C826" s="2">
        <v>0</v>
      </c>
      <c r="D826" s="4" t="s">
        <v>2719</v>
      </c>
      <c r="E826" s="2">
        <v>7079327</v>
      </c>
      <c r="F826" s="2">
        <v>1345072.13</v>
      </c>
      <c r="G826" s="2">
        <v>0</v>
      </c>
      <c r="H826" s="4">
        <v>0</v>
      </c>
      <c r="I826" s="4">
        <v>0</v>
      </c>
      <c r="J826" s="4">
        <v>0</v>
      </c>
      <c r="K826" s="4">
        <v>8424399.1300000008</v>
      </c>
      <c r="L826" s="4" t="s">
        <v>2717</v>
      </c>
      <c r="M826" s="4" t="s">
        <v>2718</v>
      </c>
      <c r="N826" s="4" t="s">
        <v>20</v>
      </c>
      <c r="O826" s="4" t="s">
        <v>1356</v>
      </c>
      <c r="P826" s="4" t="s">
        <v>1356</v>
      </c>
      <c r="Q826" s="4" t="s">
        <v>100</v>
      </c>
      <c r="R826" s="9">
        <f t="shared" si="12"/>
        <v>1.4101965309969443E-4</v>
      </c>
    </row>
    <row r="827" spans="1:18" hidden="1" x14ac:dyDescent="0.2">
      <c r="A827" s="4">
        <v>1496</v>
      </c>
      <c r="B827" s="2">
        <v>7078553</v>
      </c>
      <c r="C827" s="2">
        <v>0</v>
      </c>
      <c r="D827" s="4" t="s">
        <v>2937</v>
      </c>
      <c r="E827" s="2">
        <v>7078553</v>
      </c>
      <c r="F827" s="2">
        <v>1344925.07</v>
      </c>
      <c r="G827" s="2">
        <v>0</v>
      </c>
      <c r="H827" s="4">
        <v>0</v>
      </c>
      <c r="I827" s="4">
        <v>0</v>
      </c>
      <c r="J827" s="4">
        <v>0</v>
      </c>
      <c r="K827" s="4">
        <v>8423478.0700000003</v>
      </c>
      <c r="L827" s="4" t="s">
        <v>2935</v>
      </c>
      <c r="M827" s="4" t="s">
        <v>2936</v>
      </c>
      <c r="N827" s="4" t="s">
        <v>20</v>
      </c>
      <c r="O827" s="4" t="s">
        <v>692</v>
      </c>
      <c r="P827" s="4" t="s">
        <v>692</v>
      </c>
      <c r="Q827" s="4" t="s">
        <v>100</v>
      </c>
      <c r="R827" s="9">
        <f t="shared" si="12"/>
        <v>1.4100423507881486E-4</v>
      </c>
    </row>
    <row r="828" spans="1:18" hidden="1" x14ac:dyDescent="0.2">
      <c r="A828" s="4">
        <v>742</v>
      </c>
      <c r="B828" s="2">
        <v>7068840</v>
      </c>
      <c r="C828" s="2">
        <v>0</v>
      </c>
      <c r="D828" s="4" t="s">
        <v>2360</v>
      </c>
      <c r="E828" s="2">
        <v>7068840</v>
      </c>
      <c r="F828" s="2">
        <v>1343079.6</v>
      </c>
      <c r="G828" s="2">
        <v>0</v>
      </c>
      <c r="H828" s="4">
        <v>0</v>
      </c>
      <c r="I828" s="4">
        <v>0</v>
      </c>
      <c r="J828" s="4">
        <v>0</v>
      </c>
      <c r="K828" s="4">
        <v>8411919.5999999996</v>
      </c>
      <c r="L828" s="4" t="s">
        <v>2358</v>
      </c>
      <c r="M828" s="4" t="s">
        <v>2359</v>
      </c>
      <c r="N828" s="4" t="s">
        <v>1054</v>
      </c>
      <c r="O828" s="4" t="s">
        <v>89</v>
      </c>
      <c r="P828" s="4" t="s">
        <v>89</v>
      </c>
      <c r="Q828" s="4" t="s">
        <v>100</v>
      </c>
      <c r="R828" s="9">
        <f t="shared" si="12"/>
        <v>1.4081075286072304E-4</v>
      </c>
    </row>
    <row r="829" spans="1:18" hidden="1" x14ac:dyDescent="0.2">
      <c r="A829" s="4">
        <v>1506</v>
      </c>
      <c r="B829" s="2">
        <v>7061472</v>
      </c>
      <c r="C829" s="2">
        <v>0</v>
      </c>
      <c r="D829" s="4" t="s">
        <v>1466</v>
      </c>
      <c r="E829" s="2">
        <v>7061472</v>
      </c>
      <c r="F829" s="2">
        <v>1341679.68</v>
      </c>
      <c r="G829" s="2">
        <v>0</v>
      </c>
      <c r="H829" s="4">
        <v>0</v>
      </c>
      <c r="I829" s="4">
        <v>0</v>
      </c>
      <c r="J829" s="4">
        <v>0</v>
      </c>
      <c r="K829" s="4">
        <v>8403151.6799999997</v>
      </c>
      <c r="L829" s="4" t="s">
        <v>1464</v>
      </c>
      <c r="M829" s="4" t="s">
        <v>1465</v>
      </c>
      <c r="N829" s="4" t="s">
        <v>468</v>
      </c>
      <c r="O829" s="4" t="s">
        <v>105</v>
      </c>
      <c r="P829" s="4" t="s">
        <v>105</v>
      </c>
      <c r="Q829" s="4" t="s">
        <v>100</v>
      </c>
      <c r="R829" s="9">
        <f t="shared" si="12"/>
        <v>1.4066398286351306E-4</v>
      </c>
    </row>
    <row r="830" spans="1:18" hidden="1" x14ac:dyDescent="0.2">
      <c r="A830" s="4">
        <v>567</v>
      </c>
      <c r="B830" s="2">
        <v>7056299</v>
      </c>
      <c r="C830" s="2">
        <v>0</v>
      </c>
      <c r="D830" s="4" t="s">
        <v>2691</v>
      </c>
      <c r="E830" s="2">
        <v>7056299</v>
      </c>
      <c r="F830" s="2">
        <v>1340696.81</v>
      </c>
      <c r="G830" s="2">
        <v>0</v>
      </c>
      <c r="H830" s="4">
        <v>0</v>
      </c>
      <c r="I830" s="4">
        <v>0</v>
      </c>
      <c r="J830" s="4">
        <v>0</v>
      </c>
      <c r="K830" s="4">
        <v>8396995.8100000005</v>
      </c>
      <c r="L830" s="4" t="s">
        <v>2689</v>
      </c>
      <c r="M830" s="4" t="s">
        <v>2690</v>
      </c>
      <c r="N830" s="4" t="s">
        <v>20</v>
      </c>
      <c r="O830" s="4" t="s">
        <v>631</v>
      </c>
      <c r="P830" s="4" t="s">
        <v>631</v>
      </c>
      <c r="Q830" s="4" t="s">
        <v>100</v>
      </c>
      <c r="R830" s="9">
        <f t="shared" si="12"/>
        <v>1.4056093709864239E-4</v>
      </c>
    </row>
    <row r="831" spans="1:18" hidden="1" x14ac:dyDescent="0.2">
      <c r="A831" s="4">
        <v>745</v>
      </c>
      <c r="B831" s="2">
        <v>7017982</v>
      </c>
      <c r="C831" s="2">
        <v>0</v>
      </c>
      <c r="D831" s="4" t="s">
        <v>2166</v>
      </c>
      <c r="E831" s="2">
        <v>7017982</v>
      </c>
      <c r="F831" s="2">
        <v>1333416.58</v>
      </c>
      <c r="G831" s="2">
        <v>151693.03</v>
      </c>
      <c r="H831" s="4">
        <v>0</v>
      </c>
      <c r="I831" s="4">
        <v>0</v>
      </c>
      <c r="J831" s="4">
        <v>151693.03</v>
      </c>
      <c r="K831" s="4">
        <v>8199705.5499999998</v>
      </c>
      <c r="L831" s="4" t="s">
        <v>2164</v>
      </c>
      <c r="M831" s="4" t="s">
        <v>2165</v>
      </c>
      <c r="N831" s="4" t="s">
        <v>2167</v>
      </c>
      <c r="O831" s="4" t="s">
        <v>105</v>
      </c>
      <c r="P831" s="4" t="s">
        <v>105</v>
      </c>
      <c r="Q831" s="4" t="s">
        <v>100</v>
      </c>
      <c r="R831" s="9">
        <f t="shared" si="12"/>
        <v>1.3979766538541017E-4</v>
      </c>
    </row>
    <row r="832" spans="1:18" hidden="1" x14ac:dyDescent="0.2">
      <c r="A832" s="4">
        <v>722</v>
      </c>
      <c r="B832" s="2">
        <v>7219060</v>
      </c>
      <c r="C832" s="2">
        <v>216571.8</v>
      </c>
      <c r="D832" s="4" t="s">
        <v>5524</v>
      </c>
      <c r="E832" s="2">
        <v>7002488.2000000002</v>
      </c>
      <c r="F832" s="2">
        <v>1330472.76</v>
      </c>
      <c r="G832" s="2">
        <v>175062.2</v>
      </c>
      <c r="H832" s="4">
        <v>0</v>
      </c>
      <c r="I832" s="4">
        <v>0</v>
      </c>
      <c r="J832" s="4">
        <v>175062.2</v>
      </c>
      <c r="K832" s="4">
        <v>8157898.7599999998</v>
      </c>
      <c r="L832" s="4" t="s">
        <v>5523</v>
      </c>
      <c r="M832" s="4" t="s">
        <v>621</v>
      </c>
      <c r="N832" s="4" t="s">
        <v>172</v>
      </c>
      <c r="O832" s="4" t="s">
        <v>173</v>
      </c>
      <c r="P832" s="4" t="s">
        <v>173</v>
      </c>
      <c r="Q832" s="4" t="s">
        <v>100</v>
      </c>
      <c r="R832" s="9">
        <f t="shared" si="12"/>
        <v>1.3948903007287325E-4</v>
      </c>
    </row>
    <row r="833" spans="1:18" hidden="1" x14ac:dyDescent="0.2">
      <c r="A833" s="4">
        <v>1611</v>
      </c>
      <c r="B833" s="2">
        <v>6993997</v>
      </c>
      <c r="C833" s="2">
        <v>0</v>
      </c>
      <c r="D833" s="4" t="s">
        <v>4515</v>
      </c>
      <c r="E833" s="2">
        <v>6993997</v>
      </c>
      <c r="F833" s="2">
        <v>1328859.43</v>
      </c>
      <c r="G833" s="2">
        <v>83154.05</v>
      </c>
      <c r="H833" s="4">
        <v>185748.66</v>
      </c>
      <c r="I833" s="4">
        <v>0</v>
      </c>
      <c r="J833" s="4">
        <v>268902.71000000002</v>
      </c>
      <c r="K833" s="4">
        <v>8053953.7199999997</v>
      </c>
      <c r="L833" s="4" t="s">
        <v>4513</v>
      </c>
      <c r="M833" s="4" t="s">
        <v>4514</v>
      </c>
      <c r="N833" s="4" t="s">
        <v>88</v>
      </c>
      <c r="O833" s="4" t="s">
        <v>76</v>
      </c>
      <c r="P833" s="4" t="s">
        <v>76</v>
      </c>
      <c r="Q833" s="4" t="s">
        <v>408</v>
      </c>
      <c r="R833" s="9">
        <f t="shared" si="12"/>
        <v>1.3931988601745667E-4</v>
      </c>
    </row>
    <row r="834" spans="1:18" hidden="1" x14ac:dyDescent="0.2">
      <c r="A834" s="4">
        <v>23</v>
      </c>
      <c r="B834" s="2">
        <v>7197828</v>
      </c>
      <c r="C834" s="2">
        <v>215934.84</v>
      </c>
      <c r="D834" s="4" t="s">
        <v>5526</v>
      </c>
      <c r="E834" s="2">
        <v>6981893.1600000001</v>
      </c>
      <c r="F834" s="2">
        <v>1326559.7</v>
      </c>
      <c r="G834" s="2">
        <v>174547.33</v>
      </c>
      <c r="H834" s="4">
        <v>198983.96</v>
      </c>
      <c r="I834" s="4">
        <v>0</v>
      </c>
      <c r="J834" s="4">
        <v>373531.29</v>
      </c>
      <c r="K834" s="4">
        <v>7934921.5700000003</v>
      </c>
      <c r="L834" s="4" t="s">
        <v>5525</v>
      </c>
      <c r="M834" s="4" t="s">
        <v>146</v>
      </c>
      <c r="N834" s="4" t="s">
        <v>2060</v>
      </c>
      <c r="O834" s="4" t="s">
        <v>113</v>
      </c>
      <c r="P834" s="4" t="s">
        <v>113</v>
      </c>
      <c r="Q834" s="4" t="s">
        <v>28</v>
      </c>
      <c r="R834" s="9">
        <f t="shared" si="12"/>
        <v>1.390787784491844E-4</v>
      </c>
    </row>
    <row r="835" spans="1:18" hidden="1" x14ac:dyDescent="0.2">
      <c r="A835" s="4">
        <v>417</v>
      </c>
      <c r="B835" s="2">
        <v>6936539</v>
      </c>
      <c r="C835" s="2">
        <v>0</v>
      </c>
      <c r="D835" s="4" t="s">
        <v>2905</v>
      </c>
      <c r="E835" s="2">
        <v>6936539</v>
      </c>
      <c r="F835" s="2">
        <v>1317942.4099999999</v>
      </c>
      <c r="G835" s="2">
        <v>0</v>
      </c>
      <c r="H835" s="4">
        <v>0</v>
      </c>
      <c r="I835" s="4">
        <v>0</v>
      </c>
      <c r="J835" s="4">
        <v>0</v>
      </c>
      <c r="K835" s="4">
        <v>8254481.4100000001</v>
      </c>
      <c r="L835" s="4" t="s">
        <v>2903</v>
      </c>
      <c r="M835" s="4" t="s">
        <v>2904</v>
      </c>
      <c r="N835" s="4" t="s">
        <v>2906</v>
      </c>
      <c r="O835" s="4" t="s">
        <v>33</v>
      </c>
      <c r="P835" s="4" t="s">
        <v>33</v>
      </c>
      <c r="Q835" s="4" t="s">
        <v>100</v>
      </c>
      <c r="R835" s="9">
        <f t="shared" ref="R835:R898" si="13">E835/$E$2034</f>
        <v>1.3817532704627167E-4</v>
      </c>
    </row>
    <row r="836" spans="1:18" hidden="1" x14ac:dyDescent="0.2">
      <c r="A836" s="4">
        <v>1542</v>
      </c>
      <c r="B836" s="2">
        <v>6913339</v>
      </c>
      <c r="C836" s="2">
        <v>0</v>
      </c>
      <c r="D836" s="4" t="s">
        <v>2653</v>
      </c>
      <c r="E836" s="2">
        <v>6913339</v>
      </c>
      <c r="F836" s="2">
        <v>1313534.4099999999</v>
      </c>
      <c r="G836" s="2">
        <v>0</v>
      </c>
      <c r="H836" s="4">
        <v>0</v>
      </c>
      <c r="I836" s="4">
        <v>0</v>
      </c>
      <c r="J836" s="4">
        <v>0</v>
      </c>
      <c r="K836" s="4">
        <v>8226873.4100000001</v>
      </c>
      <c r="L836" s="4" t="s">
        <v>2651</v>
      </c>
      <c r="M836" s="4" t="s">
        <v>2652</v>
      </c>
      <c r="N836" s="4" t="s">
        <v>20</v>
      </c>
      <c r="O836" s="4" t="s">
        <v>1157</v>
      </c>
      <c r="P836" s="4" t="s">
        <v>1157</v>
      </c>
      <c r="Q836" s="4" t="s">
        <v>100</v>
      </c>
      <c r="R836" s="9">
        <f t="shared" si="13"/>
        <v>1.3771318481835751E-4</v>
      </c>
    </row>
    <row r="837" spans="1:18" hidden="1" x14ac:dyDescent="0.2">
      <c r="A837" s="4">
        <v>2031</v>
      </c>
      <c r="B837" s="2">
        <v>6909701</v>
      </c>
      <c r="C837" s="2">
        <v>0</v>
      </c>
      <c r="D837" s="4" t="s">
        <v>3916</v>
      </c>
      <c r="E837" s="2">
        <v>6909701</v>
      </c>
      <c r="F837" s="2">
        <v>1312843.19</v>
      </c>
      <c r="G837" s="2">
        <v>0</v>
      </c>
      <c r="H837" s="4">
        <v>0</v>
      </c>
      <c r="I837" s="4">
        <v>0</v>
      </c>
      <c r="J837" s="4">
        <v>0</v>
      </c>
      <c r="K837" s="4">
        <v>8222544.1900000004</v>
      </c>
      <c r="L837" s="4" t="s">
        <v>3914</v>
      </c>
      <c r="M837" s="4" t="s">
        <v>3915</v>
      </c>
      <c r="N837" s="4" t="s">
        <v>20</v>
      </c>
      <c r="O837" s="4" t="s">
        <v>631</v>
      </c>
      <c r="P837" s="4" t="s">
        <v>631</v>
      </c>
      <c r="Q837" s="4" t="s">
        <v>100</v>
      </c>
      <c r="R837" s="9">
        <f t="shared" si="13"/>
        <v>1.376407161362389E-4</v>
      </c>
    </row>
    <row r="838" spans="1:18" hidden="1" x14ac:dyDescent="0.2">
      <c r="A838" s="4">
        <v>1960</v>
      </c>
      <c r="B838" s="2">
        <v>6880469</v>
      </c>
      <c r="C838" s="2">
        <v>0</v>
      </c>
      <c r="D838" s="4" t="s">
        <v>2402</v>
      </c>
      <c r="E838" s="2">
        <v>6880469</v>
      </c>
      <c r="F838" s="2">
        <v>1307289.1100000001</v>
      </c>
      <c r="G838" s="2">
        <v>0</v>
      </c>
      <c r="H838" s="4">
        <v>0</v>
      </c>
      <c r="I838" s="4">
        <v>0</v>
      </c>
      <c r="J838" s="4">
        <v>0</v>
      </c>
      <c r="K838" s="4">
        <v>8187758.1100000003</v>
      </c>
      <c r="L838" s="4" t="s">
        <v>2400</v>
      </c>
      <c r="M838" s="4" t="s">
        <v>2401</v>
      </c>
      <c r="N838" s="4" t="s">
        <v>648</v>
      </c>
      <c r="O838" s="4" t="s">
        <v>340</v>
      </c>
      <c r="P838" s="4" t="s">
        <v>340</v>
      </c>
      <c r="Q838" s="4" t="s">
        <v>100</v>
      </c>
      <c r="R838" s="9">
        <f t="shared" si="13"/>
        <v>1.3705841692906702E-4</v>
      </c>
    </row>
    <row r="839" spans="1:18" hidden="1" x14ac:dyDescent="0.2">
      <c r="A839" s="4">
        <v>419</v>
      </c>
      <c r="B839" s="2">
        <v>6867668</v>
      </c>
      <c r="C839" s="2">
        <v>0</v>
      </c>
      <c r="D839" s="4" t="s">
        <v>2802</v>
      </c>
      <c r="E839" s="2">
        <v>6867668</v>
      </c>
      <c r="F839" s="2">
        <v>1304856.92</v>
      </c>
      <c r="G839" s="2">
        <v>171691.7</v>
      </c>
      <c r="H839" s="4">
        <v>195728.53</v>
      </c>
      <c r="I839" s="4">
        <v>0</v>
      </c>
      <c r="J839" s="4">
        <v>367420.23</v>
      </c>
      <c r="K839" s="4">
        <v>7805104.6900000004</v>
      </c>
      <c r="L839" s="4" t="s">
        <v>2801</v>
      </c>
      <c r="M839" s="4" t="s">
        <v>137</v>
      </c>
      <c r="N839" s="4" t="s">
        <v>2803</v>
      </c>
      <c r="O839" s="4" t="s">
        <v>59</v>
      </c>
      <c r="P839" s="4" t="s">
        <v>59</v>
      </c>
      <c r="Q839" s="4" t="s">
        <v>22</v>
      </c>
      <c r="R839" s="9">
        <f t="shared" si="13"/>
        <v>1.3680342198684595E-4</v>
      </c>
    </row>
    <row r="840" spans="1:18" hidden="1" x14ac:dyDescent="0.2">
      <c r="A840" s="4">
        <v>658</v>
      </c>
      <c r="B840" s="2">
        <v>6860748</v>
      </c>
      <c r="C840" s="2">
        <v>0</v>
      </c>
      <c r="D840" s="4" t="s">
        <v>2021</v>
      </c>
      <c r="E840" s="2">
        <v>6860748</v>
      </c>
      <c r="F840" s="2">
        <v>1303542.1200000001</v>
      </c>
      <c r="G840" s="2">
        <v>0</v>
      </c>
      <c r="H840" s="4">
        <v>0</v>
      </c>
      <c r="I840" s="4">
        <v>0</v>
      </c>
      <c r="J840" s="4">
        <v>0</v>
      </c>
      <c r="K840" s="4">
        <v>8164290.1200000001</v>
      </c>
      <c r="L840" s="4" t="s">
        <v>2019</v>
      </c>
      <c r="M840" s="4" t="s">
        <v>2020</v>
      </c>
      <c r="N840" s="4" t="s">
        <v>1150</v>
      </c>
      <c r="O840" s="4" t="s">
        <v>89</v>
      </c>
      <c r="P840" s="4" t="s">
        <v>89</v>
      </c>
      <c r="Q840" s="4" t="s">
        <v>100</v>
      </c>
      <c r="R840" s="9">
        <f t="shared" si="13"/>
        <v>1.3666557611541637E-4</v>
      </c>
    </row>
    <row r="841" spans="1:18" hidden="1" x14ac:dyDescent="0.2">
      <c r="A841" s="4">
        <v>1004</v>
      </c>
      <c r="B841" s="2">
        <v>6854000</v>
      </c>
      <c r="C841" s="2">
        <v>0</v>
      </c>
      <c r="D841" s="4" t="s">
        <v>822</v>
      </c>
      <c r="E841" s="2">
        <v>6854000</v>
      </c>
      <c r="F841" s="2">
        <v>1302260</v>
      </c>
      <c r="G841" s="2">
        <v>171350.01</v>
      </c>
      <c r="H841" s="4">
        <v>0</v>
      </c>
      <c r="I841" s="4">
        <v>0</v>
      </c>
      <c r="J841" s="4">
        <v>171350.01</v>
      </c>
      <c r="K841" s="4">
        <v>7984909.9900000002</v>
      </c>
      <c r="L841" s="4" t="s">
        <v>820</v>
      </c>
      <c r="M841" s="4" t="s">
        <v>821</v>
      </c>
      <c r="N841" s="4" t="s">
        <v>651</v>
      </c>
      <c r="O841" s="4" t="s">
        <v>196</v>
      </c>
      <c r="P841" s="4" t="s">
        <v>196</v>
      </c>
      <c r="Q841" s="4" t="s">
        <v>28</v>
      </c>
      <c r="R841" s="9">
        <f t="shared" si="13"/>
        <v>1.3653115647084893E-4</v>
      </c>
    </row>
    <row r="842" spans="1:18" hidden="1" x14ac:dyDescent="0.2">
      <c r="A842" s="4">
        <v>930</v>
      </c>
      <c r="B842" s="2">
        <v>6841971</v>
      </c>
      <c r="C842" s="2">
        <v>0</v>
      </c>
      <c r="D842" s="4" t="s">
        <v>3399</v>
      </c>
      <c r="E842" s="2">
        <v>6841971</v>
      </c>
      <c r="F842" s="2">
        <v>1299974.49</v>
      </c>
      <c r="G842" s="2">
        <v>171049.28</v>
      </c>
      <c r="H842" s="4">
        <v>0</v>
      </c>
      <c r="I842" s="4">
        <v>0</v>
      </c>
      <c r="J842" s="4">
        <v>171049.28</v>
      </c>
      <c r="K842" s="4">
        <v>7970896.21</v>
      </c>
      <c r="L842" s="4" t="s">
        <v>3397</v>
      </c>
      <c r="M842" s="4" t="s">
        <v>3398</v>
      </c>
      <c r="N842" s="4" t="s">
        <v>322</v>
      </c>
      <c r="O842" s="4" t="s">
        <v>229</v>
      </c>
      <c r="P842" s="4" t="s">
        <v>229</v>
      </c>
      <c r="Q842" s="4" t="s">
        <v>100</v>
      </c>
      <c r="R842" s="9">
        <f t="shared" si="13"/>
        <v>1.3629153970966016E-4</v>
      </c>
    </row>
    <row r="843" spans="1:18" hidden="1" x14ac:dyDescent="0.2">
      <c r="A843" s="4">
        <v>982</v>
      </c>
      <c r="B843" s="2">
        <v>6794900</v>
      </c>
      <c r="C843" s="2">
        <v>0</v>
      </c>
      <c r="D843" s="4" t="s">
        <v>2423</v>
      </c>
      <c r="E843" s="2">
        <v>6794900</v>
      </c>
      <c r="F843" s="2">
        <v>1291031</v>
      </c>
      <c r="G843" s="2">
        <v>95338.8</v>
      </c>
      <c r="H843" s="4">
        <v>0</v>
      </c>
      <c r="I843" s="4">
        <v>0</v>
      </c>
      <c r="J843" s="4">
        <v>95338.8</v>
      </c>
      <c r="K843" s="4">
        <v>7990592.2000000002</v>
      </c>
      <c r="L843" s="4" t="s">
        <v>2421</v>
      </c>
      <c r="M843" s="4" t="s">
        <v>2422</v>
      </c>
      <c r="N843" s="4" t="s">
        <v>20</v>
      </c>
      <c r="O843" s="4" t="s">
        <v>372</v>
      </c>
      <c r="P843" s="4" t="s">
        <v>372</v>
      </c>
      <c r="Q843" s="4" t="s">
        <v>100</v>
      </c>
      <c r="R843" s="9">
        <f t="shared" si="13"/>
        <v>1.3535388898508482E-4</v>
      </c>
    </row>
    <row r="844" spans="1:18" hidden="1" x14ac:dyDescent="0.2">
      <c r="A844" s="4">
        <v>1016</v>
      </c>
      <c r="B844" s="2">
        <v>6792207</v>
      </c>
      <c r="C844" s="2">
        <v>0</v>
      </c>
      <c r="D844" s="4" t="s">
        <v>2591</v>
      </c>
      <c r="E844" s="2">
        <v>6792207</v>
      </c>
      <c r="F844" s="2">
        <v>1290519.33</v>
      </c>
      <c r="G844" s="2">
        <v>0</v>
      </c>
      <c r="H844" s="4">
        <v>0</v>
      </c>
      <c r="I844" s="4">
        <v>0</v>
      </c>
      <c r="J844" s="4">
        <v>0</v>
      </c>
      <c r="K844" s="4">
        <v>8082726.3300000001</v>
      </c>
      <c r="L844" s="4" t="s">
        <v>2589</v>
      </c>
      <c r="M844" s="4" t="s">
        <v>2590</v>
      </c>
      <c r="N844" s="4" t="s">
        <v>20</v>
      </c>
      <c r="O844" s="4" t="s">
        <v>631</v>
      </c>
      <c r="P844" s="4" t="s">
        <v>631</v>
      </c>
      <c r="Q844" s="4" t="s">
        <v>100</v>
      </c>
      <c r="R844" s="9">
        <f t="shared" si="13"/>
        <v>1.3530024463078428E-4</v>
      </c>
    </row>
    <row r="845" spans="1:18" hidden="1" x14ac:dyDescent="0.2">
      <c r="A845" s="4">
        <v>733</v>
      </c>
      <c r="B845" s="2">
        <v>6777049</v>
      </c>
      <c r="C845" s="2">
        <v>0</v>
      </c>
      <c r="D845" s="4" t="s">
        <v>3802</v>
      </c>
      <c r="E845" s="2">
        <v>6777049</v>
      </c>
      <c r="F845" s="2">
        <v>1287639.31</v>
      </c>
      <c r="G845" s="2">
        <v>0</v>
      </c>
      <c r="H845" s="4">
        <v>0</v>
      </c>
      <c r="I845" s="4">
        <v>0</v>
      </c>
      <c r="J845" s="4">
        <v>0</v>
      </c>
      <c r="K845" s="4">
        <v>8064688.3099999996</v>
      </c>
      <c r="L845" s="4" t="s">
        <v>3801</v>
      </c>
      <c r="M845" s="4" t="s">
        <v>1930</v>
      </c>
      <c r="N845" s="4" t="s">
        <v>674</v>
      </c>
      <c r="O845" s="4" t="s">
        <v>89</v>
      </c>
      <c r="P845" s="4" t="s">
        <v>89</v>
      </c>
      <c r="Q845" s="4" t="s">
        <v>28</v>
      </c>
      <c r="R845" s="9">
        <f t="shared" si="13"/>
        <v>1.3499829842859794E-4</v>
      </c>
    </row>
    <row r="846" spans="1:18" hidden="1" x14ac:dyDescent="0.2">
      <c r="A846" s="4">
        <v>192</v>
      </c>
      <c r="B846" s="2">
        <v>6864360</v>
      </c>
      <c r="C846" s="2">
        <v>90831</v>
      </c>
      <c r="D846" s="4" t="s">
        <v>5297</v>
      </c>
      <c r="E846" s="2">
        <v>6773529</v>
      </c>
      <c r="F846" s="2">
        <v>1286970.51</v>
      </c>
      <c r="G846" s="2">
        <v>0</v>
      </c>
      <c r="H846" s="4">
        <v>0</v>
      </c>
      <c r="I846" s="4">
        <v>0</v>
      </c>
      <c r="J846" s="4">
        <v>0</v>
      </c>
      <c r="K846" s="4">
        <v>8060499.5099999998</v>
      </c>
      <c r="L846" s="4" t="s">
        <v>5295</v>
      </c>
      <c r="M846" s="4" t="s">
        <v>5296</v>
      </c>
      <c r="N846" s="4" t="s">
        <v>218</v>
      </c>
      <c r="O846" s="4" t="s">
        <v>196</v>
      </c>
      <c r="P846" s="4" t="s">
        <v>196</v>
      </c>
      <c r="Q846" s="4" t="s">
        <v>100</v>
      </c>
      <c r="R846" s="9">
        <f t="shared" si="13"/>
        <v>1.3492818029746615E-4</v>
      </c>
    </row>
    <row r="847" spans="1:18" hidden="1" x14ac:dyDescent="0.2">
      <c r="A847" s="4">
        <v>1660</v>
      </c>
      <c r="B847" s="2">
        <v>6711201</v>
      </c>
      <c r="C847" s="2">
        <v>0</v>
      </c>
      <c r="D847" s="4" t="s">
        <v>2446</v>
      </c>
      <c r="E847" s="2">
        <v>6711201</v>
      </c>
      <c r="F847" s="2">
        <v>1275128.19</v>
      </c>
      <c r="G847" s="2">
        <v>95874.3</v>
      </c>
      <c r="H847" s="4">
        <v>0</v>
      </c>
      <c r="I847" s="4">
        <v>0</v>
      </c>
      <c r="J847" s="4">
        <v>95874.3</v>
      </c>
      <c r="K847" s="4">
        <v>7890454.8899999997</v>
      </c>
      <c r="L847" s="4" t="s">
        <v>2444</v>
      </c>
      <c r="M847" s="4" t="s">
        <v>2445</v>
      </c>
      <c r="N847" s="4" t="s">
        <v>20</v>
      </c>
      <c r="O847" s="4" t="s">
        <v>386</v>
      </c>
      <c r="P847" s="4" t="s">
        <v>386</v>
      </c>
      <c r="Q847" s="4" t="s">
        <v>585</v>
      </c>
      <c r="R847" s="9">
        <f t="shared" si="13"/>
        <v>1.3368661129826639E-4</v>
      </c>
    </row>
    <row r="848" spans="1:18" hidden="1" x14ac:dyDescent="0.2">
      <c r="A848" s="4">
        <v>1796</v>
      </c>
      <c r="B848" s="2">
        <v>6681393</v>
      </c>
      <c r="C848" s="2">
        <v>0</v>
      </c>
      <c r="D848" s="4" t="s">
        <v>2268</v>
      </c>
      <c r="E848" s="2">
        <v>6681393</v>
      </c>
      <c r="F848" s="2">
        <v>1269464.67</v>
      </c>
      <c r="G848" s="2">
        <v>77755.5</v>
      </c>
      <c r="H848" s="4">
        <v>0</v>
      </c>
      <c r="I848" s="4">
        <v>0</v>
      </c>
      <c r="J848" s="4">
        <v>77755.5</v>
      </c>
      <c r="K848" s="4">
        <v>7873102.1699999999</v>
      </c>
      <c r="L848" s="4" t="s">
        <v>2266</v>
      </c>
      <c r="M848" s="4" t="s">
        <v>2267</v>
      </c>
      <c r="N848" s="4" t="s">
        <v>2113</v>
      </c>
      <c r="O848" s="4" t="s">
        <v>89</v>
      </c>
      <c r="P848" s="4" t="s">
        <v>89</v>
      </c>
      <c r="Q848" s="4" t="s">
        <v>100</v>
      </c>
      <c r="R848" s="9">
        <f t="shared" si="13"/>
        <v>1.3309283821509116E-4</v>
      </c>
    </row>
    <row r="849" spans="1:18" hidden="1" x14ac:dyDescent="0.2">
      <c r="A849" s="4">
        <v>131</v>
      </c>
      <c r="B849" s="2">
        <v>6652601</v>
      </c>
      <c r="C849" s="2">
        <v>0</v>
      </c>
      <c r="D849" s="4" t="s">
        <v>5529</v>
      </c>
      <c r="E849" s="2">
        <v>6652601</v>
      </c>
      <c r="F849" s="2">
        <v>1263994.19</v>
      </c>
      <c r="G849" s="2">
        <v>64477.2</v>
      </c>
      <c r="H849" s="4">
        <v>0</v>
      </c>
      <c r="I849" s="4">
        <v>0</v>
      </c>
      <c r="J849" s="4">
        <v>64477.2</v>
      </c>
      <c r="K849" s="4">
        <v>7852117.9900000002</v>
      </c>
      <c r="L849" s="4" t="s">
        <v>5527</v>
      </c>
      <c r="M849" s="4" t="s">
        <v>5528</v>
      </c>
      <c r="N849" s="4" t="s">
        <v>20</v>
      </c>
      <c r="O849" s="4" t="s">
        <v>76</v>
      </c>
      <c r="P849" s="4" t="s">
        <v>76</v>
      </c>
      <c r="Q849" s="4" t="s">
        <v>1378</v>
      </c>
      <c r="R849" s="9">
        <f t="shared" si="13"/>
        <v>1.3251930377431077E-4</v>
      </c>
    </row>
    <row r="850" spans="1:18" hidden="1" x14ac:dyDescent="0.2">
      <c r="A850" s="4">
        <v>1642</v>
      </c>
      <c r="B850" s="2">
        <v>6651462</v>
      </c>
      <c r="C850" s="2">
        <v>0</v>
      </c>
      <c r="D850" s="4" t="s">
        <v>2909</v>
      </c>
      <c r="E850" s="2">
        <v>6651462</v>
      </c>
      <c r="F850" s="2">
        <v>1263777.78</v>
      </c>
      <c r="G850" s="2">
        <v>0</v>
      </c>
      <c r="H850" s="4">
        <v>0</v>
      </c>
      <c r="I850" s="4">
        <v>0</v>
      </c>
      <c r="J850" s="4">
        <v>0</v>
      </c>
      <c r="K850" s="4">
        <v>7915239.7800000003</v>
      </c>
      <c r="L850" s="4" t="s">
        <v>2907</v>
      </c>
      <c r="M850" s="4" t="s">
        <v>2908</v>
      </c>
      <c r="N850" s="4" t="s">
        <v>20</v>
      </c>
      <c r="O850" s="4" t="s">
        <v>631</v>
      </c>
      <c r="P850" s="4" t="s">
        <v>631</v>
      </c>
      <c r="Q850" s="4" t="s">
        <v>100</v>
      </c>
      <c r="R850" s="9">
        <f t="shared" si="13"/>
        <v>1.3249661498131103E-4</v>
      </c>
    </row>
    <row r="851" spans="1:18" hidden="1" x14ac:dyDescent="0.2">
      <c r="A851" s="4">
        <v>1328</v>
      </c>
      <c r="B851" s="2">
        <v>6649449</v>
      </c>
      <c r="C851" s="2">
        <v>0</v>
      </c>
      <c r="D851" s="4" t="s">
        <v>4014</v>
      </c>
      <c r="E851" s="2">
        <v>6649449</v>
      </c>
      <c r="F851" s="2">
        <v>1263395.31</v>
      </c>
      <c r="G851" s="2">
        <v>0</v>
      </c>
      <c r="H851" s="4">
        <v>0</v>
      </c>
      <c r="I851" s="4">
        <v>0</v>
      </c>
      <c r="J851" s="4">
        <v>0</v>
      </c>
      <c r="K851" s="4">
        <v>7912844.3099999996</v>
      </c>
      <c r="L851" s="4" t="s">
        <v>4012</v>
      </c>
      <c r="M851" s="4" t="s">
        <v>4013</v>
      </c>
      <c r="N851" s="4" t="s">
        <v>32</v>
      </c>
      <c r="O851" s="4" t="s">
        <v>33</v>
      </c>
      <c r="P851" s="4" t="s">
        <v>33</v>
      </c>
      <c r="Q851" s="4" t="s">
        <v>100</v>
      </c>
      <c r="R851" s="9">
        <f t="shared" si="13"/>
        <v>1.3245651617507003E-4</v>
      </c>
    </row>
    <row r="852" spans="1:18" hidden="1" x14ac:dyDescent="0.2">
      <c r="A852" s="4">
        <v>776</v>
      </c>
      <c r="B852" s="2">
        <v>6630123</v>
      </c>
      <c r="C852" s="2">
        <v>0</v>
      </c>
      <c r="D852" s="4" t="s">
        <v>2175</v>
      </c>
      <c r="E852" s="2">
        <v>6630123</v>
      </c>
      <c r="F852" s="2">
        <v>1259723.3700000001</v>
      </c>
      <c r="G852" s="2">
        <v>165753.07999999999</v>
      </c>
      <c r="H852" s="4">
        <v>0</v>
      </c>
      <c r="I852" s="4">
        <v>0</v>
      </c>
      <c r="J852" s="4">
        <v>165753.07999999999</v>
      </c>
      <c r="K852" s="4">
        <v>7724093.29</v>
      </c>
      <c r="L852" s="4" t="s">
        <v>2173</v>
      </c>
      <c r="M852" s="4" t="s">
        <v>2174</v>
      </c>
      <c r="N852" s="4" t="s">
        <v>32</v>
      </c>
      <c r="O852" s="4" t="s">
        <v>33</v>
      </c>
      <c r="P852" s="4" t="s">
        <v>33</v>
      </c>
      <c r="Q852" s="4" t="s">
        <v>100</v>
      </c>
      <c r="R852" s="9">
        <f t="shared" si="13"/>
        <v>1.3207154373124809E-4</v>
      </c>
    </row>
    <row r="853" spans="1:18" hidden="1" x14ac:dyDescent="0.2">
      <c r="A853" s="4">
        <v>1709</v>
      </c>
      <c r="B853" s="2">
        <v>6625067</v>
      </c>
      <c r="C853" s="2">
        <v>0</v>
      </c>
      <c r="D853" s="4" t="s">
        <v>2881</v>
      </c>
      <c r="E853" s="2">
        <v>6625067</v>
      </c>
      <c r="F853" s="2">
        <v>1258762.73</v>
      </c>
      <c r="G853" s="2">
        <v>0</v>
      </c>
      <c r="H853" s="4">
        <v>0</v>
      </c>
      <c r="I853" s="4">
        <v>0</v>
      </c>
      <c r="J853" s="4">
        <v>0</v>
      </c>
      <c r="K853" s="4">
        <v>7883829.7300000004</v>
      </c>
      <c r="L853" s="4" t="s">
        <v>2879</v>
      </c>
      <c r="M853" s="4" t="s">
        <v>2880</v>
      </c>
      <c r="N853" s="4" t="s">
        <v>20</v>
      </c>
      <c r="O853" s="4" t="s">
        <v>316</v>
      </c>
      <c r="P853" s="4" t="s">
        <v>316</v>
      </c>
      <c r="Q853" s="4" t="s">
        <v>100</v>
      </c>
      <c r="R853" s="9">
        <f t="shared" si="13"/>
        <v>1.3197082859744058E-4</v>
      </c>
    </row>
    <row r="854" spans="1:18" hidden="1" x14ac:dyDescent="0.2">
      <c r="A854" s="4">
        <v>1367</v>
      </c>
      <c r="B854" s="2">
        <v>6705614</v>
      </c>
      <c r="C854" s="2">
        <v>87564.06</v>
      </c>
      <c r="D854" s="4" t="s">
        <v>828</v>
      </c>
      <c r="E854" s="2">
        <v>6618049.9400000004</v>
      </c>
      <c r="F854" s="2">
        <v>1257429.49</v>
      </c>
      <c r="G854" s="2">
        <v>70780.95</v>
      </c>
      <c r="H854" s="4">
        <v>0</v>
      </c>
      <c r="I854" s="4">
        <v>0</v>
      </c>
      <c r="J854" s="4">
        <v>70780.95</v>
      </c>
      <c r="K854" s="4">
        <v>7804698.4800000004</v>
      </c>
      <c r="L854" s="4" t="s">
        <v>827</v>
      </c>
      <c r="M854" s="4" t="s">
        <v>320</v>
      </c>
      <c r="N854" s="4" t="s">
        <v>829</v>
      </c>
      <c r="O854" s="4" t="s">
        <v>229</v>
      </c>
      <c r="P854" s="4" t="s">
        <v>229</v>
      </c>
      <c r="Q854" s="4" t="s">
        <v>28</v>
      </c>
      <c r="R854" s="9">
        <f t="shared" si="13"/>
        <v>1.3183104929822474E-4</v>
      </c>
    </row>
    <row r="855" spans="1:18" hidden="1" x14ac:dyDescent="0.2">
      <c r="A855" s="4">
        <v>747</v>
      </c>
      <c r="B855" s="2">
        <v>6610894</v>
      </c>
      <c r="C855" s="2">
        <v>0</v>
      </c>
      <c r="D855" s="4" t="s">
        <v>3633</v>
      </c>
      <c r="E855" s="2">
        <v>6610894</v>
      </c>
      <c r="F855" s="2">
        <v>1256069.8600000001</v>
      </c>
      <c r="G855" s="2">
        <v>33441.949999999997</v>
      </c>
      <c r="H855" s="4">
        <v>0</v>
      </c>
      <c r="I855" s="4">
        <v>0</v>
      </c>
      <c r="J855" s="4">
        <v>33441.949999999997</v>
      </c>
      <c r="K855" s="4">
        <v>7833521.9100000001</v>
      </c>
      <c r="L855" s="4" t="s">
        <v>3631</v>
      </c>
      <c r="M855" s="4" t="s">
        <v>3632</v>
      </c>
      <c r="N855" s="4" t="s">
        <v>20</v>
      </c>
      <c r="O855" s="4" t="s">
        <v>372</v>
      </c>
      <c r="P855" s="4" t="s">
        <v>372</v>
      </c>
      <c r="Q855" s="4" t="s">
        <v>100</v>
      </c>
      <c r="R855" s="9">
        <f t="shared" si="13"/>
        <v>1.3168850352001697E-4</v>
      </c>
    </row>
    <row r="856" spans="1:18" hidden="1" x14ac:dyDescent="0.2">
      <c r="A856" s="4">
        <v>336</v>
      </c>
      <c r="B856" s="2">
        <v>6599303</v>
      </c>
      <c r="C856" s="2">
        <v>0</v>
      </c>
      <c r="D856" s="4" t="s">
        <v>2324</v>
      </c>
      <c r="E856" s="2">
        <v>6599303</v>
      </c>
      <c r="F856" s="2">
        <v>1253867.57</v>
      </c>
      <c r="G856" s="2">
        <v>136494.68</v>
      </c>
      <c r="H856" s="4">
        <v>0</v>
      </c>
      <c r="I856" s="4">
        <v>0</v>
      </c>
      <c r="J856" s="4">
        <v>136494.68</v>
      </c>
      <c r="K856" s="4">
        <v>7716675.8899999997</v>
      </c>
      <c r="L856" s="4" t="s">
        <v>2322</v>
      </c>
      <c r="M856" s="4" t="s">
        <v>2323</v>
      </c>
      <c r="N856" s="4" t="s">
        <v>20</v>
      </c>
      <c r="O856" s="4" t="s">
        <v>372</v>
      </c>
      <c r="P856" s="4" t="s">
        <v>372</v>
      </c>
      <c r="Q856" s="4" t="s">
        <v>100</v>
      </c>
      <c r="R856" s="9">
        <f t="shared" si="13"/>
        <v>1.3145761168537244E-4</v>
      </c>
    </row>
    <row r="857" spans="1:18" hidden="1" x14ac:dyDescent="0.2">
      <c r="A857" s="4">
        <v>1556</v>
      </c>
      <c r="B857" s="2">
        <v>6597207</v>
      </c>
      <c r="C857" s="2">
        <v>0</v>
      </c>
      <c r="D857" s="4" t="s">
        <v>3584</v>
      </c>
      <c r="E857" s="2">
        <v>6597207</v>
      </c>
      <c r="F857" s="2">
        <v>1253469.33</v>
      </c>
      <c r="G857" s="2">
        <v>0</v>
      </c>
      <c r="H857" s="4">
        <v>0</v>
      </c>
      <c r="I857" s="4">
        <v>0</v>
      </c>
      <c r="J857" s="4">
        <v>0</v>
      </c>
      <c r="K857" s="4">
        <v>7850676.3300000001</v>
      </c>
      <c r="L857" s="4" t="s">
        <v>3582</v>
      </c>
      <c r="M857" s="4" t="s">
        <v>3583</v>
      </c>
      <c r="N857" s="4" t="s">
        <v>20</v>
      </c>
      <c r="O857" s="4" t="s">
        <v>1549</v>
      </c>
      <c r="P857" s="4" t="s">
        <v>1039</v>
      </c>
      <c r="Q857" s="4" t="s">
        <v>100</v>
      </c>
      <c r="R857" s="9">
        <f t="shared" si="13"/>
        <v>1.3141585952547124E-4</v>
      </c>
    </row>
    <row r="858" spans="1:18" hidden="1" x14ac:dyDescent="0.2">
      <c r="A858" s="4">
        <v>900</v>
      </c>
      <c r="B858" s="2">
        <v>6580561</v>
      </c>
      <c r="C858" s="2">
        <v>0</v>
      </c>
      <c r="D858" s="4" t="s">
        <v>2887</v>
      </c>
      <c r="E858" s="2">
        <v>6580561</v>
      </c>
      <c r="F858" s="2">
        <v>1250306.5900000001</v>
      </c>
      <c r="G858" s="2">
        <v>0</v>
      </c>
      <c r="H858" s="4">
        <v>0</v>
      </c>
      <c r="I858" s="4">
        <v>0</v>
      </c>
      <c r="J858" s="4">
        <v>0</v>
      </c>
      <c r="K858" s="4">
        <v>7830867.5899999999</v>
      </c>
      <c r="L858" s="4" t="s">
        <v>2885</v>
      </c>
      <c r="M858" s="4" t="s">
        <v>2886</v>
      </c>
      <c r="N858" s="4" t="s">
        <v>20</v>
      </c>
      <c r="O858" s="4" t="s">
        <v>603</v>
      </c>
      <c r="P858" s="4" t="s">
        <v>603</v>
      </c>
      <c r="Q858" s="4" t="s">
        <v>100</v>
      </c>
      <c r="R858" s="9">
        <f t="shared" si="13"/>
        <v>1.3108427247694282E-4</v>
      </c>
    </row>
    <row r="859" spans="1:18" hidden="1" x14ac:dyDescent="0.2">
      <c r="A859" s="4">
        <v>1671</v>
      </c>
      <c r="B859" s="2">
        <v>6563900</v>
      </c>
      <c r="C859" s="2">
        <v>0</v>
      </c>
      <c r="D859" s="4" t="s">
        <v>3426</v>
      </c>
      <c r="E859" s="2">
        <v>6563900</v>
      </c>
      <c r="F859" s="2">
        <v>1247141</v>
      </c>
      <c r="G859" s="2">
        <v>0</v>
      </c>
      <c r="H859" s="4">
        <v>0</v>
      </c>
      <c r="I859" s="4">
        <v>0</v>
      </c>
      <c r="J859" s="4">
        <v>0</v>
      </c>
      <c r="K859" s="4">
        <v>7811041</v>
      </c>
      <c r="L859" s="4" t="s">
        <v>3424</v>
      </c>
      <c r="M859" s="4" t="s">
        <v>3425</v>
      </c>
      <c r="N859" s="4" t="s">
        <v>2072</v>
      </c>
      <c r="O859" s="4" t="s">
        <v>89</v>
      </c>
      <c r="P859" s="4" t="s">
        <v>89</v>
      </c>
      <c r="Q859" s="4" t="s">
        <v>100</v>
      </c>
      <c r="R859" s="9">
        <f t="shared" si="13"/>
        <v>1.3075238662956017E-4</v>
      </c>
    </row>
    <row r="860" spans="1:18" hidden="1" x14ac:dyDescent="0.2">
      <c r="A860" s="4">
        <v>835</v>
      </c>
      <c r="B860" s="2">
        <v>6558426.1100000003</v>
      </c>
      <c r="C860" s="2">
        <v>4852.92</v>
      </c>
      <c r="D860" s="4" t="s">
        <v>2178</v>
      </c>
      <c r="E860" s="2">
        <v>6553573.1900000004</v>
      </c>
      <c r="F860" s="2">
        <v>1245178.9099999999</v>
      </c>
      <c r="G860" s="2">
        <v>0</v>
      </c>
      <c r="H860" s="4">
        <v>0</v>
      </c>
      <c r="I860" s="4">
        <v>0</v>
      </c>
      <c r="J860" s="4">
        <v>0</v>
      </c>
      <c r="K860" s="4">
        <v>7798752.0999999996</v>
      </c>
      <c r="L860" s="4" t="s">
        <v>2176</v>
      </c>
      <c r="M860" s="4" t="s">
        <v>2177</v>
      </c>
      <c r="N860" s="4" t="s">
        <v>20</v>
      </c>
      <c r="O860" s="4" t="s">
        <v>1549</v>
      </c>
      <c r="P860" s="4" t="s">
        <v>1549</v>
      </c>
      <c r="Q860" s="4" t="s">
        <v>100</v>
      </c>
      <c r="R860" s="9">
        <f t="shared" si="13"/>
        <v>1.30546677363153E-4</v>
      </c>
    </row>
    <row r="861" spans="1:18" hidden="1" x14ac:dyDescent="0.2">
      <c r="A861" s="4">
        <v>134</v>
      </c>
      <c r="B861" s="2">
        <v>6547231</v>
      </c>
      <c r="C861" s="2">
        <v>0</v>
      </c>
      <c r="D861" s="4" t="s">
        <v>4274</v>
      </c>
      <c r="E861" s="2">
        <v>6547231</v>
      </c>
      <c r="F861" s="2">
        <v>1243973.8899999999</v>
      </c>
      <c r="G861" s="2">
        <v>0</v>
      </c>
      <c r="H861" s="4">
        <v>0</v>
      </c>
      <c r="I861" s="4">
        <v>0</v>
      </c>
      <c r="J861" s="4">
        <v>0</v>
      </c>
      <c r="K861" s="4">
        <v>7791204.8899999997</v>
      </c>
      <c r="L861" s="4" t="s">
        <v>4273</v>
      </c>
      <c r="M861" s="4" t="s">
        <v>3671</v>
      </c>
      <c r="N861" s="4" t="s">
        <v>20</v>
      </c>
      <c r="O861" s="4" t="s">
        <v>257</v>
      </c>
      <c r="P861" s="4" t="s">
        <v>257</v>
      </c>
      <c r="Q861" s="4" t="s">
        <v>100</v>
      </c>
      <c r="R861" s="9">
        <f t="shared" si="13"/>
        <v>1.3042034142278855E-4</v>
      </c>
    </row>
    <row r="862" spans="1:18" hidden="1" x14ac:dyDescent="0.2">
      <c r="A862" s="4">
        <v>591</v>
      </c>
      <c r="B862" s="2">
        <v>6516680</v>
      </c>
      <c r="C862" s="2">
        <v>0</v>
      </c>
      <c r="D862" s="4" t="s">
        <v>1877</v>
      </c>
      <c r="E862" s="2">
        <v>6516680</v>
      </c>
      <c r="F862" s="2">
        <v>1238169.2</v>
      </c>
      <c r="G862" s="2">
        <v>0</v>
      </c>
      <c r="H862" s="4">
        <v>0</v>
      </c>
      <c r="I862" s="4">
        <v>0</v>
      </c>
      <c r="J862" s="4">
        <v>0</v>
      </c>
      <c r="K862" s="4">
        <v>7754849.2000000002</v>
      </c>
      <c r="L862" s="4" t="s">
        <v>1875</v>
      </c>
      <c r="M862" s="4" t="s">
        <v>1876</v>
      </c>
      <c r="N862" s="4" t="s">
        <v>1878</v>
      </c>
      <c r="O862" s="4" t="s">
        <v>382</v>
      </c>
      <c r="P862" s="4" t="s">
        <v>382</v>
      </c>
      <c r="Q862" s="4" t="s">
        <v>100</v>
      </c>
      <c r="R862" s="9">
        <f t="shared" si="13"/>
        <v>1.2981176783636588E-4</v>
      </c>
    </row>
    <row r="863" spans="1:18" hidden="1" x14ac:dyDescent="0.2">
      <c r="A863" s="4">
        <v>138</v>
      </c>
      <c r="B863" s="2">
        <v>6504307</v>
      </c>
      <c r="C863" s="2">
        <v>0</v>
      </c>
      <c r="D863" s="4" t="s">
        <v>1881</v>
      </c>
      <c r="E863" s="2">
        <v>6504307</v>
      </c>
      <c r="F863" s="2">
        <v>1235818.33</v>
      </c>
      <c r="G863" s="2">
        <v>0</v>
      </c>
      <c r="H863" s="4">
        <v>0</v>
      </c>
      <c r="I863" s="4">
        <v>0</v>
      </c>
      <c r="J863" s="4">
        <v>0</v>
      </c>
      <c r="K863" s="4">
        <v>7740125.3300000001</v>
      </c>
      <c r="L863" s="4" t="s">
        <v>1879</v>
      </c>
      <c r="M863" s="4" t="s">
        <v>1880</v>
      </c>
      <c r="N863" s="4" t="s">
        <v>117</v>
      </c>
      <c r="O863" s="4" t="s">
        <v>93</v>
      </c>
      <c r="P863" s="4" t="s">
        <v>93</v>
      </c>
      <c r="Q863" s="4" t="s">
        <v>100</v>
      </c>
      <c r="R863" s="9">
        <f t="shared" si="13"/>
        <v>1.2956529862145287E-4</v>
      </c>
    </row>
    <row r="864" spans="1:18" hidden="1" x14ac:dyDescent="0.2">
      <c r="A864" s="4">
        <v>1801</v>
      </c>
      <c r="B864" s="2">
        <v>6468732</v>
      </c>
      <c r="C864" s="2">
        <v>0</v>
      </c>
      <c r="D864" s="4" t="s">
        <v>3470</v>
      </c>
      <c r="E864" s="2">
        <v>6468732</v>
      </c>
      <c r="F864" s="2">
        <v>1229059.08</v>
      </c>
      <c r="G864" s="2">
        <v>0</v>
      </c>
      <c r="H864" s="4">
        <v>0</v>
      </c>
      <c r="I864" s="4">
        <v>0</v>
      </c>
      <c r="J864" s="4">
        <v>0</v>
      </c>
      <c r="K864" s="4">
        <v>7697791.0800000001</v>
      </c>
      <c r="L864" s="4" t="s">
        <v>3468</v>
      </c>
      <c r="M864" s="4" t="s">
        <v>3469</v>
      </c>
      <c r="N864" s="4" t="s">
        <v>20</v>
      </c>
      <c r="O864" s="4" t="s">
        <v>692</v>
      </c>
      <c r="P864" s="4" t="s">
        <v>692</v>
      </c>
      <c r="Q864" s="4" t="s">
        <v>100</v>
      </c>
      <c r="R864" s="9">
        <f t="shared" si="13"/>
        <v>1.2885664733877845E-4</v>
      </c>
    </row>
    <row r="865" spans="1:18" hidden="1" x14ac:dyDescent="0.2">
      <c r="A865" s="4">
        <v>458</v>
      </c>
      <c r="B865" s="2">
        <v>6429174</v>
      </c>
      <c r="C865" s="2">
        <v>0</v>
      </c>
      <c r="D865" s="4" t="s">
        <v>3148</v>
      </c>
      <c r="E865" s="2">
        <v>6429174</v>
      </c>
      <c r="F865" s="2">
        <v>1221543.06</v>
      </c>
      <c r="G865" s="2">
        <v>83400.67</v>
      </c>
      <c r="H865" s="4">
        <v>0</v>
      </c>
      <c r="I865" s="4">
        <v>0</v>
      </c>
      <c r="J865" s="4">
        <v>83400.67</v>
      </c>
      <c r="K865" s="4">
        <v>7567316.3899999997</v>
      </c>
      <c r="L865" s="4" t="s">
        <v>3146</v>
      </c>
      <c r="M865" s="4" t="s">
        <v>3147</v>
      </c>
      <c r="N865" s="4" t="s">
        <v>427</v>
      </c>
      <c r="O865" s="4" t="s">
        <v>89</v>
      </c>
      <c r="P865" s="4" t="s">
        <v>89</v>
      </c>
      <c r="Q865" s="4" t="s">
        <v>100</v>
      </c>
      <c r="R865" s="9">
        <f t="shared" si="13"/>
        <v>1.2806865500033756E-4</v>
      </c>
    </row>
    <row r="866" spans="1:18" hidden="1" x14ac:dyDescent="0.2">
      <c r="A866" s="4">
        <v>693</v>
      </c>
      <c r="B866" s="2">
        <v>6395536</v>
      </c>
      <c r="C866" s="2">
        <v>0</v>
      </c>
      <c r="D866" s="4" t="s">
        <v>5532</v>
      </c>
      <c r="E866" s="2">
        <v>6395536</v>
      </c>
      <c r="F866" s="2">
        <v>1215151.8400000001</v>
      </c>
      <c r="G866" s="2">
        <v>159888.4</v>
      </c>
      <c r="H866" s="4">
        <v>0</v>
      </c>
      <c r="I866" s="4">
        <v>0</v>
      </c>
      <c r="J866" s="4">
        <v>159888.4</v>
      </c>
      <c r="K866" s="4">
        <v>7450799.4400000004</v>
      </c>
      <c r="L866" s="4" t="s">
        <v>5530</v>
      </c>
      <c r="M866" s="4" t="s">
        <v>5531</v>
      </c>
      <c r="N866" s="4" t="s">
        <v>20</v>
      </c>
      <c r="O866" s="4" t="s">
        <v>71</v>
      </c>
      <c r="P866" s="4" t="s">
        <v>71</v>
      </c>
      <c r="Q866" s="4" t="s">
        <v>100</v>
      </c>
      <c r="R866" s="9">
        <f t="shared" si="13"/>
        <v>1.2739858860970926E-4</v>
      </c>
    </row>
    <row r="867" spans="1:18" hidden="1" x14ac:dyDescent="0.2">
      <c r="A867" s="4">
        <v>1330</v>
      </c>
      <c r="B867" s="2">
        <v>6366629</v>
      </c>
      <c r="C867" s="2">
        <v>0</v>
      </c>
      <c r="D867" s="4" t="s">
        <v>3895</v>
      </c>
      <c r="E867" s="2">
        <v>6366629</v>
      </c>
      <c r="F867" s="2">
        <v>1209659.51</v>
      </c>
      <c r="G867" s="2">
        <v>0</v>
      </c>
      <c r="H867" s="4">
        <v>0</v>
      </c>
      <c r="I867" s="4">
        <v>0</v>
      </c>
      <c r="J867" s="4">
        <v>0</v>
      </c>
      <c r="K867" s="4">
        <v>7576288.5099999998</v>
      </c>
      <c r="L867" s="4" t="s">
        <v>3893</v>
      </c>
      <c r="M867" s="4" t="s">
        <v>3894</v>
      </c>
      <c r="N867" s="4" t="s">
        <v>92</v>
      </c>
      <c r="O867" s="4" t="s">
        <v>93</v>
      </c>
      <c r="P867" s="4" t="s">
        <v>93</v>
      </c>
      <c r="Q867" s="4" t="s">
        <v>100</v>
      </c>
      <c r="R867" s="9">
        <f t="shared" si="13"/>
        <v>1.2682276337771294E-4</v>
      </c>
    </row>
    <row r="868" spans="1:18" hidden="1" x14ac:dyDescent="0.2">
      <c r="A868" s="4">
        <v>1046</v>
      </c>
      <c r="B868" s="2">
        <v>6365675</v>
      </c>
      <c r="C868" s="2">
        <v>0</v>
      </c>
      <c r="D868" s="4" t="s">
        <v>5535</v>
      </c>
      <c r="E868" s="2">
        <v>6365675</v>
      </c>
      <c r="F868" s="2">
        <v>1209478.25</v>
      </c>
      <c r="G868" s="2">
        <v>154446.22</v>
      </c>
      <c r="H868" s="4">
        <v>0</v>
      </c>
      <c r="I868" s="4">
        <v>0</v>
      </c>
      <c r="J868" s="4">
        <v>154446.22</v>
      </c>
      <c r="K868" s="4">
        <v>7420707.0300000003</v>
      </c>
      <c r="L868" s="4" t="s">
        <v>5533</v>
      </c>
      <c r="M868" s="4" t="s">
        <v>5534</v>
      </c>
      <c r="N868" s="4" t="s">
        <v>20</v>
      </c>
      <c r="O868" s="4" t="s">
        <v>76</v>
      </c>
      <c r="P868" s="4" t="s">
        <v>76</v>
      </c>
      <c r="Q868" s="4" t="s">
        <v>100</v>
      </c>
      <c r="R868" s="9">
        <f t="shared" si="13"/>
        <v>1.2680375977058232E-4</v>
      </c>
    </row>
    <row r="869" spans="1:18" hidden="1" x14ac:dyDescent="0.2">
      <c r="A869" s="4">
        <v>1233</v>
      </c>
      <c r="B869" s="2">
        <v>6344264</v>
      </c>
      <c r="C869" s="2">
        <v>0</v>
      </c>
      <c r="D869" s="4" t="s">
        <v>3745</v>
      </c>
      <c r="E869" s="2">
        <v>6344264</v>
      </c>
      <c r="F869" s="2">
        <v>1205410.1599999999</v>
      </c>
      <c r="G869" s="2">
        <v>0</v>
      </c>
      <c r="H869" s="4">
        <v>0</v>
      </c>
      <c r="I869" s="4">
        <v>0</v>
      </c>
      <c r="J869" s="4">
        <v>0</v>
      </c>
      <c r="K869" s="4">
        <v>7549674.1600000001</v>
      </c>
      <c r="L869" s="4" t="s">
        <v>3743</v>
      </c>
      <c r="M869" s="4" t="s">
        <v>3744</v>
      </c>
      <c r="N869" s="4" t="s">
        <v>750</v>
      </c>
      <c r="O869" s="4" t="s">
        <v>76</v>
      </c>
      <c r="P869" s="4" t="s">
        <v>76</v>
      </c>
      <c r="Q869" s="4" t="s">
        <v>585</v>
      </c>
      <c r="R869" s="9">
        <f t="shared" si="13"/>
        <v>1.2637725428601894E-4</v>
      </c>
    </row>
    <row r="870" spans="1:18" hidden="1" x14ac:dyDescent="0.2">
      <c r="A870" s="4">
        <v>219</v>
      </c>
      <c r="B870" s="2">
        <v>6337225</v>
      </c>
      <c r="C870" s="2">
        <v>0</v>
      </c>
      <c r="D870" s="4" t="s">
        <v>5538</v>
      </c>
      <c r="E870" s="2">
        <v>6337225</v>
      </c>
      <c r="F870" s="2">
        <v>1204072.75</v>
      </c>
      <c r="G870" s="2">
        <v>0</v>
      </c>
      <c r="H870" s="4">
        <v>0</v>
      </c>
      <c r="I870" s="4">
        <v>0</v>
      </c>
      <c r="J870" s="4">
        <v>0</v>
      </c>
      <c r="K870" s="4">
        <v>7541297.75</v>
      </c>
      <c r="L870" s="4" t="s">
        <v>5536</v>
      </c>
      <c r="M870" s="4" t="s">
        <v>5537</v>
      </c>
      <c r="N870" s="4" t="s">
        <v>1348</v>
      </c>
      <c r="O870" s="4" t="s">
        <v>747</v>
      </c>
      <c r="P870" s="4" t="s">
        <v>1039</v>
      </c>
      <c r="Q870" s="4" t="s">
        <v>100</v>
      </c>
      <c r="R870" s="9">
        <f t="shared" si="13"/>
        <v>1.2623703794367895E-4</v>
      </c>
    </row>
    <row r="871" spans="1:18" hidden="1" x14ac:dyDescent="0.2">
      <c r="A871" s="4">
        <v>2000</v>
      </c>
      <c r="B871" s="2">
        <v>6333489</v>
      </c>
      <c r="C871" s="2">
        <v>0</v>
      </c>
      <c r="D871" s="4" t="s">
        <v>1766</v>
      </c>
      <c r="E871" s="2">
        <v>6333489</v>
      </c>
      <c r="F871" s="2">
        <v>1203362.9099999999</v>
      </c>
      <c r="G871" s="2">
        <v>0</v>
      </c>
      <c r="H871" s="4">
        <v>0</v>
      </c>
      <c r="I871" s="4">
        <v>0</v>
      </c>
      <c r="J871" s="4">
        <v>0</v>
      </c>
      <c r="K871" s="4">
        <v>7536851.9100000001</v>
      </c>
      <c r="L871" s="4" t="s">
        <v>1764</v>
      </c>
      <c r="M871" s="4" t="s">
        <v>1765</v>
      </c>
      <c r="N871" s="4" t="s">
        <v>186</v>
      </c>
      <c r="O871" s="4" t="s">
        <v>59</v>
      </c>
      <c r="P871" s="4" t="s">
        <v>59</v>
      </c>
      <c r="Q871" s="4" t="s">
        <v>100</v>
      </c>
      <c r="R871" s="9">
        <f t="shared" si="13"/>
        <v>1.2616261710904589E-4</v>
      </c>
    </row>
    <row r="872" spans="1:18" hidden="1" x14ac:dyDescent="0.2">
      <c r="A872" s="4">
        <v>266</v>
      </c>
      <c r="B872" s="2">
        <v>6324392</v>
      </c>
      <c r="C872" s="2">
        <v>7270.47</v>
      </c>
      <c r="D872" s="4" t="s">
        <v>3108</v>
      </c>
      <c r="E872" s="2">
        <v>6317121.5300000003</v>
      </c>
      <c r="F872" s="2">
        <v>1200253.0900000001</v>
      </c>
      <c r="G872" s="2">
        <v>0</v>
      </c>
      <c r="H872" s="4">
        <v>0</v>
      </c>
      <c r="I872" s="4">
        <v>0</v>
      </c>
      <c r="J872" s="4">
        <v>0</v>
      </c>
      <c r="K872" s="4">
        <v>7517374.6200000001</v>
      </c>
      <c r="L872" s="4" t="s">
        <v>3106</v>
      </c>
      <c r="M872" s="4" t="s">
        <v>3107</v>
      </c>
      <c r="N872" s="4" t="s">
        <v>20</v>
      </c>
      <c r="O872" s="4" t="s">
        <v>316</v>
      </c>
      <c r="P872" s="4" t="s">
        <v>316</v>
      </c>
      <c r="Q872" s="4" t="s">
        <v>100</v>
      </c>
      <c r="R872" s="9">
        <f t="shared" si="13"/>
        <v>1.2583657835684253E-4</v>
      </c>
    </row>
    <row r="873" spans="1:18" hidden="1" x14ac:dyDescent="0.2">
      <c r="A873" s="4">
        <v>1211</v>
      </c>
      <c r="B873" s="2">
        <v>6301502</v>
      </c>
      <c r="C873" s="2">
        <v>0</v>
      </c>
      <c r="D873" s="4" t="s">
        <v>3359</v>
      </c>
      <c r="E873" s="2">
        <v>6301502</v>
      </c>
      <c r="F873" s="2">
        <v>1197285.3799999999</v>
      </c>
      <c r="G873" s="2">
        <v>0</v>
      </c>
      <c r="H873" s="4">
        <v>0</v>
      </c>
      <c r="I873" s="4">
        <v>0</v>
      </c>
      <c r="J873" s="4">
        <v>0</v>
      </c>
      <c r="K873" s="4">
        <v>7498787.3799999999</v>
      </c>
      <c r="L873" s="4" t="s">
        <v>3357</v>
      </c>
      <c r="M873" s="4" t="s">
        <v>3358</v>
      </c>
      <c r="N873" s="4" t="s">
        <v>272</v>
      </c>
      <c r="O873" s="4" t="s">
        <v>89</v>
      </c>
      <c r="P873" s="4" t="s">
        <v>89</v>
      </c>
      <c r="Q873" s="4" t="s">
        <v>100</v>
      </c>
      <c r="R873" s="9">
        <f t="shared" si="13"/>
        <v>1.2552543851230923E-4</v>
      </c>
    </row>
    <row r="874" spans="1:18" hidden="1" x14ac:dyDescent="0.2">
      <c r="A874" s="4">
        <v>1275</v>
      </c>
      <c r="B874" s="2">
        <v>6293450</v>
      </c>
      <c r="C874" s="2">
        <v>0</v>
      </c>
      <c r="D874" s="4" t="s">
        <v>2505</v>
      </c>
      <c r="E874" s="2">
        <v>6293450</v>
      </c>
      <c r="F874" s="2">
        <v>1195755.5</v>
      </c>
      <c r="G874" s="2">
        <v>0</v>
      </c>
      <c r="H874" s="4">
        <v>0</v>
      </c>
      <c r="I874" s="4">
        <v>0</v>
      </c>
      <c r="J874" s="4">
        <v>0</v>
      </c>
      <c r="K874" s="4">
        <v>7489205.5</v>
      </c>
      <c r="L874" s="4" t="s">
        <v>2503</v>
      </c>
      <c r="M874" s="4" t="s">
        <v>2504</v>
      </c>
      <c r="N874" s="4" t="s">
        <v>20</v>
      </c>
      <c r="O874" s="4" t="s">
        <v>257</v>
      </c>
      <c r="P874" s="4" t="s">
        <v>257</v>
      </c>
      <c r="Q874" s="4" t="s">
        <v>100</v>
      </c>
      <c r="R874" s="9">
        <f t="shared" si="13"/>
        <v>1.2536504328734523E-4</v>
      </c>
    </row>
    <row r="875" spans="1:18" hidden="1" x14ac:dyDescent="0.2">
      <c r="A875" s="4">
        <v>328</v>
      </c>
      <c r="B875" s="2">
        <v>6284880</v>
      </c>
      <c r="C875" s="2">
        <v>0</v>
      </c>
      <c r="D875" s="4" t="s">
        <v>2789</v>
      </c>
      <c r="E875" s="2">
        <v>6284880</v>
      </c>
      <c r="F875" s="2">
        <v>1194127.2</v>
      </c>
      <c r="G875" s="2">
        <v>107045.75</v>
      </c>
      <c r="H875" s="4">
        <v>0</v>
      </c>
      <c r="I875" s="4">
        <v>0</v>
      </c>
      <c r="J875" s="4">
        <v>107045.75</v>
      </c>
      <c r="K875" s="4">
        <v>7371961.4500000002</v>
      </c>
      <c r="L875" s="4" t="s">
        <v>2787</v>
      </c>
      <c r="M875" s="4" t="s">
        <v>2788</v>
      </c>
      <c r="N875" s="4" t="s">
        <v>20</v>
      </c>
      <c r="O875" s="4" t="s">
        <v>76</v>
      </c>
      <c r="P875" s="4" t="s">
        <v>76</v>
      </c>
      <c r="Q875" s="4" t="s">
        <v>408</v>
      </c>
      <c r="R875" s="9">
        <f t="shared" si="13"/>
        <v>1.2519432954194763E-4</v>
      </c>
    </row>
    <row r="876" spans="1:18" hidden="1" x14ac:dyDescent="0.2">
      <c r="A876" s="4">
        <v>429</v>
      </c>
      <c r="B876" s="2">
        <v>6263264</v>
      </c>
      <c r="C876" s="2">
        <v>0</v>
      </c>
      <c r="D876" s="4" t="s">
        <v>3234</v>
      </c>
      <c r="E876" s="2">
        <v>6263264</v>
      </c>
      <c r="F876" s="2">
        <v>1190020.1599999999</v>
      </c>
      <c r="G876" s="2">
        <v>133399.4</v>
      </c>
      <c r="H876" s="4">
        <v>178503.03</v>
      </c>
      <c r="I876" s="4">
        <v>0</v>
      </c>
      <c r="J876" s="4">
        <v>311902.43</v>
      </c>
      <c r="K876" s="4">
        <v>7141381.7300000004</v>
      </c>
      <c r="L876" s="4" t="s">
        <v>3233</v>
      </c>
      <c r="M876" s="4" t="s">
        <v>137</v>
      </c>
      <c r="N876" s="4" t="s">
        <v>464</v>
      </c>
      <c r="O876" s="4" t="s">
        <v>105</v>
      </c>
      <c r="P876" s="4" t="s">
        <v>105</v>
      </c>
      <c r="Q876" s="4" t="s">
        <v>22</v>
      </c>
      <c r="R876" s="9">
        <f t="shared" si="13"/>
        <v>1.2476374047304278E-4</v>
      </c>
    </row>
    <row r="877" spans="1:18" hidden="1" x14ac:dyDescent="0.2">
      <c r="A877" s="4">
        <v>1673</v>
      </c>
      <c r="B877" s="2">
        <v>6253228</v>
      </c>
      <c r="C877" s="2">
        <v>0</v>
      </c>
      <c r="D877" s="4" t="s">
        <v>1214</v>
      </c>
      <c r="E877" s="2">
        <v>6253228</v>
      </c>
      <c r="F877" s="2">
        <v>1188113.32</v>
      </c>
      <c r="G877" s="2">
        <v>0</v>
      </c>
      <c r="H877" s="4">
        <v>0</v>
      </c>
      <c r="I877" s="4">
        <v>0</v>
      </c>
      <c r="J877" s="4">
        <v>0</v>
      </c>
      <c r="K877" s="4">
        <v>7441341.3200000003</v>
      </c>
      <c r="L877" s="4" t="s">
        <v>1212</v>
      </c>
      <c r="M877" s="4" t="s">
        <v>1213</v>
      </c>
      <c r="N877" s="4" t="s">
        <v>20</v>
      </c>
      <c r="O877" s="4" t="s">
        <v>768</v>
      </c>
      <c r="P877" s="4" t="s">
        <v>768</v>
      </c>
      <c r="Q877" s="4" t="s">
        <v>100</v>
      </c>
      <c r="R877" s="9">
        <f t="shared" si="13"/>
        <v>1.2456382411962265E-4</v>
      </c>
    </row>
    <row r="878" spans="1:18" hidden="1" x14ac:dyDescent="0.2">
      <c r="A878" s="4">
        <v>1757</v>
      </c>
      <c r="B878" s="2">
        <v>6252604</v>
      </c>
      <c r="C878" s="2">
        <v>0</v>
      </c>
      <c r="D878" s="4" t="s">
        <v>5541</v>
      </c>
      <c r="E878" s="2">
        <v>6252604</v>
      </c>
      <c r="F878" s="2">
        <v>0</v>
      </c>
      <c r="G878" s="2">
        <v>0</v>
      </c>
      <c r="H878" s="4">
        <v>0</v>
      </c>
      <c r="I878" s="4">
        <v>0</v>
      </c>
      <c r="J878" s="4">
        <v>0</v>
      </c>
      <c r="K878" s="4">
        <v>6252604</v>
      </c>
      <c r="L878" s="4" t="s">
        <v>5539</v>
      </c>
      <c r="M878" s="4" t="s">
        <v>5540</v>
      </c>
      <c r="N878" s="4" t="s">
        <v>205</v>
      </c>
      <c r="O878" s="4" t="s">
        <v>206</v>
      </c>
      <c r="P878" s="4" t="s">
        <v>206</v>
      </c>
      <c r="Q878" s="4" t="s">
        <v>100</v>
      </c>
      <c r="R878" s="9">
        <f t="shared" si="13"/>
        <v>1.2455139408728565E-4</v>
      </c>
    </row>
    <row r="879" spans="1:18" hidden="1" x14ac:dyDescent="0.2">
      <c r="A879" s="4">
        <v>1896</v>
      </c>
      <c r="B879" s="2">
        <v>6235348</v>
      </c>
      <c r="C879" s="2">
        <v>0</v>
      </c>
      <c r="D879" s="4" t="s">
        <v>3693</v>
      </c>
      <c r="E879" s="2">
        <v>6235348</v>
      </c>
      <c r="F879" s="2">
        <v>1184716.1200000001</v>
      </c>
      <c r="G879" s="2">
        <v>79924.3</v>
      </c>
      <c r="H879" s="4">
        <v>0</v>
      </c>
      <c r="I879" s="4">
        <v>0</v>
      </c>
      <c r="J879" s="4">
        <v>79924.3</v>
      </c>
      <c r="K879" s="4">
        <v>7340139.8200000003</v>
      </c>
      <c r="L879" s="4" t="s">
        <v>3691</v>
      </c>
      <c r="M879" s="4" t="s">
        <v>3692</v>
      </c>
      <c r="N879" s="4" t="s">
        <v>46</v>
      </c>
      <c r="O879" s="4" t="s">
        <v>27</v>
      </c>
      <c r="P879" s="4" t="s">
        <v>27</v>
      </c>
      <c r="Q879" s="4" t="s">
        <v>100</v>
      </c>
      <c r="R879" s="9">
        <f t="shared" si="13"/>
        <v>1.2420765588535087E-4</v>
      </c>
    </row>
    <row r="880" spans="1:18" hidden="1" x14ac:dyDescent="0.2">
      <c r="A880" s="4">
        <v>553</v>
      </c>
      <c r="B880" s="2">
        <v>6200740</v>
      </c>
      <c r="C880" s="2">
        <v>0</v>
      </c>
      <c r="D880" s="4" t="s">
        <v>1868</v>
      </c>
      <c r="E880" s="2">
        <v>6200740</v>
      </c>
      <c r="F880" s="2">
        <v>1178140.6000000001</v>
      </c>
      <c r="G880" s="2">
        <v>59199.68</v>
      </c>
      <c r="H880" s="4">
        <v>0</v>
      </c>
      <c r="I880" s="4">
        <v>0</v>
      </c>
      <c r="J880" s="4">
        <v>59199.68</v>
      </c>
      <c r="K880" s="4">
        <v>7319680.9199999999</v>
      </c>
      <c r="L880" s="4" t="s">
        <v>1866</v>
      </c>
      <c r="M880" s="4" t="s">
        <v>1867</v>
      </c>
      <c r="N880" s="4" t="s">
        <v>20</v>
      </c>
      <c r="O880" s="4" t="s">
        <v>71</v>
      </c>
      <c r="P880" s="4" t="s">
        <v>71</v>
      </c>
      <c r="Q880" s="4" t="s">
        <v>100</v>
      </c>
      <c r="R880" s="9">
        <f t="shared" si="13"/>
        <v>1.235182671688141E-4</v>
      </c>
    </row>
    <row r="881" spans="1:18" hidden="1" x14ac:dyDescent="0.2">
      <c r="A881" s="4">
        <v>1120</v>
      </c>
      <c r="B881" s="2">
        <v>6192012</v>
      </c>
      <c r="C881" s="2">
        <v>0</v>
      </c>
      <c r="D881" s="4" t="s">
        <v>2650</v>
      </c>
      <c r="E881" s="2">
        <v>6192012</v>
      </c>
      <c r="F881" s="2">
        <v>1176482.28</v>
      </c>
      <c r="G881" s="2">
        <v>0</v>
      </c>
      <c r="H881" s="4">
        <v>0</v>
      </c>
      <c r="I881" s="4">
        <v>0</v>
      </c>
      <c r="J881" s="4">
        <v>0</v>
      </c>
      <c r="K881" s="4">
        <v>7368494.2800000003</v>
      </c>
      <c r="L881" s="4" t="s">
        <v>2648</v>
      </c>
      <c r="M881" s="4" t="s">
        <v>2649</v>
      </c>
      <c r="N881" s="4" t="s">
        <v>20</v>
      </c>
      <c r="O881" s="4" t="s">
        <v>372</v>
      </c>
      <c r="P881" s="4" t="s">
        <v>372</v>
      </c>
      <c r="Q881" s="4" t="s">
        <v>100</v>
      </c>
      <c r="R881" s="9">
        <f t="shared" si="13"/>
        <v>1.2334440607548501E-4</v>
      </c>
    </row>
    <row r="882" spans="1:18" hidden="1" x14ac:dyDescent="0.2">
      <c r="A882" s="4">
        <v>251</v>
      </c>
      <c r="B882" s="2">
        <v>6367188</v>
      </c>
      <c r="C882" s="2">
        <v>191015.64</v>
      </c>
      <c r="D882" s="4" t="s">
        <v>2376</v>
      </c>
      <c r="E882" s="2">
        <v>6176172.3600000003</v>
      </c>
      <c r="F882" s="2">
        <v>1173472.75</v>
      </c>
      <c r="G882" s="2">
        <v>0</v>
      </c>
      <c r="H882" s="4">
        <v>0</v>
      </c>
      <c r="I882" s="4">
        <v>0</v>
      </c>
      <c r="J882" s="4">
        <v>0</v>
      </c>
      <c r="K882" s="4">
        <v>7349645.1100000003</v>
      </c>
      <c r="L882" s="4" t="s">
        <v>2374</v>
      </c>
      <c r="M882" s="4" t="s">
        <v>2375</v>
      </c>
      <c r="N882" s="4" t="s">
        <v>2377</v>
      </c>
      <c r="O882" s="4" t="s">
        <v>229</v>
      </c>
      <c r="P882" s="4" t="s">
        <v>229</v>
      </c>
      <c r="Q882" s="4" t="s">
        <v>100</v>
      </c>
      <c r="R882" s="9">
        <f t="shared" si="13"/>
        <v>1.2302888165656439E-4</v>
      </c>
    </row>
    <row r="883" spans="1:18" hidden="1" x14ac:dyDescent="0.2">
      <c r="A883" s="4">
        <v>755</v>
      </c>
      <c r="B883" s="2">
        <v>6243795</v>
      </c>
      <c r="C883" s="2">
        <v>67713.3</v>
      </c>
      <c r="D883" s="4" t="s">
        <v>4569</v>
      </c>
      <c r="E883" s="2">
        <v>6176081.7000000002</v>
      </c>
      <c r="F883" s="2">
        <v>1173455.52</v>
      </c>
      <c r="G883" s="2">
        <v>154402.04999999999</v>
      </c>
      <c r="H883" s="4">
        <v>0</v>
      </c>
      <c r="I883" s="4">
        <v>0</v>
      </c>
      <c r="J883" s="4">
        <v>154402.04999999999</v>
      </c>
      <c r="K883" s="4">
        <v>7195135.1699999999</v>
      </c>
      <c r="L883" s="4" t="s">
        <v>4568</v>
      </c>
      <c r="M883" s="4" t="s">
        <v>1155</v>
      </c>
      <c r="N883" s="4" t="s">
        <v>20</v>
      </c>
      <c r="O883" s="4" t="s">
        <v>1157</v>
      </c>
      <c r="P883" s="4" t="s">
        <v>1157</v>
      </c>
      <c r="Q883" s="4" t="s">
        <v>28</v>
      </c>
      <c r="R883" s="9">
        <f t="shared" si="13"/>
        <v>1.2302707571628928E-4</v>
      </c>
    </row>
    <row r="884" spans="1:18" hidden="1" x14ac:dyDescent="0.2">
      <c r="A884" s="4">
        <v>639</v>
      </c>
      <c r="B884" s="2">
        <v>6157996</v>
      </c>
      <c r="C884" s="2">
        <v>0</v>
      </c>
      <c r="D884" s="4" t="s">
        <v>3414</v>
      </c>
      <c r="E884" s="2">
        <v>6157996</v>
      </c>
      <c r="F884" s="2">
        <v>1170019.24</v>
      </c>
      <c r="G884" s="2">
        <v>89285.65</v>
      </c>
      <c r="H884" s="4">
        <v>0</v>
      </c>
      <c r="I884" s="4">
        <v>0</v>
      </c>
      <c r="J884" s="4">
        <v>89285.65</v>
      </c>
      <c r="K884" s="4">
        <v>7238729.5899999999</v>
      </c>
      <c r="L884" s="4" t="s">
        <v>3412</v>
      </c>
      <c r="M884" s="4" t="s">
        <v>3413</v>
      </c>
      <c r="N884" s="4" t="s">
        <v>32</v>
      </c>
      <c r="O884" s="4" t="s">
        <v>33</v>
      </c>
      <c r="P884" s="4" t="s">
        <v>33</v>
      </c>
      <c r="Q884" s="4" t="s">
        <v>100</v>
      </c>
      <c r="R884" s="9">
        <f t="shared" si="13"/>
        <v>1.2266680995372947E-4</v>
      </c>
    </row>
    <row r="885" spans="1:18" hidden="1" x14ac:dyDescent="0.2">
      <c r="A885" s="4">
        <v>1049</v>
      </c>
      <c r="B885" s="2">
        <v>6172032</v>
      </c>
      <c r="C885" s="2">
        <v>30860.16</v>
      </c>
      <c r="D885" s="4" t="s">
        <v>2899</v>
      </c>
      <c r="E885" s="2">
        <v>6141171.8399999999</v>
      </c>
      <c r="F885" s="2">
        <v>1166822.6499999999</v>
      </c>
      <c r="G885" s="2">
        <v>70721.2</v>
      </c>
      <c r="H885" s="4">
        <v>0</v>
      </c>
      <c r="I885" s="4">
        <v>0</v>
      </c>
      <c r="J885" s="4">
        <v>70721.2</v>
      </c>
      <c r="K885" s="4">
        <v>7237273.29</v>
      </c>
      <c r="L885" s="4" t="s">
        <v>2897</v>
      </c>
      <c r="M885" s="4" t="s">
        <v>2898</v>
      </c>
      <c r="N885" s="4" t="s">
        <v>20</v>
      </c>
      <c r="O885" s="4" t="s">
        <v>257</v>
      </c>
      <c r="P885" s="4" t="s">
        <v>257</v>
      </c>
      <c r="Q885" s="4" t="s">
        <v>100</v>
      </c>
      <c r="R885" s="9">
        <f t="shared" si="13"/>
        <v>1.2233167397160944E-4</v>
      </c>
    </row>
    <row r="886" spans="1:18" hidden="1" x14ac:dyDescent="0.2">
      <c r="A886" s="4">
        <v>795</v>
      </c>
      <c r="B886" s="2">
        <v>6131160</v>
      </c>
      <c r="C886" s="2">
        <v>0</v>
      </c>
      <c r="D886" s="4" t="s">
        <v>5544</v>
      </c>
      <c r="E886" s="2">
        <v>6131160</v>
      </c>
      <c r="F886" s="2">
        <v>1164920.3999999999</v>
      </c>
      <c r="G886" s="2">
        <v>153279</v>
      </c>
      <c r="H886" s="4">
        <v>0</v>
      </c>
      <c r="I886" s="4">
        <v>0</v>
      </c>
      <c r="J886" s="4">
        <v>153279</v>
      </c>
      <c r="K886" s="4">
        <v>7142801.4000000004</v>
      </c>
      <c r="L886" s="4" t="s">
        <v>5542</v>
      </c>
      <c r="M886" s="4" t="s">
        <v>5543</v>
      </c>
      <c r="N886" s="4" t="s">
        <v>20</v>
      </c>
      <c r="O886" s="4" t="s">
        <v>76</v>
      </c>
      <c r="P886" s="4" t="s">
        <v>76</v>
      </c>
      <c r="Q886" s="4" t="s">
        <v>585</v>
      </c>
      <c r="R886" s="9">
        <f t="shared" si="13"/>
        <v>1.2213223888354394E-4</v>
      </c>
    </row>
    <row r="887" spans="1:18" hidden="1" x14ac:dyDescent="0.2">
      <c r="A887" s="4">
        <v>1994</v>
      </c>
      <c r="B887" s="2">
        <v>6123493</v>
      </c>
      <c r="C887" s="2">
        <v>0</v>
      </c>
      <c r="D887" s="4" t="s">
        <v>3041</v>
      </c>
      <c r="E887" s="2">
        <v>6123493</v>
      </c>
      <c r="F887" s="2">
        <v>1163463.67</v>
      </c>
      <c r="G887" s="2">
        <v>102821.2</v>
      </c>
      <c r="H887" s="4">
        <v>0</v>
      </c>
      <c r="I887" s="4">
        <v>0</v>
      </c>
      <c r="J887" s="4">
        <v>102821.2</v>
      </c>
      <c r="K887" s="4">
        <v>7184135.4699999997</v>
      </c>
      <c r="L887" s="4" t="s">
        <v>3039</v>
      </c>
      <c r="M887" s="4" t="s">
        <v>3040</v>
      </c>
      <c r="N887" s="4" t="s">
        <v>468</v>
      </c>
      <c r="O887" s="4" t="s">
        <v>105</v>
      </c>
      <c r="P887" s="4" t="s">
        <v>105</v>
      </c>
      <c r="Q887" s="4" t="s">
        <v>100</v>
      </c>
      <c r="R887" s="9">
        <f t="shared" si="13"/>
        <v>1.2197951282917247E-4</v>
      </c>
    </row>
    <row r="888" spans="1:18" hidden="1" x14ac:dyDescent="0.2">
      <c r="A888" s="4">
        <v>180</v>
      </c>
      <c r="B888" s="2">
        <v>6099575</v>
      </c>
      <c r="C888" s="2">
        <v>0</v>
      </c>
      <c r="D888" s="4" t="s">
        <v>3345</v>
      </c>
      <c r="E888" s="2">
        <v>6099575</v>
      </c>
      <c r="F888" s="2">
        <v>1158919.25</v>
      </c>
      <c r="G888" s="2">
        <v>0</v>
      </c>
      <c r="H888" s="4">
        <v>0</v>
      </c>
      <c r="I888" s="4">
        <v>0</v>
      </c>
      <c r="J888" s="4">
        <v>0</v>
      </c>
      <c r="K888" s="4">
        <v>7258494.25</v>
      </c>
      <c r="L888" s="4" t="s">
        <v>3343</v>
      </c>
      <c r="M888" s="4" t="s">
        <v>3344</v>
      </c>
      <c r="N888" s="4" t="s">
        <v>142</v>
      </c>
      <c r="O888" s="4" t="s">
        <v>340</v>
      </c>
      <c r="P888" s="4" t="s">
        <v>340</v>
      </c>
      <c r="Q888" s="4" t="s">
        <v>100</v>
      </c>
      <c r="R888" s="9">
        <f t="shared" si="13"/>
        <v>1.215030680961013E-4</v>
      </c>
    </row>
    <row r="889" spans="1:18" hidden="1" x14ac:dyDescent="0.2">
      <c r="A889" s="4">
        <v>1319</v>
      </c>
      <c r="B889" s="2">
        <v>6071482</v>
      </c>
      <c r="C889" s="2">
        <v>0</v>
      </c>
      <c r="D889" s="4" t="s">
        <v>3503</v>
      </c>
      <c r="E889" s="2">
        <v>6071482</v>
      </c>
      <c r="F889" s="2">
        <v>1153581.58</v>
      </c>
      <c r="G889" s="2">
        <v>123489.85</v>
      </c>
      <c r="H889" s="4">
        <v>0</v>
      </c>
      <c r="I889" s="4">
        <v>0</v>
      </c>
      <c r="J889" s="4">
        <v>123489.85</v>
      </c>
      <c r="K889" s="4">
        <v>7101573.7300000004</v>
      </c>
      <c r="L889" s="4" t="s">
        <v>3501</v>
      </c>
      <c r="M889" s="4" t="s">
        <v>3502</v>
      </c>
      <c r="N889" s="4" t="s">
        <v>20</v>
      </c>
      <c r="O889" s="4" t="s">
        <v>76</v>
      </c>
      <c r="P889" s="4" t="s">
        <v>76</v>
      </c>
      <c r="Q889" s="4" t="s">
        <v>585</v>
      </c>
      <c r="R889" s="9">
        <f t="shared" si="13"/>
        <v>1.209434576819292E-4</v>
      </c>
    </row>
    <row r="890" spans="1:18" hidden="1" x14ac:dyDescent="0.2">
      <c r="A890" s="4">
        <v>1609</v>
      </c>
      <c r="B890" s="2">
        <v>6068591</v>
      </c>
      <c r="C890" s="2">
        <v>0</v>
      </c>
      <c r="D890" s="4" t="s">
        <v>3192</v>
      </c>
      <c r="E890" s="2">
        <v>6068591</v>
      </c>
      <c r="F890" s="2">
        <v>1153032.29</v>
      </c>
      <c r="G890" s="2">
        <v>151714.78</v>
      </c>
      <c r="H890" s="4">
        <v>0</v>
      </c>
      <c r="I890" s="4">
        <v>0</v>
      </c>
      <c r="J890" s="4">
        <v>151714.78</v>
      </c>
      <c r="K890" s="4">
        <v>7069908.5099999998</v>
      </c>
      <c r="L890" s="4" t="s">
        <v>3190</v>
      </c>
      <c r="M890" s="4" t="s">
        <v>3191</v>
      </c>
      <c r="N890" s="4" t="s">
        <v>142</v>
      </c>
      <c r="O890" s="4" t="s">
        <v>386</v>
      </c>
      <c r="P890" s="4" t="s">
        <v>386</v>
      </c>
      <c r="Q890" s="4" t="s">
        <v>585</v>
      </c>
      <c r="R890" s="9">
        <f t="shared" si="13"/>
        <v>1.208858691827525E-4</v>
      </c>
    </row>
    <row r="891" spans="1:18" hidden="1" x14ac:dyDescent="0.2">
      <c r="A891" s="4">
        <v>906</v>
      </c>
      <c r="B891" s="2">
        <v>6063330</v>
      </c>
      <c r="C891" s="2">
        <v>0</v>
      </c>
      <c r="D891" s="4" t="s">
        <v>3811</v>
      </c>
      <c r="E891" s="2">
        <v>6063330</v>
      </c>
      <c r="F891" s="2">
        <v>1152032.7</v>
      </c>
      <c r="G891" s="2">
        <v>39462</v>
      </c>
      <c r="H891" s="4">
        <v>0</v>
      </c>
      <c r="I891" s="4">
        <v>0</v>
      </c>
      <c r="J891" s="4">
        <v>39462</v>
      </c>
      <c r="K891" s="4">
        <v>7175900.7000000002</v>
      </c>
      <c r="L891" s="4" t="s">
        <v>3809</v>
      </c>
      <c r="M891" s="4" t="s">
        <v>3810</v>
      </c>
      <c r="N891" s="4" t="s">
        <v>20</v>
      </c>
      <c r="O891" s="4" t="s">
        <v>257</v>
      </c>
      <c r="P891" s="4" t="s">
        <v>257</v>
      </c>
      <c r="Q891" s="4" t="s">
        <v>100</v>
      </c>
      <c r="R891" s="9">
        <f t="shared" si="13"/>
        <v>1.2078107046460351E-4</v>
      </c>
    </row>
    <row r="892" spans="1:18" hidden="1" x14ac:dyDescent="0.2">
      <c r="A892" s="4">
        <v>1573</v>
      </c>
      <c r="B892" s="2">
        <v>6047255</v>
      </c>
      <c r="C892" s="2">
        <v>0</v>
      </c>
      <c r="D892" s="4" t="s">
        <v>2619</v>
      </c>
      <c r="E892" s="2">
        <v>6047255</v>
      </c>
      <c r="F892" s="2">
        <v>1148978.45</v>
      </c>
      <c r="G892" s="2">
        <v>0</v>
      </c>
      <c r="H892" s="4">
        <v>0</v>
      </c>
      <c r="I892" s="4">
        <v>0</v>
      </c>
      <c r="J892" s="4">
        <v>0</v>
      </c>
      <c r="K892" s="4">
        <v>7196233.4500000002</v>
      </c>
      <c r="L892" s="4" t="s">
        <v>2617</v>
      </c>
      <c r="M892" s="4" t="s">
        <v>2618</v>
      </c>
      <c r="N892" s="4" t="s">
        <v>272</v>
      </c>
      <c r="O892" s="4" t="s">
        <v>89</v>
      </c>
      <c r="P892" s="4" t="s">
        <v>89</v>
      </c>
      <c r="Q892" s="4" t="s">
        <v>100</v>
      </c>
      <c r="R892" s="9">
        <f t="shared" si="13"/>
        <v>1.204608576924604E-4</v>
      </c>
    </row>
    <row r="893" spans="1:18" hidden="1" x14ac:dyDescent="0.2">
      <c r="A893" s="4">
        <v>957</v>
      </c>
      <c r="B893" s="2">
        <v>6033612</v>
      </c>
      <c r="C893" s="2">
        <v>0</v>
      </c>
      <c r="D893" s="4" t="s">
        <v>2949</v>
      </c>
      <c r="E893" s="2">
        <v>6033612</v>
      </c>
      <c r="F893" s="2">
        <v>1146386.28</v>
      </c>
      <c r="G893" s="2">
        <v>0</v>
      </c>
      <c r="H893" s="4">
        <v>0</v>
      </c>
      <c r="I893" s="4">
        <v>0</v>
      </c>
      <c r="J893" s="4">
        <v>0</v>
      </c>
      <c r="K893" s="4">
        <v>7179998.2800000003</v>
      </c>
      <c r="L893" s="4" t="s">
        <v>2947</v>
      </c>
      <c r="M893" s="4" t="s">
        <v>2948</v>
      </c>
      <c r="N893" s="4" t="s">
        <v>20</v>
      </c>
      <c r="O893" s="4" t="s">
        <v>316</v>
      </c>
      <c r="P893" s="4" t="s">
        <v>316</v>
      </c>
      <c r="Q893" s="4" t="s">
        <v>100</v>
      </c>
      <c r="R893" s="9">
        <f t="shared" si="13"/>
        <v>1.201890901745538E-4</v>
      </c>
    </row>
    <row r="894" spans="1:18" hidden="1" x14ac:dyDescent="0.2">
      <c r="A894" s="4">
        <v>1942</v>
      </c>
      <c r="B894" s="2">
        <v>5981286</v>
      </c>
      <c r="C894" s="2">
        <v>0</v>
      </c>
      <c r="D894" s="4" t="s">
        <v>4377</v>
      </c>
      <c r="E894" s="2">
        <v>5981286</v>
      </c>
      <c r="F894" s="2">
        <v>1136444.3400000001</v>
      </c>
      <c r="G894" s="2">
        <v>149532.15</v>
      </c>
      <c r="H894" s="4">
        <v>0</v>
      </c>
      <c r="I894" s="4">
        <v>0</v>
      </c>
      <c r="J894" s="4">
        <v>149532.15</v>
      </c>
      <c r="K894" s="4">
        <v>6968198.1900000004</v>
      </c>
      <c r="L894" s="4" t="s">
        <v>4375</v>
      </c>
      <c r="M894" s="4" t="s">
        <v>4376</v>
      </c>
      <c r="N894" s="4" t="s">
        <v>3630</v>
      </c>
      <c r="O894" s="4" t="s">
        <v>27</v>
      </c>
      <c r="P894" s="4" t="s">
        <v>27</v>
      </c>
      <c r="Q894" s="4" t="s">
        <v>100</v>
      </c>
      <c r="R894" s="9">
        <f t="shared" si="13"/>
        <v>1.1914676025137119E-4</v>
      </c>
    </row>
    <row r="895" spans="1:18" hidden="1" x14ac:dyDescent="0.2">
      <c r="A895" s="4">
        <v>852</v>
      </c>
      <c r="B895" s="2">
        <v>5940206</v>
      </c>
      <c r="C895" s="2">
        <v>0</v>
      </c>
      <c r="D895" s="4" t="s">
        <v>3623</v>
      </c>
      <c r="E895" s="2">
        <v>5940206</v>
      </c>
      <c r="F895" s="2">
        <v>1128639.1399999999</v>
      </c>
      <c r="G895" s="2">
        <v>0</v>
      </c>
      <c r="H895" s="4">
        <v>0</v>
      </c>
      <c r="I895" s="4">
        <v>0</v>
      </c>
      <c r="J895" s="4">
        <v>0</v>
      </c>
      <c r="K895" s="4">
        <v>7068845.1399999997</v>
      </c>
      <c r="L895" s="4" t="s">
        <v>3621</v>
      </c>
      <c r="M895" s="4" t="s">
        <v>3622</v>
      </c>
      <c r="N895" s="4" t="s">
        <v>20</v>
      </c>
      <c r="O895" s="4" t="s">
        <v>1356</v>
      </c>
      <c r="P895" s="4" t="s">
        <v>1356</v>
      </c>
      <c r="Q895" s="4" t="s">
        <v>100</v>
      </c>
      <c r="R895" s="9">
        <f t="shared" si="13"/>
        <v>1.1832844978918524E-4</v>
      </c>
    </row>
    <row r="896" spans="1:18" hidden="1" x14ac:dyDescent="0.2">
      <c r="A896" s="4">
        <v>774</v>
      </c>
      <c r="B896" s="2">
        <v>5952840</v>
      </c>
      <c r="C896" s="2">
        <v>16658.490000000002</v>
      </c>
      <c r="D896" s="4" t="s">
        <v>3491</v>
      </c>
      <c r="E896" s="2">
        <v>5936181.5099999998</v>
      </c>
      <c r="F896" s="2">
        <v>1127874.49</v>
      </c>
      <c r="G896" s="2">
        <v>0</v>
      </c>
      <c r="H896" s="4">
        <v>0</v>
      </c>
      <c r="I896" s="4">
        <v>0</v>
      </c>
      <c r="J896" s="4">
        <v>0</v>
      </c>
      <c r="K896" s="4">
        <v>7064056</v>
      </c>
      <c r="L896" s="4" t="s">
        <v>3489</v>
      </c>
      <c r="M896" s="4" t="s">
        <v>3490</v>
      </c>
      <c r="N896" s="4" t="s">
        <v>20</v>
      </c>
      <c r="O896" s="4" t="s">
        <v>316</v>
      </c>
      <c r="P896" s="4" t="s">
        <v>316</v>
      </c>
      <c r="Q896" s="4" t="s">
        <v>100</v>
      </c>
      <c r="R896" s="9">
        <f t="shared" si="13"/>
        <v>1.182482822557879E-4</v>
      </c>
    </row>
    <row r="897" spans="1:18" hidden="1" x14ac:dyDescent="0.2">
      <c r="A897" s="4">
        <v>451</v>
      </c>
      <c r="B897" s="2">
        <v>5895230</v>
      </c>
      <c r="C897" s="2">
        <v>0</v>
      </c>
      <c r="D897" s="4" t="s">
        <v>4089</v>
      </c>
      <c r="E897" s="2">
        <v>5895230</v>
      </c>
      <c r="F897" s="2">
        <v>1120093.7</v>
      </c>
      <c r="G897" s="2">
        <v>0</v>
      </c>
      <c r="H897" s="4">
        <v>0</v>
      </c>
      <c r="I897" s="4">
        <v>0</v>
      </c>
      <c r="J897" s="4">
        <v>0</v>
      </c>
      <c r="K897" s="4">
        <v>7015323.7000000002</v>
      </c>
      <c r="L897" s="4" t="s">
        <v>4087</v>
      </c>
      <c r="M897" s="4" t="s">
        <v>4088</v>
      </c>
      <c r="N897" s="4" t="s">
        <v>1421</v>
      </c>
      <c r="O897" s="4" t="s">
        <v>340</v>
      </c>
      <c r="P897" s="4" t="s">
        <v>340</v>
      </c>
      <c r="Q897" s="4" t="s">
        <v>100</v>
      </c>
      <c r="R897" s="9">
        <f t="shared" si="13"/>
        <v>1.1743253130458751E-4</v>
      </c>
    </row>
    <row r="898" spans="1:18" hidden="1" x14ac:dyDescent="0.2">
      <c r="A898" s="4">
        <v>1767</v>
      </c>
      <c r="B898" s="2">
        <v>5889611</v>
      </c>
      <c r="C898" s="2">
        <v>0</v>
      </c>
      <c r="D898" s="4" t="s">
        <v>3029</v>
      </c>
      <c r="E898" s="2">
        <v>5889611</v>
      </c>
      <c r="F898" s="2">
        <v>1119026.0900000001</v>
      </c>
      <c r="G898" s="2">
        <v>147240.28</v>
      </c>
      <c r="H898" s="4">
        <v>0</v>
      </c>
      <c r="I898" s="4">
        <v>0</v>
      </c>
      <c r="J898" s="4">
        <v>147240.28</v>
      </c>
      <c r="K898" s="4">
        <v>6861396.8099999996</v>
      </c>
      <c r="L898" s="4" t="s">
        <v>3028</v>
      </c>
      <c r="M898" s="4" t="s">
        <v>1600</v>
      </c>
      <c r="N898" s="4" t="s">
        <v>1161</v>
      </c>
      <c r="O898" s="4" t="s">
        <v>113</v>
      </c>
      <c r="P898" s="4" t="s">
        <v>113</v>
      </c>
      <c r="Q898" s="4" t="s">
        <v>100</v>
      </c>
      <c r="R898" s="9">
        <f t="shared" si="13"/>
        <v>1.1732060125378364E-4</v>
      </c>
    </row>
    <row r="899" spans="1:18" hidden="1" x14ac:dyDescent="0.2">
      <c r="A899" s="4">
        <v>1909</v>
      </c>
      <c r="B899" s="2">
        <v>5841450</v>
      </c>
      <c r="C899" s="2">
        <v>0</v>
      </c>
      <c r="D899" s="4" t="s">
        <v>3837</v>
      </c>
      <c r="E899" s="2">
        <v>5841450</v>
      </c>
      <c r="F899" s="2">
        <v>1109875.5</v>
      </c>
      <c r="G899" s="2">
        <v>146036.25</v>
      </c>
      <c r="H899" s="4">
        <v>0</v>
      </c>
      <c r="I899" s="4">
        <v>0</v>
      </c>
      <c r="J899" s="4">
        <v>146036.25</v>
      </c>
      <c r="K899" s="4">
        <v>6805289.25</v>
      </c>
      <c r="L899" s="4" t="s">
        <v>3835</v>
      </c>
      <c r="M899" s="4" t="s">
        <v>3836</v>
      </c>
      <c r="N899" s="4" t="s">
        <v>293</v>
      </c>
      <c r="O899" s="4" t="s">
        <v>229</v>
      </c>
      <c r="P899" s="4" t="s">
        <v>229</v>
      </c>
      <c r="Q899" s="4" t="s">
        <v>100</v>
      </c>
      <c r="R899" s="9">
        <f t="shared" ref="R899:R962" si="14">E899/$E$2034</f>
        <v>1.1636123781246578E-4</v>
      </c>
    </row>
    <row r="900" spans="1:18" hidden="1" x14ac:dyDescent="0.2">
      <c r="A900" s="4">
        <v>196</v>
      </c>
      <c r="B900" s="2">
        <v>5831125</v>
      </c>
      <c r="C900" s="2">
        <v>0</v>
      </c>
      <c r="D900" s="4" t="s">
        <v>2853</v>
      </c>
      <c r="E900" s="2">
        <v>5831125</v>
      </c>
      <c r="F900" s="2">
        <v>1107913.75</v>
      </c>
      <c r="G900" s="2">
        <v>145778.13</v>
      </c>
      <c r="H900" s="4">
        <v>0</v>
      </c>
      <c r="I900" s="4">
        <v>0</v>
      </c>
      <c r="J900" s="4">
        <v>145778.13</v>
      </c>
      <c r="K900" s="4">
        <v>6793260.6200000001</v>
      </c>
      <c r="L900" s="4" t="s">
        <v>2851</v>
      </c>
      <c r="M900" s="4" t="s">
        <v>2852</v>
      </c>
      <c r="N900" s="4" t="s">
        <v>20</v>
      </c>
      <c r="O900" s="4" t="s">
        <v>386</v>
      </c>
      <c r="P900" s="4" t="s">
        <v>386</v>
      </c>
      <c r="Q900" s="4" t="s">
        <v>585</v>
      </c>
      <c r="R900" s="9">
        <f t="shared" si="14"/>
        <v>1.1615556460112036E-4</v>
      </c>
    </row>
    <row r="901" spans="1:18" hidden="1" x14ac:dyDescent="0.2">
      <c r="A901" s="4">
        <v>1189</v>
      </c>
      <c r="B901" s="2">
        <v>5813800</v>
      </c>
      <c r="C901" s="2">
        <v>0</v>
      </c>
      <c r="D901" s="4" t="s">
        <v>3222</v>
      </c>
      <c r="E901" s="2">
        <v>5813800</v>
      </c>
      <c r="F901" s="2">
        <v>1104622</v>
      </c>
      <c r="G901" s="2">
        <v>124344.63</v>
      </c>
      <c r="H901" s="4">
        <v>0</v>
      </c>
      <c r="I901" s="4">
        <v>0</v>
      </c>
      <c r="J901" s="4">
        <v>124344.63</v>
      </c>
      <c r="K901" s="4">
        <v>6794077.3700000001</v>
      </c>
      <c r="L901" s="4" t="s">
        <v>3220</v>
      </c>
      <c r="M901" s="4" t="s">
        <v>3221</v>
      </c>
      <c r="N901" s="4" t="s">
        <v>20</v>
      </c>
      <c r="O901" s="4" t="s">
        <v>76</v>
      </c>
      <c r="P901" s="4" t="s">
        <v>76</v>
      </c>
      <c r="Q901" s="4" t="s">
        <v>1378</v>
      </c>
      <c r="R901" s="9">
        <f t="shared" si="14"/>
        <v>1.1581045192445601E-4</v>
      </c>
    </row>
    <row r="902" spans="1:18" hidden="1" x14ac:dyDescent="0.2">
      <c r="A902" s="4">
        <v>1822</v>
      </c>
      <c r="B902" s="2">
        <v>5787050.96</v>
      </c>
      <c r="C902" s="2">
        <v>0</v>
      </c>
      <c r="D902" s="4" t="s">
        <v>3554</v>
      </c>
      <c r="E902" s="2">
        <v>5787050.96</v>
      </c>
      <c r="F902" s="2">
        <v>1099539.68</v>
      </c>
      <c r="G902" s="2">
        <v>72338.14</v>
      </c>
      <c r="H902" s="4">
        <v>0</v>
      </c>
      <c r="I902" s="4">
        <v>0</v>
      </c>
      <c r="J902" s="4">
        <v>72338.14</v>
      </c>
      <c r="K902" s="4">
        <v>6814252.5</v>
      </c>
      <c r="L902" s="4" t="s">
        <v>5545</v>
      </c>
      <c r="M902" s="4" t="s">
        <v>3553</v>
      </c>
      <c r="N902" s="4" t="s">
        <v>20</v>
      </c>
      <c r="O902" s="4" t="s">
        <v>386</v>
      </c>
      <c r="P902" s="4" t="s">
        <v>386</v>
      </c>
      <c r="Q902" s="4" t="s">
        <v>144</v>
      </c>
      <c r="R902" s="9">
        <f t="shared" si="14"/>
        <v>1.152776130908282E-4</v>
      </c>
    </row>
    <row r="903" spans="1:18" hidden="1" x14ac:dyDescent="0.2">
      <c r="A903" s="4">
        <v>194</v>
      </c>
      <c r="B903" s="2">
        <v>5778358</v>
      </c>
      <c r="C903" s="2">
        <v>0</v>
      </c>
      <c r="D903" s="4" t="s">
        <v>2205</v>
      </c>
      <c r="E903" s="2">
        <v>5778358</v>
      </c>
      <c r="F903" s="2">
        <v>1097888.02</v>
      </c>
      <c r="G903" s="2">
        <v>0</v>
      </c>
      <c r="H903" s="4">
        <v>0</v>
      </c>
      <c r="I903" s="4">
        <v>0</v>
      </c>
      <c r="J903" s="4">
        <v>0</v>
      </c>
      <c r="K903" s="4">
        <v>6876246.0199999996</v>
      </c>
      <c r="L903" s="4" t="s">
        <v>2203</v>
      </c>
      <c r="M903" s="4" t="s">
        <v>2204</v>
      </c>
      <c r="N903" s="4" t="s">
        <v>2206</v>
      </c>
      <c r="O903" s="4" t="s">
        <v>196</v>
      </c>
      <c r="P903" s="4" t="s">
        <v>196</v>
      </c>
      <c r="Q903" s="4" t="s">
        <v>100</v>
      </c>
      <c r="R903" s="9">
        <f t="shared" si="14"/>
        <v>1.1510444999162266E-4</v>
      </c>
    </row>
    <row r="904" spans="1:18" hidden="1" x14ac:dyDescent="0.2">
      <c r="A904" s="4">
        <v>124</v>
      </c>
      <c r="B904" s="2">
        <v>5773178</v>
      </c>
      <c r="C904" s="2">
        <v>0</v>
      </c>
      <c r="D904" s="4" t="s">
        <v>1972</v>
      </c>
      <c r="E904" s="2">
        <v>5773178</v>
      </c>
      <c r="F904" s="2">
        <v>1096903.82</v>
      </c>
      <c r="G904" s="2">
        <v>0</v>
      </c>
      <c r="H904" s="4">
        <v>0</v>
      </c>
      <c r="I904" s="4">
        <v>0</v>
      </c>
      <c r="J904" s="4">
        <v>0</v>
      </c>
      <c r="K904" s="4">
        <v>6870081.8200000003</v>
      </c>
      <c r="L904" s="4" t="s">
        <v>1970</v>
      </c>
      <c r="M904" s="4" t="s">
        <v>1971</v>
      </c>
      <c r="N904" s="4" t="s">
        <v>648</v>
      </c>
      <c r="O904" s="4" t="s">
        <v>340</v>
      </c>
      <c r="P904" s="4" t="s">
        <v>340</v>
      </c>
      <c r="Q904" s="4" t="s">
        <v>100</v>
      </c>
      <c r="R904" s="9">
        <f t="shared" si="14"/>
        <v>1.1500126478728665E-4</v>
      </c>
    </row>
    <row r="905" spans="1:18" hidden="1" x14ac:dyDescent="0.2">
      <c r="A905" s="4">
        <v>392</v>
      </c>
      <c r="B905" s="2">
        <v>5772874</v>
      </c>
      <c r="C905" s="2">
        <v>0</v>
      </c>
      <c r="D905" s="4" t="s">
        <v>5548</v>
      </c>
      <c r="E905" s="2">
        <v>5772874</v>
      </c>
      <c r="F905" s="2">
        <v>1096846.06</v>
      </c>
      <c r="G905" s="2">
        <v>121344.4</v>
      </c>
      <c r="H905" s="4">
        <v>0</v>
      </c>
      <c r="I905" s="4">
        <v>0</v>
      </c>
      <c r="J905" s="4">
        <v>121344.4</v>
      </c>
      <c r="K905" s="4">
        <v>6748375.6600000001</v>
      </c>
      <c r="L905" s="4" t="s">
        <v>5546</v>
      </c>
      <c r="M905" s="4" t="s">
        <v>5547</v>
      </c>
      <c r="N905" s="4" t="s">
        <v>705</v>
      </c>
      <c r="O905" s="4" t="s">
        <v>59</v>
      </c>
      <c r="P905" s="4" t="s">
        <v>59</v>
      </c>
      <c r="Q905" s="4" t="s">
        <v>100</v>
      </c>
      <c r="R905" s="9">
        <f t="shared" si="14"/>
        <v>1.1499520913050708E-4</v>
      </c>
    </row>
    <row r="906" spans="1:18" hidden="1" x14ac:dyDescent="0.2">
      <c r="A906" s="4">
        <v>122</v>
      </c>
      <c r="B906" s="2">
        <v>5789287</v>
      </c>
      <c r="C906" s="2">
        <v>38798.1</v>
      </c>
      <c r="D906" s="4" t="s">
        <v>2866</v>
      </c>
      <c r="E906" s="2">
        <v>5750488.9000000004</v>
      </c>
      <c r="F906" s="2">
        <v>1092592.8899999999</v>
      </c>
      <c r="G906" s="2">
        <v>0</v>
      </c>
      <c r="H906" s="4">
        <v>0</v>
      </c>
      <c r="I906" s="4">
        <v>0</v>
      </c>
      <c r="J906" s="4">
        <v>0</v>
      </c>
      <c r="K906" s="4">
        <v>6843081.79</v>
      </c>
      <c r="L906" s="4" t="s">
        <v>2864</v>
      </c>
      <c r="M906" s="4" t="s">
        <v>2865</v>
      </c>
      <c r="N906" s="4" t="s">
        <v>20</v>
      </c>
      <c r="O906" s="4" t="s">
        <v>71</v>
      </c>
      <c r="P906" s="4" t="s">
        <v>71</v>
      </c>
      <c r="Q906" s="4" t="s">
        <v>100</v>
      </c>
      <c r="R906" s="9">
        <f t="shared" si="14"/>
        <v>1.1454929964834842E-4</v>
      </c>
    </row>
    <row r="907" spans="1:18" hidden="1" x14ac:dyDescent="0.2">
      <c r="A907" s="4">
        <v>984</v>
      </c>
      <c r="B907" s="2">
        <v>5738784</v>
      </c>
      <c r="C907" s="2">
        <v>0</v>
      </c>
      <c r="D907" s="4" t="s">
        <v>2869</v>
      </c>
      <c r="E907" s="2">
        <v>5738784</v>
      </c>
      <c r="F907" s="2">
        <v>1090368.96</v>
      </c>
      <c r="G907" s="2">
        <v>0</v>
      </c>
      <c r="H907" s="4">
        <v>0</v>
      </c>
      <c r="I907" s="4">
        <v>0</v>
      </c>
      <c r="J907" s="4">
        <v>0</v>
      </c>
      <c r="K907" s="4">
        <v>6829152.96</v>
      </c>
      <c r="L907" s="4" t="s">
        <v>2867</v>
      </c>
      <c r="M907" s="4" t="s">
        <v>2868</v>
      </c>
      <c r="N907" s="4" t="s">
        <v>20</v>
      </c>
      <c r="O907" s="4" t="s">
        <v>257</v>
      </c>
      <c r="P907" s="4" t="s">
        <v>257</v>
      </c>
      <c r="Q907" s="4" t="s">
        <v>100</v>
      </c>
      <c r="R907" s="9">
        <f t="shared" si="14"/>
        <v>1.1431613893440389E-4</v>
      </c>
    </row>
    <row r="908" spans="1:18" hidden="1" x14ac:dyDescent="0.2">
      <c r="A908" s="4">
        <v>113</v>
      </c>
      <c r="B908" s="2">
        <v>5729716</v>
      </c>
      <c r="C908" s="2">
        <v>0</v>
      </c>
      <c r="D908" s="4" t="s">
        <v>3000</v>
      </c>
      <c r="E908" s="2">
        <v>5729716</v>
      </c>
      <c r="F908" s="2">
        <v>1088646.04</v>
      </c>
      <c r="G908" s="2">
        <v>56457.599999999999</v>
      </c>
      <c r="H908" s="4">
        <v>0</v>
      </c>
      <c r="I908" s="4">
        <v>0</v>
      </c>
      <c r="J908" s="4">
        <v>56457.599999999999</v>
      </c>
      <c r="K908" s="4">
        <v>6761904.4400000004</v>
      </c>
      <c r="L908" s="4" t="s">
        <v>2998</v>
      </c>
      <c r="M908" s="4" t="s">
        <v>2999</v>
      </c>
      <c r="N908" s="4" t="s">
        <v>58</v>
      </c>
      <c r="O908" s="4" t="s">
        <v>59</v>
      </c>
      <c r="P908" s="4" t="s">
        <v>59</v>
      </c>
      <c r="Q908" s="4" t="s">
        <v>100</v>
      </c>
      <c r="R908" s="9">
        <f t="shared" si="14"/>
        <v>1.1413550506704504E-4</v>
      </c>
    </row>
    <row r="909" spans="1:18" hidden="1" x14ac:dyDescent="0.2">
      <c r="A909" s="4">
        <v>1334</v>
      </c>
      <c r="B909" s="2">
        <v>5716976</v>
      </c>
      <c r="C909" s="2">
        <v>0</v>
      </c>
      <c r="D909" s="4" t="s">
        <v>2529</v>
      </c>
      <c r="E909" s="2">
        <v>5716976</v>
      </c>
      <c r="F909" s="2">
        <v>1086225.44</v>
      </c>
      <c r="G909" s="2">
        <v>0</v>
      </c>
      <c r="H909" s="4">
        <v>0</v>
      </c>
      <c r="I909" s="4">
        <v>0</v>
      </c>
      <c r="J909" s="4">
        <v>0</v>
      </c>
      <c r="K909" s="4">
        <v>6803201.4400000004</v>
      </c>
      <c r="L909" s="4" t="s">
        <v>2527</v>
      </c>
      <c r="M909" s="4" t="s">
        <v>2528</v>
      </c>
      <c r="N909" s="4" t="s">
        <v>20</v>
      </c>
      <c r="O909" s="4" t="s">
        <v>768</v>
      </c>
      <c r="P909" s="4" t="s">
        <v>768</v>
      </c>
      <c r="Q909" s="4" t="s">
        <v>100</v>
      </c>
      <c r="R909" s="9">
        <f t="shared" si="14"/>
        <v>1.1388172524016458E-4</v>
      </c>
    </row>
    <row r="910" spans="1:18" hidden="1" x14ac:dyDescent="0.2">
      <c r="A910" s="4">
        <v>787</v>
      </c>
      <c r="B910" s="2">
        <v>5698826</v>
      </c>
      <c r="C910" s="2">
        <v>0</v>
      </c>
      <c r="D910" s="4" t="s">
        <v>2884</v>
      </c>
      <c r="E910" s="2">
        <v>5698826</v>
      </c>
      <c r="F910" s="2">
        <v>1082776.94</v>
      </c>
      <c r="G910" s="2">
        <v>0</v>
      </c>
      <c r="H910" s="4">
        <v>0</v>
      </c>
      <c r="I910" s="4">
        <v>0</v>
      </c>
      <c r="J910" s="4">
        <v>0</v>
      </c>
      <c r="K910" s="4">
        <v>6781602.9400000004</v>
      </c>
      <c r="L910" s="4" t="s">
        <v>2882</v>
      </c>
      <c r="M910" s="4" t="s">
        <v>2883</v>
      </c>
      <c r="N910" s="4" t="s">
        <v>20</v>
      </c>
      <c r="O910" s="4" t="s">
        <v>540</v>
      </c>
      <c r="P910" s="4" t="s">
        <v>540</v>
      </c>
      <c r="Q910" s="4" t="s">
        <v>100</v>
      </c>
      <c r="R910" s="9">
        <f t="shared" si="14"/>
        <v>1.1352017862651622E-4</v>
      </c>
    </row>
    <row r="911" spans="1:18" hidden="1" x14ac:dyDescent="0.2">
      <c r="A911" s="4">
        <v>953</v>
      </c>
      <c r="B911" s="2">
        <v>5673480</v>
      </c>
      <c r="C911" s="2">
        <v>0</v>
      </c>
      <c r="D911" s="4" t="s">
        <v>2545</v>
      </c>
      <c r="E911" s="2">
        <v>5673480</v>
      </c>
      <c r="F911" s="2">
        <v>1077961.2</v>
      </c>
      <c r="G911" s="2">
        <v>0</v>
      </c>
      <c r="H911" s="4">
        <v>0</v>
      </c>
      <c r="I911" s="4">
        <v>0</v>
      </c>
      <c r="J911" s="4">
        <v>0</v>
      </c>
      <c r="K911" s="4">
        <v>6751441.2000000002</v>
      </c>
      <c r="L911" s="4" t="s">
        <v>2543</v>
      </c>
      <c r="M911" s="4" t="s">
        <v>2544</v>
      </c>
      <c r="N911" s="4" t="s">
        <v>20</v>
      </c>
      <c r="O911" s="4" t="s">
        <v>631</v>
      </c>
      <c r="P911" s="4" t="s">
        <v>631</v>
      </c>
      <c r="Q911" s="4" t="s">
        <v>100</v>
      </c>
      <c r="R911" s="9">
        <f t="shared" si="14"/>
        <v>1.1301528824251998E-4</v>
      </c>
    </row>
    <row r="912" spans="1:18" hidden="1" x14ac:dyDescent="0.2">
      <c r="A912" s="4">
        <v>1228</v>
      </c>
      <c r="B912" s="2">
        <v>5656132</v>
      </c>
      <c r="C912" s="2">
        <v>0</v>
      </c>
      <c r="D912" s="4" t="s">
        <v>2725</v>
      </c>
      <c r="E912" s="2">
        <v>5656132</v>
      </c>
      <c r="F912" s="2">
        <v>1074665.08</v>
      </c>
      <c r="G912" s="2">
        <v>0</v>
      </c>
      <c r="H912" s="4">
        <v>0</v>
      </c>
      <c r="I912" s="4">
        <v>0</v>
      </c>
      <c r="J912" s="4">
        <v>0</v>
      </c>
      <c r="K912" s="4">
        <v>6730797.0800000001</v>
      </c>
      <c r="L912" s="4" t="s">
        <v>2723</v>
      </c>
      <c r="M912" s="4" t="s">
        <v>2724</v>
      </c>
      <c r="N912" s="4" t="s">
        <v>272</v>
      </c>
      <c r="O912" s="4" t="s">
        <v>89</v>
      </c>
      <c r="P912" s="4" t="s">
        <v>89</v>
      </c>
      <c r="Q912" s="4" t="s">
        <v>100</v>
      </c>
      <c r="R912" s="9">
        <f t="shared" si="14"/>
        <v>1.1266971740761244E-4</v>
      </c>
    </row>
    <row r="913" spans="1:18" hidden="1" x14ac:dyDescent="0.2">
      <c r="A913" s="4">
        <v>1420</v>
      </c>
      <c r="B913" s="2">
        <v>5642295</v>
      </c>
      <c r="C913" s="2">
        <v>0</v>
      </c>
      <c r="D913" s="4" t="s">
        <v>2748</v>
      </c>
      <c r="E913" s="2">
        <v>5642295</v>
      </c>
      <c r="F913" s="2">
        <v>1072036.05</v>
      </c>
      <c r="G913" s="2">
        <v>0</v>
      </c>
      <c r="H913" s="4">
        <v>0</v>
      </c>
      <c r="I913" s="4">
        <v>0</v>
      </c>
      <c r="J913" s="4">
        <v>0</v>
      </c>
      <c r="K913" s="4">
        <v>6714331.0499999998</v>
      </c>
      <c r="L913" s="4" t="s">
        <v>2746</v>
      </c>
      <c r="M913" s="4" t="s">
        <v>2747</v>
      </c>
      <c r="N913" s="4" t="s">
        <v>20</v>
      </c>
      <c r="O913" s="4" t="s">
        <v>316</v>
      </c>
      <c r="P913" s="4" t="s">
        <v>316</v>
      </c>
      <c r="Q913" s="4" t="s">
        <v>100</v>
      </c>
      <c r="R913" s="9">
        <f t="shared" si="14"/>
        <v>1.1239408542452415E-4</v>
      </c>
    </row>
    <row r="914" spans="1:18" hidden="1" x14ac:dyDescent="0.2">
      <c r="A914" s="4">
        <v>587</v>
      </c>
      <c r="B914" s="2">
        <v>5628298</v>
      </c>
      <c r="C914" s="2">
        <v>0</v>
      </c>
      <c r="D914" s="4" t="s">
        <v>3758</v>
      </c>
      <c r="E914" s="2">
        <v>5628298</v>
      </c>
      <c r="F914" s="2">
        <v>1069376.6200000001</v>
      </c>
      <c r="G914" s="2">
        <v>0</v>
      </c>
      <c r="H914" s="4">
        <v>0</v>
      </c>
      <c r="I914" s="4">
        <v>0</v>
      </c>
      <c r="J914" s="4">
        <v>0</v>
      </c>
      <c r="K914" s="4">
        <v>6697674.6200000001</v>
      </c>
      <c r="L914" s="4" t="s">
        <v>3756</v>
      </c>
      <c r="M914" s="4" t="s">
        <v>3757</v>
      </c>
      <c r="N914" s="4" t="s">
        <v>674</v>
      </c>
      <c r="O914" s="4" t="s">
        <v>89</v>
      </c>
      <c r="P914" s="4" t="s">
        <v>89</v>
      </c>
      <c r="Q914" s="4" t="s">
        <v>100</v>
      </c>
      <c r="R914" s="9">
        <f t="shared" si="14"/>
        <v>1.1211526625365715E-4</v>
      </c>
    </row>
    <row r="915" spans="1:18" hidden="1" x14ac:dyDescent="0.2">
      <c r="A915" s="4">
        <v>1616</v>
      </c>
      <c r="B915" s="2">
        <v>5653325</v>
      </c>
      <c r="C915" s="2">
        <v>38074.32</v>
      </c>
      <c r="D915" s="4" t="s">
        <v>2472</v>
      </c>
      <c r="E915" s="2">
        <v>5615250.6799999997</v>
      </c>
      <c r="F915" s="2">
        <v>1066897.6299999999</v>
      </c>
      <c r="G915" s="2">
        <v>109604.53</v>
      </c>
      <c r="H915" s="4">
        <v>0</v>
      </c>
      <c r="I915" s="4">
        <v>0</v>
      </c>
      <c r="J915" s="4">
        <v>109604.53</v>
      </c>
      <c r="K915" s="4">
        <v>6572543.7800000003</v>
      </c>
      <c r="L915" s="4" t="s">
        <v>2470</v>
      </c>
      <c r="M915" s="4" t="s">
        <v>2471</v>
      </c>
      <c r="N915" s="4" t="s">
        <v>863</v>
      </c>
      <c r="O915" s="4" t="s">
        <v>59</v>
      </c>
      <c r="P915" s="4" t="s">
        <v>59</v>
      </c>
      <c r="Q915" s="4" t="s">
        <v>100</v>
      </c>
      <c r="R915" s="9">
        <f t="shared" si="14"/>
        <v>1.1185536463585072E-4</v>
      </c>
    </row>
    <row r="916" spans="1:18" hidden="1" x14ac:dyDescent="0.2">
      <c r="A916" s="4">
        <v>1123</v>
      </c>
      <c r="B916" s="2">
        <v>5631484</v>
      </c>
      <c r="C916" s="2">
        <v>25643.52</v>
      </c>
      <c r="D916" s="4" t="s">
        <v>3006</v>
      </c>
      <c r="E916" s="2">
        <v>5605840.4800000004</v>
      </c>
      <c r="F916" s="2">
        <v>1065109.69</v>
      </c>
      <c r="G916" s="2">
        <v>0</v>
      </c>
      <c r="H916" s="4">
        <v>0</v>
      </c>
      <c r="I916" s="4">
        <v>0</v>
      </c>
      <c r="J916" s="4">
        <v>0</v>
      </c>
      <c r="K916" s="4">
        <v>6670950.1699999999</v>
      </c>
      <c r="L916" s="4" t="s">
        <v>3004</v>
      </c>
      <c r="M916" s="4" t="s">
        <v>3005</v>
      </c>
      <c r="N916" s="4" t="s">
        <v>20</v>
      </c>
      <c r="O916" s="4" t="s">
        <v>768</v>
      </c>
      <c r="P916" s="4" t="s">
        <v>768</v>
      </c>
      <c r="Q916" s="4" t="s">
        <v>100</v>
      </c>
      <c r="R916" s="9">
        <f t="shared" si="14"/>
        <v>1.1166791417063013E-4</v>
      </c>
    </row>
    <row r="917" spans="1:18" hidden="1" x14ac:dyDescent="0.2">
      <c r="A917" s="4">
        <v>1641</v>
      </c>
      <c r="B917" s="2">
        <v>5592677</v>
      </c>
      <c r="C917" s="2">
        <v>0</v>
      </c>
      <c r="D917" s="4" t="s">
        <v>2440</v>
      </c>
      <c r="E917" s="2">
        <v>5592677</v>
      </c>
      <c r="F917" s="2">
        <v>1062608.6299999999</v>
      </c>
      <c r="G917" s="2">
        <v>0</v>
      </c>
      <c r="H917" s="4">
        <v>0</v>
      </c>
      <c r="I917" s="4">
        <v>0</v>
      </c>
      <c r="J917" s="4">
        <v>0</v>
      </c>
      <c r="K917" s="4">
        <v>6655285.6299999999</v>
      </c>
      <c r="L917" s="4" t="s">
        <v>2438</v>
      </c>
      <c r="M917" s="4" t="s">
        <v>2439</v>
      </c>
      <c r="N917" s="4" t="s">
        <v>186</v>
      </c>
      <c r="O917" s="4" t="s">
        <v>59</v>
      </c>
      <c r="P917" s="4" t="s">
        <v>59</v>
      </c>
      <c r="Q917" s="4" t="s">
        <v>100</v>
      </c>
      <c r="R917" s="9">
        <f t="shared" si="14"/>
        <v>1.1140569865449635E-4</v>
      </c>
    </row>
    <row r="918" spans="1:18" hidden="1" x14ac:dyDescent="0.2">
      <c r="A918" s="4">
        <v>318</v>
      </c>
      <c r="B918" s="2">
        <v>5593656</v>
      </c>
      <c r="C918" s="2">
        <v>6760.44</v>
      </c>
      <c r="D918" s="4" t="s">
        <v>3417</v>
      </c>
      <c r="E918" s="2">
        <v>5586895.5599999996</v>
      </c>
      <c r="F918" s="2">
        <v>1061510.1599999999</v>
      </c>
      <c r="G918" s="2">
        <v>0</v>
      </c>
      <c r="H918" s="4">
        <v>0</v>
      </c>
      <c r="I918" s="4">
        <v>0</v>
      </c>
      <c r="J918" s="4">
        <v>0</v>
      </c>
      <c r="K918" s="4">
        <v>6648405.7199999997</v>
      </c>
      <c r="L918" s="4" t="s">
        <v>3415</v>
      </c>
      <c r="M918" s="4" t="s">
        <v>3416</v>
      </c>
      <c r="N918" s="4" t="s">
        <v>20</v>
      </c>
      <c r="O918" s="4" t="s">
        <v>316</v>
      </c>
      <c r="P918" s="4" t="s">
        <v>316</v>
      </c>
      <c r="Q918" s="4" t="s">
        <v>100</v>
      </c>
      <c r="R918" s="9">
        <f t="shared" si="14"/>
        <v>1.1129053281130013E-4</v>
      </c>
    </row>
    <row r="919" spans="1:18" hidden="1" x14ac:dyDescent="0.2">
      <c r="A919" s="4">
        <v>1216</v>
      </c>
      <c r="B919" s="2">
        <v>5575704</v>
      </c>
      <c r="C919" s="2">
        <v>0</v>
      </c>
      <c r="D919" s="4" t="s">
        <v>2771</v>
      </c>
      <c r="E919" s="2">
        <v>5575704</v>
      </c>
      <c r="F919" s="2">
        <v>1059383.76</v>
      </c>
      <c r="G919" s="2">
        <v>0</v>
      </c>
      <c r="H919" s="4">
        <v>0</v>
      </c>
      <c r="I919" s="4">
        <v>0</v>
      </c>
      <c r="J919" s="4">
        <v>0</v>
      </c>
      <c r="K919" s="4">
        <v>6635087.7599999998</v>
      </c>
      <c r="L919" s="4" t="s">
        <v>2769</v>
      </c>
      <c r="M919" s="4" t="s">
        <v>2770</v>
      </c>
      <c r="N919" s="4" t="s">
        <v>104</v>
      </c>
      <c r="O919" s="4" t="s">
        <v>105</v>
      </c>
      <c r="P919" s="4" t="s">
        <v>105</v>
      </c>
      <c r="Q919" s="4" t="s">
        <v>100</v>
      </c>
      <c r="R919" s="9">
        <f t="shared" si="14"/>
        <v>1.1106759779094518E-4</v>
      </c>
    </row>
    <row r="920" spans="1:18" hidden="1" x14ac:dyDescent="0.2">
      <c r="A920" s="4">
        <v>1939</v>
      </c>
      <c r="B920" s="2">
        <v>5573576</v>
      </c>
      <c r="C920" s="2">
        <v>0</v>
      </c>
      <c r="D920" s="4" t="s">
        <v>2631</v>
      </c>
      <c r="E920" s="2">
        <v>5573576</v>
      </c>
      <c r="F920" s="2">
        <v>1058979.44</v>
      </c>
      <c r="G920" s="2">
        <v>0</v>
      </c>
      <c r="H920" s="4">
        <v>0</v>
      </c>
      <c r="I920" s="4">
        <v>0</v>
      </c>
      <c r="J920" s="4">
        <v>0</v>
      </c>
      <c r="K920" s="4">
        <v>6632555.4400000004</v>
      </c>
      <c r="L920" s="4" t="s">
        <v>2629</v>
      </c>
      <c r="M920" s="4" t="s">
        <v>2630</v>
      </c>
      <c r="N920" s="4" t="s">
        <v>651</v>
      </c>
      <c r="O920" s="4" t="s">
        <v>196</v>
      </c>
      <c r="P920" s="4" t="s">
        <v>196</v>
      </c>
      <c r="Q920" s="4" t="s">
        <v>100</v>
      </c>
      <c r="R920" s="9">
        <f t="shared" si="14"/>
        <v>1.1102520819348822E-4</v>
      </c>
    </row>
    <row r="921" spans="1:18" hidden="1" x14ac:dyDescent="0.2">
      <c r="A921" s="4">
        <v>725</v>
      </c>
      <c r="B921" s="2">
        <v>5573108</v>
      </c>
      <c r="C921" s="2">
        <v>0</v>
      </c>
      <c r="D921" s="4" t="s">
        <v>2963</v>
      </c>
      <c r="E921" s="2">
        <v>5573108</v>
      </c>
      <c r="F921" s="2">
        <v>1058890.52</v>
      </c>
      <c r="G921" s="2">
        <v>35020.1</v>
      </c>
      <c r="H921" s="4">
        <v>0</v>
      </c>
      <c r="I921" s="4">
        <v>0</v>
      </c>
      <c r="J921" s="4">
        <v>35020.1</v>
      </c>
      <c r="K921" s="4">
        <v>6596978.4199999999</v>
      </c>
      <c r="L921" s="4" t="s">
        <v>2961</v>
      </c>
      <c r="M921" s="4" t="s">
        <v>2962</v>
      </c>
      <c r="N921" s="4" t="s">
        <v>779</v>
      </c>
      <c r="O921" s="4" t="s">
        <v>33</v>
      </c>
      <c r="P921" s="4" t="s">
        <v>33</v>
      </c>
      <c r="Q921" s="4" t="s">
        <v>100</v>
      </c>
      <c r="R921" s="9">
        <f t="shared" si="14"/>
        <v>1.1101588566923547E-4</v>
      </c>
    </row>
    <row r="922" spans="1:18" hidden="1" x14ac:dyDescent="0.2">
      <c r="A922" s="4">
        <v>22</v>
      </c>
      <c r="B922" s="2">
        <v>5743640</v>
      </c>
      <c r="C922" s="2">
        <v>172309.2</v>
      </c>
      <c r="D922" s="4" t="s">
        <v>2059</v>
      </c>
      <c r="E922" s="2">
        <v>5571330.7999999998</v>
      </c>
      <c r="F922" s="2">
        <v>1058552.8500000001</v>
      </c>
      <c r="G922" s="2">
        <v>139283.26999999999</v>
      </c>
      <c r="H922" s="4">
        <v>158782.93</v>
      </c>
      <c r="I922" s="4">
        <v>0</v>
      </c>
      <c r="J922" s="4">
        <v>298066.2</v>
      </c>
      <c r="K922" s="4">
        <v>6331817.4500000002</v>
      </c>
      <c r="L922" s="4" t="s">
        <v>2058</v>
      </c>
      <c r="M922" s="4" t="s">
        <v>146</v>
      </c>
      <c r="N922" s="4" t="s">
        <v>2060</v>
      </c>
      <c r="O922" s="4" t="s">
        <v>113</v>
      </c>
      <c r="P922" s="4" t="s">
        <v>113</v>
      </c>
      <c r="Q922" s="4" t="s">
        <v>28</v>
      </c>
      <c r="R922" s="9">
        <f t="shared" si="14"/>
        <v>1.1098048398098335E-4</v>
      </c>
    </row>
    <row r="923" spans="1:18" hidden="1" x14ac:dyDescent="0.2">
      <c r="A923" s="4">
        <v>714</v>
      </c>
      <c r="B923" s="2">
        <v>5570522</v>
      </c>
      <c r="C923" s="2">
        <v>0</v>
      </c>
      <c r="D923" s="4" t="s">
        <v>4050</v>
      </c>
      <c r="E923" s="2">
        <v>5570522</v>
      </c>
      <c r="F923" s="2">
        <v>1058399.18</v>
      </c>
      <c r="G923" s="2">
        <v>139263.04999999999</v>
      </c>
      <c r="H923" s="4">
        <v>0</v>
      </c>
      <c r="I923" s="4">
        <v>0</v>
      </c>
      <c r="J923" s="4">
        <v>139263.04999999999</v>
      </c>
      <c r="K923" s="4">
        <v>6489658.1299999999</v>
      </c>
      <c r="L923" s="4" t="s">
        <v>4048</v>
      </c>
      <c r="M923" s="4" t="s">
        <v>4049</v>
      </c>
      <c r="N923" s="4" t="s">
        <v>20</v>
      </c>
      <c r="O923" s="4" t="s">
        <v>71</v>
      </c>
      <c r="P923" s="4" t="s">
        <v>71</v>
      </c>
      <c r="Q923" s="4" t="s">
        <v>100</v>
      </c>
      <c r="R923" s="9">
        <f t="shared" si="14"/>
        <v>1.1096437274676194E-4</v>
      </c>
    </row>
    <row r="924" spans="1:18" hidden="1" x14ac:dyDescent="0.2">
      <c r="A924" s="4">
        <v>1786</v>
      </c>
      <c r="B924" s="2">
        <v>5561312</v>
      </c>
      <c r="C924" s="2">
        <v>0</v>
      </c>
      <c r="D924" s="4" t="s">
        <v>5551</v>
      </c>
      <c r="E924" s="2">
        <v>5561312</v>
      </c>
      <c r="F924" s="2">
        <v>1056649.28</v>
      </c>
      <c r="G924" s="2">
        <v>139032.79999999999</v>
      </c>
      <c r="H924" s="4">
        <v>0</v>
      </c>
      <c r="I924" s="4">
        <v>0</v>
      </c>
      <c r="J924" s="4">
        <v>139032.79999999999</v>
      </c>
      <c r="K924" s="4">
        <v>6478928.4800000004</v>
      </c>
      <c r="L924" s="4" t="s">
        <v>5549</v>
      </c>
      <c r="M924" s="4" t="s">
        <v>5550</v>
      </c>
      <c r="N924" s="4" t="s">
        <v>58</v>
      </c>
      <c r="O924" s="4" t="s">
        <v>59</v>
      </c>
      <c r="P924" s="4" t="s">
        <v>59</v>
      </c>
      <c r="Q924" s="4" t="s">
        <v>100</v>
      </c>
      <c r="R924" s="9">
        <f t="shared" si="14"/>
        <v>1.1078091025024946E-4</v>
      </c>
    </row>
    <row r="925" spans="1:18" hidden="1" x14ac:dyDescent="0.2">
      <c r="A925" s="4">
        <v>395</v>
      </c>
      <c r="B925" s="2">
        <v>5550864</v>
      </c>
      <c r="C925" s="2">
        <v>0</v>
      </c>
      <c r="D925" s="4" t="s">
        <v>2116</v>
      </c>
      <c r="E925" s="2">
        <v>5550864</v>
      </c>
      <c r="F925" s="2">
        <v>1054664.1599999999</v>
      </c>
      <c r="G925" s="2">
        <v>120945.75</v>
      </c>
      <c r="H925" s="4">
        <v>0</v>
      </c>
      <c r="I925" s="4">
        <v>0</v>
      </c>
      <c r="J925" s="4">
        <v>120945.75</v>
      </c>
      <c r="K925" s="4">
        <v>6484582.4100000001</v>
      </c>
      <c r="L925" s="4" t="s">
        <v>2114</v>
      </c>
      <c r="M925" s="4" t="s">
        <v>2115</v>
      </c>
      <c r="N925" s="4" t="s">
        <v>2117</v>
      </c>
      <c r="O925" s="4" t="s">
        <v>76</v>
      </c>
      <c r="P925" s="4" t="s">
        <v>76</v>
      </c>
      <c r="Q925" s="4" t="s">
        <v>585</v>
      </c>
      <c r="R925" s="9">
        <f t="shared" si="14"/>
        <v>1.1057278688829915E-4</v>
      </c>
    </row>
    <row r="926" spans="1:18" hidden="1" x14ac:dyDescent="0.2">
      <c r="A926" s="4">
        <v>1307</v>
      </c>
      <c r="B926" s="2">
        <v>5524276</v>
      </c>
      <c r="C926" s="2">
        <v>0</v>
      </c>
      <c r="D926" s="4" t="s">
        <v>4618</v>
      </c>
      <c r="E926" s="2">
        <v>5524276</v>
      </c>
      <c r="F926" s="2">
        <v>1049612.44</v>
      </c>
      <c r="G926" s="2">
        <v>109188.9</v>
      </c>
      <c r="H926" s="4">
        <v>0</v>
      </c>
      <c r="I926" s="4">
        <v>0</v>
      </c>
      <c r="J926" s="4">
        <v>109188.9</v>
      </c>
      <c r="K926" s="4">
        <v>6464699.54</v>
      </c>
      <c r="L926" s="4" t="s">
        <v>4616</v>
      </c>
      <c r="M926" s="4" t="s">
        <v>4617</v>
      </c>
      <c r="N926" s="4" t="s">
        <v>272</v>
      </c>
      <c r="O926" s="4" t="s">
        <v>386</v>
      </c>
      <c r="P926" s="4" t="s">
        <v>386</v>
      </c>
      <c r="Q926" s="4" t="s">
        <v>1378</v>
      </c>
      <c r="R926" s="9">
        <f t="shared" si="14"/>
        <v>1.1004315595917062E-4</v>
      </c>
    </row>
    <row r="927" spans="1:18" hidden="1" x14ac:dyDescent="0.2">
      <c r="A927" s="4">
        <v>741</v>
      </c>
      <c r="B927" s="2">
        <v>5508258</v>
      </c>
      <c r="C927" s="2">
        <v>0</v>
      </c>
      <c r="D927" s="4" t="s">
        <v>3454</v>
      </c>
      <c r="E927" s="2">
        <v>5508258</v>
      </c>
      <c r="F927" s="2">
        <v>1046569.02</v>
      </c>
      <c r="G927" s="2">
        <v>137706.45000000001</v>
      </c>
      <c r="H927" s="4">
        <v>0</v>
      </c>
      <c r="I927" s="4">
        <v>0</v>
      </c>
      <c r="J927" s="4">
        <v>137706.45000000001</v>
      </c>
      <c r="K927" s="4">
        <v>6417120.5700000003</v>
      </c>
      <c r="L927" s="4" t="s">
        <v>3452</v>
      </c>
      <c r="M927" s="4" t="s">
        <v>3453</v>
      </c>
      <c r="N927" s="4" t="s">
        <v>20</v>
      </c>
      <c r="O927" s="4" t="s">
        <v>257</v>
      </c>
      <c r="P927" s="4" t="s">
        <v>257</v>
      </c>
      <c r="Q927" s="4" t="s">
        <v>100</v>
      </c>
      <c r="R927" s="9">
        <f t="shared" si="14"/>
        <v>1.0972407862267367E-4</v>
      </c>
    </row>
    <row r="928" spans="1:18" hidden="1" x14ac:dyDescent="0.2">
      <c r="A928" s="4">
        <v>509</v>
      </c>
      <c r="B928" s="2">
        <v>5490826</v>
      </c>
      <c r="C928" s="2">
        <v>0</v>
      </c>
      <c r="D928" s="4" t="s">
        <v>3272</v>
      </c>
      <c r="E928" s="2">
        <v>5490826</v>
      </c>
      <c r="F928" s="2">
        <v>1043256.94</v>
      </c>
      <c r="G928" s="2">
        <v>0</v>
      </c>
      <c r="H928" s="4">
        <v>0</v>
      </c>
      <c r="I928" s="4">
        <v>0</v>
      </c>
      <c r="J928" s="4">
        <v>0</v>
      </c>
      <c r="K928" s="4">
        <v>6534082.9400000004</v>
      </c>
      <c r="L928" s="4" t="s">
        <v>3270</v>
      </c>
      <c r="M928" s="4" t="s">
        <v>3271</v>
      </c>
      <c r="N928" s="4" t="s">
        <v>329</v>
      </c>
      <c r="O928" s="4" t="s">
        <v>89</v>
      </c>
      <c r="P928" s="4" t="s">
        <v>89</v>
      </c>
      <c r="Q928" s="4" t="s">
        <v>100</v>
      </c>
      <c r="R928" s="9">
        <f t="shared" si="14"/>
        <v>1.093768345141823E-4</v>
      </c>
    </row>
    <row r="929" spans="1:18" hidden="1" x14ac:dyDescent="0.2">
      <c r="A929" s="4">
        <v>1442</v>
      </c>
      <c r="B929" s="2">
        <v>5488520</v>
      </c>
      <c r="C929" s="2">
        <v>0</v>
      </c>
      <c r="D929" s="4" t="s">
        <v>4073</v>
      </c>
      <c r="E929" s="2">
        <v>5488520</v>
      </c>
      <c r="F929" s="2">
        <v>1042818.8</v>
      </c>
      <c r="G929" s="2">
        <v>0</v>
      </c>
      <c r="H929" s="4">
        <v>0</v>
      </c>
      <c r="I929" s="4">
        <v>0</v>
      </c>
      <c r="J929" s="4">
        <v>0</v>
      </c>
      <c r="K929" s="4">
        <v>6531338.7999999998</v>
      </c>
      <c r="L929" s="4" t="s">
        <v>4071</v>
      </c>
      <c r="M929" s="4" t="s">
        <v>4072</v>
      </c>
      <c r="N929" s="4" t="s">
        <v>4074</v>
      </c>
      <c r="O929" s="4" t="s">
        <v>33</v>
      </c>
      <c r="P929" s="4" t="s">
        <v>33</v>
      </c>
      <c r="Q929" s="4" t="s">
        <v>100</v>
      </c>
      <c r="R929" s="9">
        <f t="shared" si="14"/>
        <v>1.0933089917032153E-4</v>
      </c>
    </row>
    <row r="930" spans="1:18" hidden="1" x14ac:dyDescent="0.2">
      <c r="A930" s="4">
        <v>530</v>
      </c>
      <c r="B930" s="2">
        <v>5488511</v>
      </c>
      <c r="C930" s="2">
        <v>0</v>
      </c>
      <c r="D930" s="4" t="s">
        <v>2249</v>
      </c>
      <c r="E930" s="2">
        <v>5488511</v>
      </c>
      <c r="F930" s="2">
        <v>1042817.09</v>
      </c>
      <c r="G930" s="2">
        <v>57005.38</v>
      </c>
      <c r="H930" s="4">
        <v>0</v>
      </c>
      <c r="I930" s="4">
        <v>0</v>
      </c>
      <c r="J930" s="4">
        <v>57005.38</v>
      </c>
      <c r="K930" s="4">
        <v>6474322.71</v>
      </c>
      <c r="L930" s="4" t="s">
        <v>2247</v>
      </c>
      <c r="M930" s="4" t="s">
        <v>2248</v>
      </c>
      <c r="N930" s="4" t="s">
        <v>20</v>
      </c>
      <c r="O930" s="4" t="s">
        <v>1891</v>
      </c>
      <c r="P930" s="4" t="s">
        <v>21</v>
      </c>
      <c r="Q930" s="4" t="s">
        <v>28</v>
      </c>
      <c r="R930" s="9">
        <f t="shared" si="14"/>
        <v>1.0933071989100897E-4</v>
      </c>
    </row>
    <row r="931" spans="1:18" hidden="1" x14ac:dyDescent="0.2">
      <c r="A931" s="4">
        <v>840</v>
      </c>
      <c r="B931" s="2">
        <v>5479658</v>
      </c>
      <c r="C931" s="2">
        <v>0</v>
      </c>
      <c r="D931" s="4" t="s">
        <v>2526</v>
      </c>
      <c r="E931" s="2">
        <v>5479658</v>
      </c>
      <c r="F931" s="2">
        <v>1041135.02</v>
      </c>
      <c r="G931" s="2">
        <v>0</v>
      </c>
      <c r="H931" s="4">
        <v>0</v>
      </c>
      <c r="I931" s="4">
        <v>0</v>
      </c>
      <c r="J931" s="4">
        <v>0</v>
      </c>
      <c r="K931" s="4">
        <v>6520793.0199999996</v>
      </c>
      <c r="L931" s="4" t="s">
        <v>2524</v>
      </c>
      <c r="M931" s="4" t="s">
        <v>2525</v>
      </c>
      <c r="N931" s="4" t="s">
        <v>20</v>
      </c>
      <c r="O931" s="4" t="s">
        <v>1356</v>
      </c>
      <c r="P931" s="4" t="s">
        <v>1356</v>
      </c>
      <c r="Q931" s="4" t="s">
        <v>100</v>
      </c>
      <c r="R931" s="9">
        <f t="shared" si="14"/>
        <v>1.0915436880722776E-4</v>
      </c>
    </row>
    <row r="932" spans="1:18" hidden="1" x14ac:dyDescent="0.2">
      <c r="A932" s="4">
        <v>1084</v>
      </c>
      <c r="B932" s="2">
        <v>5478754</v>
      </c>
      <c r="C932" s="2">
        <v>0</v>
      </c>
      <c r="D932" s="4" t="s">
        <v>3525</v>
      </c>
      <c r="E932" s="2">
        <v>5478754</v>
      </c>
      <c r="F932" s="2">
        <v>1040963.26</v>
      </c>
      <c r="G932" s="2">
        <v>0</v>
      </c>
      <c r="H932" s="4">
        <v>0</v>
      </c>
      <c r="I932" s="4">
        <v>0</v>
      </c>
      <c r="J932" s="4">
        <v>0</v>
      </c>
      <c r="K932" s="4">
        <v>6519717.2599999998</v>
      </c>
      <c r="L932" s="4" t="s">
        <v>3523</v>
      </c>
      <c r="M932" s="4" t="s">
        <v>3524</v>
      </c>
      <c r="N932" s="4" t="s">
        <v>20</v>
      </c>
      <c r="O932" s="4" t="s">
        <v>1356</v>
      </c>
      <c r="P932" s="4" t="s">
        <v>1356</v>
      </c>
      <c r="Q932" s="4" t="s">
        <v>100</v>
      </c>
      <c r="R932" s="9">
        <f t="shared" si="14"/>
        <v>1.0913636119627801E-4</v>
      </c>
    </row>
    <row r="933" spans="1:18" hidden="1" x14ac:dyDescent="0.2">
      <c r="A933" s="4">
        <v>1982</v>
      </c>
      <c r="B933" s="2">
        <v>5477646</v>
      </c>
      <c r="C933" s="2">
        <v>0</v>
      </c>
      <c r="D933" s="4" t="s">
        <v>4558</v>
      </c>
      <c r="E933" s="2">
        <v>5477646</v>
      </c>
      <c r="F933" s="2">
        <v>1040752.74</v>
      </c>
      <c r="G933" s="2">
        <v>0</v>
      </c>
      <c r="H933" s="4">
        <v>0</v>
      </c>
      <c r="I933" s="4">
        <v>0</v>
      </c>
      <c r="J933" s="4">
        <v>0</v>
      </c>
      <c r="K933" s="4">
        <v>6518398.7400000002</v>
      </c>
      <c r="L933" s="4" t="s">
        <v>4556</v>
      </c>
      <c r="M933" s="4" t="s">
        <v>4557</v>
      </c>
      <c r="N933" s="4" t="s">
        <v>20</v>
      </c>
      <c r="O933" s="4" t="s">
        <v>257</v>
      </c>
      <c r="P933" s="4" t="s">
        <v>257</v>
      </c>
      <c r="Q933" s="4" t="s">
        <v>100</v>
      </c>
      <c r="R933" s="9">
        <f t="shared" si="14"/>
        <v>1.0911428992091038E-4</v>
      </c>
    </row>
    <row r="934" spans="1:18" hidden="1" x14ac:dyDescent="0.2">
      <c r="A934" s="4">
        <v>1223</v>
      </c>
      <c r="B934" s="2">
        <v>5473609</v>
      </c>
      <c r="C934" s="2">
        <v>0</v>
      </c>
      <c r="D934" s="4" t="s">
        <v>2972</v>
      </c>
      <c r="E934" s="2">
        <v>5473609</v>
      </c>
      <c r="F934" s="2">
        <v>1039985.71</v>
      </c>
      <c r="G934" s="2">
        <v>0</v>
      </c>
      <c r="H934" s="4">
        <v>0</v>
      </c>
      <c r="I934" s="4">
        <v>0</v>
      </c>
      <c r="J934" s="4">
        <v>0</v>
      </c>
      <c r="K934" s="4">
        <v>6513594.71</v>
      </c>
      <c r="L934" s="4" t="s">
        <v>2970</v>
      </c>
      <c r="M934" s="4" t="s">
        <v>2971</v>
      </c>
      <c r="N934" s="4" t="s">
        <v>20</v>
      </c>
      <c r="O934" s="4" t="s">
        <v>316</v>
      </c>
      <c r="P934" s="4" t="s">
        <v>316</v>
      </c>
      <c r="Q934" s="4" t="s">
        <v>100</v>
      </c>
      <c r="R934" s="9">
        <f t="shared" si="14"/>
        <v>1.090338731892686E-4</v>
      </c>
    </row>
    <row r="935" spans="1:18" hidden="1" x14ac:dyDescent="0.2">
      <c r="A935" s="4">
        <v>1720</v>
      </c>
      <c r="B935" s="2">
        <v>5468570</v>
      </c>
      <c r="C935" s="2">
        <v>0</v>
      </c>
      <c r="D935" s="4" t="s">
        <v>3411</v>
      </c>
      <c r="E935" s="2">
        <v>5468570</v>
      </c>
      <c r="F935" s="2">
        <v>1039028.3</v>
      </c>
      <c r="G935" s="2">
        <v>0</v>
      </c>
      <c r="H935" s="4">
        <v>0</v>
      </c>
      <c r="I935" s="4">
        <v>0</v>
      </c>
      <c r="J935" s="4">
        <v>0</v>
      </c>
      <c r="K935" s="4">
        <v>6507598.2999999998</v>
      </c>
      <c r="L935" s="4" t="s">
        <v>3409</v>
      </c>
      <c r="M935" s="4" t="s">
        <v>3410</v>
      </c>
      <c r="N935" s="4" t="s">
        <v>20</v>
      </c>
      <c r="O935" s="4" t="s">
        <v>1517</v>
      </c>
      <c r="P935" s="4" t="s">
        <v>1517</v>
      </c>
      <c r="Q935" s="4" t="s">
        <v>100</v>
      </c>
      <c r="R935" s="9">
        <f t="shared" si="14"/>
        <v>1.0893349669416257E-4</v>
      </c>
    </row>
    <row r="936" spans="1:18" hidden="1" x14ac:dyDescent="0.2">
      <c r="A936" s="4">
        <v>1760</v>
      </c>
      <c r="B936" s="2">
        <v>5448507</v>
      </c>
      <c r="C936" s="2">
        <v>0</v>
      </c>
      <c r="D936" s="4" t="s">
        <v>3971</v>
      </c>
      <c r="E936" s="2">
        <v>5448507</v>
      </c>
      <c r="F936" s="2">
        <v>1035216.33</v>
      </c>
      <c r="G936" s="2">
        <v>0</v>
      </c>
      <c r="H936" s="4">
        <v>0</v>
      </c>
      <c r="I936" s="4">
        <v>0</v>
      </c>
      <c r="J936" s="4">
        <v>0</v>
      </c>
      <c r="K936" s="4">
        <v>6483723.3300000001</v>
      </c>
      <c r="L936" s="4" t="s">
        <v>3969</v>
      </c>
      <c r="M936" s="4" t="s">
        <v>3970</v>
      </c>
      <c r="N936" s="4" t="s">
        <v>20</v>
      </c>
      <c r="O936" s="4" t="s">
        <v>372</v>
      </c>
      <c r="P936" s="4" t="s">
        <v>372</v>
      </c>
      <c r="Q936" s="4" t="s">
        <v>100</v>
      </c>
      <c r="R936" s="9">
        <f t="shared" si="14"/>
        <v>1.0853384326663492E-4</v>
      </c>
    </row>
    <row r="937" spans="1:18" hidden="1" x14ac:dyDescent="0.2">
      <c r="A937" s="4">
        <v>1254</v>
      </c>
      <c r="B937" s="2">
        <v>5441632</v>
      </c>
      <c r="C937" s="2">
        <v>0</v>
      </c>
      <c r="D937" s="4" t="s">
        <v>2915</v>
      </c>
      <c r="E937" s="2">
        <v>5441632</v>
      </c>
      <c r="F937" s="2">
        <v>1033910.08</v>
      </c>
      <c r="G937" s="2">
        <v>136040.79999999999</v>
      </c>
      <c r="H937" s="4">
        <v>0</v>
      </c>
      <c r="I937" s="4">
        <v>0</v>
      </c>
      <c r="J937" s="4">
        <v>136040.79999999999</v>
      </c>
      <c r="K937" s="4">
        <v>6339501.2800000003</v>
      </c>
      <c r="L937" s="4" t="s">
        <v>2913</v>
      </c>
      <c r="M937" s="4" t="s">
        <v>2914</v>
      </c>
      <c r="N937" s="4" t="s">
        <v>2916</v>
      </c>
      <c r="O937" s="4" t="s">
        <v>27</v>
      </c>
      <c r="P937" s="4" t="s">
        <v>27</v>
      </c>
      <c r="Q937" s="4" t="s">
        <v>100</v>
      </c>
      <c r="R937" s="9">
        <f t="shared" si="14"/>
        <v>1.0839689379176811E-4</v>
      </c>
    </row>
    <row r="938" spans="1:18" x14ac:dyDescent="0.2">
      <c r="A938" s="4">
        <v>821</v>
      </c>
      <c r="B938" s="2">
        <v>5441050</v>
      </c>
      <c r="C938" s="2">
        <v>0</v>
      </c>
      <c r="D938" s="4" t="s">
        <v>2759</v>
      </c>
      <c r="E938" s="2">
        <v>5441050</v>
      </c>
      <c r="F938" s="2">
        <v>1033799.5</v>
      </c>
      <c r="G938" s="2">
        <v>136026.25</v>
      </c>
      <c r="H938" s="4">
        <v>155069.92000000001</v>
      </c>
      <c r="I938" s="4">
        <v>0</v>
      </c>
      <c r="J938" s="4">
        <v>291096.17</v>
      </c>
      <c r="K938" s="4">
        <v>6183753.3300000001</v>
      </c>
      <c r="L938" s="4" t="s">
        <v>2758</v>
      </c>
      <c r="M938" s="4" t="s">
        <v>81</v>
      </c>
      <c r="N938" s="4" t="s">
        <v>20</v>
      </c>
      <c r="O938" s="4" t="s">
        <v>372</v>
      </c>
      <c r="P938" s="4" t="s">
        <v>372</v>
      </c>
      <c r="Q938" s="4" t="s">
        <v>28</v>
      </c>
      <c r="R938" s="9">
        <f t="shared" si="14"/>
        <v>1.0838530039622302E-4</v>
      </c>
    </row>
    <row r="939" spans="1:18" hidden="1" x14ac:dyDescent="0.2">
      <c r="A939" s="4">
        <v>1916</v>
      </c>
      <c r="B939" s="2">
        <v>5451308</v>
      </c>
      <c r="C939" s="2">
        <v>25382.28</v>
      </c>
      <c r="D939" s="4" t="s">
        <v>2246</v>
      </c>
      <c r="E939" s="2">
        <v>5425925.7199999997</v>
      </c>
      <c r="F939" s="2">
        <v>1030925.89</v>
      </c>
      <c r="G939" s="2">
        <v>0</v>
      </c>
      <c r="H939" s="4">
        <v>0</v>
      </c>
      <c r="I939" s="4">
        <v>0</v>
      </c>
      <c r="J939" s="4">
        <v>0</v>
      </c>
      <c r="K939" s="4">
        <v>6456851.6100000003</v>
      </c>
      <c r="L939" s="4" t="s">
        <v>2244</v>
      </c>
      <c r="M939" s="4" t="s">
        <v>2245</v>
      </c>
      <c r="N939" s="4" t="s">
        <v>20</v>
      </c>
      <c r="O939" s="4" t="s">
        <v>71</v>
      </c>
      <c r="P939" s="4" t="s">
        <v>71</v>
      </c>
      <c r="Q939" s="4" t="s">
        <v>100</v>
      </c>
      <c r="R939" s="9">
        <f t="shared" si="14"/>
        <v>1.0808402589386105E-4</v>
      </c>
    </row>
    <row r="940" spans="1:18" hidden="1" x14ac:dyDescent="0.2">
      <c r="A940" s="4">
        <v>1346</v>
      </c>
      <c r="B940" s="2">
        <v>5423363</v>
      </c>
      <c r="C940" s="2">
        <v>0</v>
      </c>
      <c r="D940" s="4" t="s">
        <v>3198</v>
      </c>
      <c r="E940" s="2">
        <v>5423363</v>
      </c>
      <c r="F940" s="2">
        <v>1030438.97</v>
      </c>
      <c r="G940" s="2">
        <v>0</v>
      </c>
      <c r="H940" s="4">
        <v>0</v>
      </c>
      <c r="I940" s="4">
        <v>0</v>
      </c>
      <c r="J940" s="4">
        <v>0</v>
      </c>
      <c r="K940" s="4">
        <v>6453801.9699999997</v>
      </c>
      <c r="L940" s="4" t="s">
        <v>3196</v>
      </c>
      <c r="M940" s="4" t="s">
        <v>3197</v>
      </c>
      <c r="N940" s="4" t="s">
        <v>20</v>
      </c>
      <c r="O940" s="4" t="s">
        <v>540</v>
      </c>
      <c r="P940" s="4" t="s">
        <v>540</v>
      </c>
      <c r="Q940" s="4" t="s">
        <v>100</v>
      </c>
      <c r="R940" s="9">
        <f t="shared" si="14"/>
        <v>1.0803297670720932E-4</v>
      </c>
    </row>
    <row r="941" spans="1:18" hidden="1" x14ac:dyDescent="0.2">
      <c r="A941" s="4">
        <v>1865</v>
      </c>
      <c r="B941" s="2">
        <v>5417809</v>
      </c>
      <c r="C941" s="2">
        <v>0</v>
      </c>
      <c r="D941" s="4" t="s">
        <v>3306</v>
      </c>
      <c r="E941" s="2">
        <v>5417809</v>
      </c>
      <c r="F941" s="2">
        <v>1029383.71</v>
      </c>
      <c r="G941" s="2">
        <v>0</v>
      </c>
      <c r="H941" s="4">
        <v>0</v>
      </c>
      <c r="I941" s="4">
        <v>0</v>
      </c>
      <c r="J941" s="4">
        <v>0</v>
      </c>
      <c r="K941" s="4">
        <v>6447192.71</v>
      </c>
      <c r="L941" s="4" t="s">
        <v>3304</v>
      </c>
      <c r="M941" s="4" t="s">
        <v>3305</v>
      </c>
      <c r="N941" s="4" t="s">
        <v>233</v>
      </c>
      <c r="O941" s="4" t="s">
        <v>229</v>
      </c>
      <c r="P941" s="4" t="s">
        <v>229</v>
      </c>
      <c r="Q941" s="4" t="s">
        <v>100</v>
      </c>
      <c r="R941" s="9">
        <f t="shared" si="14"/>
        <v>1.0792234145144056E-4</v>
      </c>
    </row>
    <row r="942" spans="1:18" hidden="1" x14ac:dyDescent="0.2">
      <c r="A942" s="4">
        <v>625</v>
      </c>
      <c r="B942" s="2">
        <v>5407398</v>
      </c>
      <c r="C942" s="2">
        <v>0</v>
      </c>
      <c r="D942" s="4" t="s">
        <v>3032</v>
      </c>
      <c r="E942" s="2">
        <v>5407398</v>
      </c>
      <c r="F942" s="2">
        <v>1027405.62</v>
      </c>
      <c r="G942" s="2">
        <v>36890</v>
      </c>
      <c r="H942" s="4">
        <v>0</v>
      </c>
      <c r="I942" s="4">
        <v>0</v>
      </c>
      <c r="J942" s="4">
        <v>36890</v>
      </c>
      <c r="K942" s="4">
        <v>6397913.6200000001</v>
      </c>
      <c r="L942" s="4" t="s">
        <v>3030</v>
      </c>
      <c r="M942" s="4" t="s">
        <v>3031</v>
      </c>
      <c r="N942" s="4" t="s">
        <v>20</v>
      </c>
      <c r="O942" s="4" t="s">
        <v>768</v>
      </c>
      <c r="P942" s="4" t="s">
        <v>768</v>
      </c>
      <c r="Q942" s="4" t="s">
        <v>100</v>
      </c>
      <c r="R942" s="9">
        <f t="shared" si="14"/>
        <v>1.0771495512666407E-4</v>
      </c>
    </row>
    <row r="943" spans="1:18" hidden="1" x14ac:dyDescent="0.2">
      <c r="A943" s="4">
        <v>1387</v>
      </c>
      <c r="B943" s="2">
        <v>5400968</v>
      </c>
      <c r="C943" s="2">
        <v>0</v>
      </c>
      <c r="D943" s="4" t="s">
        <v>4098</v>
      </c>
      <c r="E943" s="2">
        <v>5400968</v>
      </c>
      <c r="F943" s="2">
        <v>1026183.92</v>
      </c>
      <c r="G943" s="2">
        <v>107615.45</v>
      </c>
      <c r="H943" s="4">
        <v>0</v>
      </c>
      <c r="I943" s="4">
        <v>0</v>
      </c>
      <c r="J943" s="4">
        <v>107615.45</v>
      </c>
      <c r="K943" s="4">
        <v>6319536.4699999997</v>
      </c>
      <c r="L943" s="4" t="s">
        <v>4096</v>
      </c>
      <c r="M943" s="4" t="s">
        <v>4097</v>
      </c>
      <c r="N943" s="4" t="s">
        <v>20</v>
      </c>
      <c r="O943" s="4" t="s">
        <v>372</v>
      </c>
      <c r="P943" s="4" t="s">
        <v>372</v>
      </c>
      <c r="Q943" s="4" t="s">
        <v>100</v>
      </c>
      <c r="R943" s="9">
        <f t="shared" si="14"/>
        <v>1.0758687001780683E-4</v>
      </c>
    </row>
    <row r="944" spans="1:18" hidden="1" x14ac:dyDescent="0.2">
      <c r="A944" s="4">
        <v>376</v>
      </c>
      <c r="B944" s="2">
        <v>5386783</v>
      </c>
      <c r="C944" s="2">
        <v>0</v>
      </c>
      <c r="D944" s="4" t="s">
        <v>5554</v>
      </c>
      <c r="E944" s="2">
        <v>5386783</v>
      </c>
      <c r="F944" s="2">
        <v>1023488.77</v>
      </c>
      <c r="G944" s="2">
        <v>134669.57999999999</v>
      </c>
      <c r="H944" s="4">
        <v>0</v>
      </c>
      <c r="I944" s="4">
        <v>0</v>
      </c>
      <c r="J944" s="4">
        <v>134669.57999999999</v>
      </c>
      <c r="K944" s="4">
        <v>6275602.1900000004</v>
      </c>
      <c r="L944" s="4" t="s">
        <v>5552</v>
      </c>
      <c r="M944" s="4" t="s">
        <v>5553</v>
      </c>
      <c r="N944" s="4" t="s">
        <v>20</v>
      </c>
      <c r="O944" s="4" t="s">
        <v>386</v>
      </c>
      <c r="P944" s="4" t="s">
        <v>386</v>
      </c>
      <c r="Q944" s="4" t="s">
        <v>585</v>
      </c>
      <c r="R944" s="9">
        <f t="shared" si="14"/>
        <v>1.0730430590129983E-4</v>
      </c>
    </row>
    <row r="945" spans="1:18" hidden="1" x14ac:dyDescent="0.2">
      <c r="A945" s="4">
        <v>624</v>
      </c>
      <c r="B945" s="2">
        <v>5386340</v>
      </c>
      <c r="C945" s="2">
        <v>0</v>
      </c>
      <c r="D945" s="4" t="s">
        <v>3390</v>
      </c>
      <c r="E945" s="2">
        <v>5386340</v>
      </c>
      <c r="F945" s="2">
        <v>1023404.6</v>
      </c>
      <c r="G945" s="2">
        <v>134658.5</v>
      </c>
      <c r="H945" s="4">
        <v>0</v>
      </c>
      <c r="I945" s="4">
        <v>0</v>
      </c>
      <c r="J945" s="4">
        <v>134658.5</v>
      </c>
      <c r="K945" s="4">
        <v>6275086.0999999996</v>
      </c>
      <c r="L945" s="4" t="s">
        <v>3388</v>
      </c>
      <c r="M945" s="4" t="s">
        <v>3389</v>
      </c>
      <c r="N945" s="4" t="s">
        <v>218</v>
      </c>
      <c r="O945" s="4" t="s">
        <v>196</v>
      </c>
      <c r="P945" s="4" t="s">
        <v>196</v>
      </c>
      <c r="Q945" s="4" t="s">
        <v>100</v>
      </c>
      <c r="R945" s="9">
        <f t="shared" si="14"/>
        <v>1.072954813751375E-4</v>
      </c>
    </row>
    <row r="946" spans="1:18" hidden="1" x14ac:dyDescent="0.2">
      <c r="A946" s="4">
        <v>1220</v>
      </c>
      <c r="B946" s="2">
        <v>5357176</v>
      </c>
      <c r="C946" s="2">
        <v>0</v>
      </c>
      <c r="D946" s="4" t="s">
        <v>4208</v>
      </c>
      <c r="E946" s="2">
        <v>5357176</v>
      </c>
      <c r="F946" s="2">
        <v>1017863.44</v>
      </c>
      <c r="G946" s="2">
        <v>73052.399999999994</v>
      </c>
      <c r="H946" s="4">
        <v>0</v>
      </c>
      <c r="I946" s="4">
        <v>0</v>
      </c>
      <c r="J946" s="4">
        <v>73052.399999999994</v>
      </c>
      <c r="K946" s="4">
        <v>6301987.04</v>
      </c>
      <c r="L946" s="4" t="s">
        <v>4206</v>
      </c>
      <c r="M946" s="4" t="s">
        <v>4207</v>
      </c>
      <c r="N946" s="4" t="s">
        <v>20</v>
      </c>
      <c r="O946" s="4" t="s">
        <v>76</v>
      </c>
      <c r="P946" s="4" t="s">
        <v>76</v>
      </c>
      <c r="Q946" s="4" t="s">
        <v>1378</v>
      </c>
      <c r="R946" s="9">
        <f t="shared" si="14"/>
        <v>1.0671453672277161E-4</v>
      </c>
    </row>
    <row r="947" spans="1:18" hidden="1" x14ac:dyDescent="0.2">
      <c r="A947" s="4">
        <v>849</v>
      </c>
      <c r="B947" s="2">
        <v>5350720</v>
      </c>
      <c r="C947" s="2">
        <v>12821.76</v>
      </c>
      <c r="D947" s="4" t="s">
        <v>3420</v>
      </c>
      <c r="E947" s="2">
        <v>5337898.24</v>
      </c>
      <c r="F947" s="2">
        <v>1014200.67</v>
      </c>
      <c r="G947" s="2">
        <v>0</v>
      </c>
      <c r="H947" s="4">
        <v>0</v>
      </c>
      <c r="I947" s="4">
        <v>0</v>
      </c>
      <c r="J947" s="4">
        <v>0</v>
      </c>
      <c r="K947" s="4">
        <v>6352098.9100000001</v>
      </c>
      <c r="L947" s="4" t="s">
        <v>3418</v>
      </c>
      <c r="M947" s="4" t="s">
        <v>3419</v>
      </c>
      <c r="N947" s="4" t="s">
        <v>20</v>
      </c>
      <c r="O947" s="4" t="s">
        <v>692</v>
      </c>
      <c r="P947" s="4" t="s">
        <v>692</v>
      </c>
      <c r="Q947" s="4" t="s">
        <v>100</v>
      </c>
      <c r="R947" s="9">
        <f t="shared" si="14"/>
        <v>1.0633052521606494E-4</v>
      </c>
    </row>
    <row r="948" spans="1:18" hidden="1" x14ac:dyDescent="0.2">
      <c r="A948" s="4">
        <v>1195</v>
      </c>
      <c r="B948" s="2">
        <v>5317376</v>
      </c>
      <c r="C948" s="2">
        <v>0</v>
      </c>
      <c r="D948" s="4" t="s">
        <v>1924</v>
      </c>
      <c r="E948" s="2">
        <v>5317376</v>
      </c>
      <c r="F948" s="2">
        <v>1010301.4399999999</v>
      </c>
      <c r="G948" s="2">
        <v>132934.39999999999</v>
      </c>
      <c r="H948" s="4">
        <v>0</v>
      </c>
      <c r="I948" s="4">
        <v>0</v>
      </c>
      <c r="J948" s="4">
        <v>132934.39999999999</v>
      </c>
      <c r="K948" s="4">
        <v>6194743.04</v>
      </c>
      <c r="L948" s="4" t="s">
        <v>1923</v>
      </c>
      <c r="M948" s="4" t="s">
        <v>723</v>
      </c>
      <c r="N948" s="4" t="s">
        <v>427</v>
      </c>
      <c r="O948" s="4" t="s">
        <v>89</v>
      </c>
      <c r="P948" s="4" t="s">
        <v>89</v>
      </c>
      <c r="Q948" s="4" t="s">
        <v>100</v>
      </c>
      <c r="R948" s="9">
        <f t="shared" si="14"/>
        <v>1.059217237628154E-4</v>
      </c>
    </row>
    <row r="949" spans="1:18" hidden="1" x14ac:dyDescent="0.2">
      <c r="A949" s="4">
        <v>1874</v>
      </c>
      <c r="B949" s="2">
        <v>5308888</v>
      </c>
      <c r="C949" s="2">
        <v>0</v>
      </c>
      <c r="D949" s="4" t="s">
        <v>1323</v>
      </c>
      <c r="E949" s="2">
        <v>5308888</v>
      </c>
      <c r="F949" s="2">
        <v>1008688.72</v>
      </c>
      <c r="G949" s="2">
        <v>0</v>
      </c>
      <c r="H949" s="4">
        <v>0</v>
      </c>
      <c r="I949" s="4">
        <v>0</v>
      </c>
      <c r="J949" s="4">
        <v>0</v>
      </c>
      <c r="K949" s="4">
        <v>6317576.7199999997</v>
      </c>
      <c r="L949" s="4" t="s">
        <v>1321</v>
      </c>
      <c r="M949" s="4" t="s">
        <v>1322</v>
      </c>
      <c r="N949" s="4" t="s">
        <v>20</v>
      </c>
      <c r="O949" s="4" t="s">
        <v>692</v>
      </c>
      <c r="P949" s="4" t="s">
        <v>692</v>
      </c>
      <c r="Q949" s="4" t="s">
        <v>100</v>
      </c>
      <c r="R949" s="9">
        <f t="shared" si="14"/>
        <v>1.0575264345115439E-4</v>
      </c>
    </row>
    <row r="950" spans="1:18" hidden="1" x14ac:dyDescent="0.2">
      <c r="A950" s="4">
        <v>1566</v>
      </c>
      <c r="B950" s="2">
        <v>5268720</v>
      </c>
      <c r="C950" s="2">
        <v>0</v>
      </c>
      <c r="D950" s="4" t="s">
        <v>5161</v>
      </c>
      <c r="E950" s="2">
        <v>5268720</v>
      </c>
      <c r="F950" s="2">
        <v>1001056.8</v>
      </c>
      <c r="G950" s="2">
        <v>105374.39999999999</v>
      </c>
      <c r="H950" s="4">
        <v>0</v>
      </c>
      <c r="I950" s="4">
        <v>0</v>
      </c>
      <c r="J950" s="4">
        <v>105374.39999999999</v>
      </c>
      <c r="K950" s="4">
        <v>6164402.4000000004</v>
      </c>
      <c r="L950" s="4" t="s">
        <v>5159</v>
      </c>
      <c r="M950" s="4" t="s">
        <v>5160</v>
      </c>
      <c r="N950" s="4" t="s">
        <v>20</v>
      </c>
      <c r="O950" s="4" t="s">
        <v>71</v>
      </c>
      <c r="P950" s="4" t="s">
        <v>71</v>
      </c>
      <c r="Q950" s="4" t="s">
        <v>100</v>
      </c>
      <c r="R950" s="9">
        <f t="shared" si="14"/>
        <v>1.0495249995930714E-4</v>
      </c>
    </row>
    <row r="951" spans="1:18" hidden="1" x14ac:dyDescent="0.2">
      <c r="A951" s="4">
        <v>1395</v>
      </c>
      <c r="B951" s="2">
        <v>5253910</v>
      </c>
      <c r="C951" s="2">
        <v>0</v>
      </c>
      <c r="D951" s="4" t="s">
        <v>2536</v>
      </c>
      <c r="E951" s="2">
        <v>5253910</v>
      </c>
      <c r="F951" s="2">
        <v>998242.9</v>
      </c>
      <c r="G951" s="2">
        <v>131347.75</v>
      </c>
      <c r="H951" s="4">
        <v>0</v>
      </c>
      <c r="I951" s="4">
        <v>0</v>
      </c>
      <c r="J951" s="4">
        <v>131347.75</v>
      </c>
      <c r="K951" s="4">
        <v>6120805.1500000004</v>
      </c>
      <c r="L951" s="4" t="s">
        <v>2534</v>
      </c>
      <c r="M951" s="4" t="s">
        <v>2535</v>
      </c>
      <c r="N951" s="4" t="s">
        <v>322</v>
      </c>
      <c r="O951" s="4" t="s">
        <v>229</v>
      </c>
      <c r="P951" s="4" t="s">
        <v>229</v>
      </c>
      <c r="Q951" s="4" t="s">
        <v>100</v>
      </c>
      <c r="R951" s="9">
        <f t="shared" si="14"/>
        <v>1.0465748589053953E-4</v>
      </c>
    </row>
    <row r="952" spans="1:18" hidden="1" x14ac:dyDescent="0.2">
      <c r="A952" s="4">
        <v>95</v>
      </c>
      <c r="B952" s="2">
        <v>5240118</v>
      </c>
      <c r="C952" s="2">
        <v>0</v>
      </c>
      <c r="D952" s="4" t="s">
        <v>2305</v>
      </c>
      <c r="E952" s="2">
        <v>5240118</v>
      </c>
      <c r="F952" s="2">
        <v>995622.42</v>
      </c>
      <c r="G952" s="2">
        <v>0</v>
      </c>
      <c r="H952" s="4">
        <v>0</v>
      </c>
      <c r="I952" s="4">
        <v>0</v>
      </c>
      <c r="J952" s="4">
        <v>0</v>
      </c>
      <c r="K952" s="4">
        <v>6235740.4199999999</v>
      </c>
      <c r="L952" s="4" t="s">
        <v>2303</v>
      </c>
      <c r="M952" s="4" t="s">
        <v>2304</v>
      </c>
      <c r="N952" s="4" t="s">
        <v>186</v>
      </c>
      <c r="O952" s="4" t="s">
        <v>59</v>
      </c>
      <c r="P952" s="4" t="s">
        <v>59</v>
      </c>
      <c r="Q952" s="4" t="s">
        <v>100</v>
      </c>
      <c r="R952" s="9">
        <f t="shared" si="14"/>
        <v>1.0438275030401401E-4</v>
      </c>
    </row>
    <row r="953" spans="1:18" hidden="1" x14ac:dyDescent="0.2">
      <c r="A953" s="4">
        <v>1978</v>
      </c>
      <c r="B953" s="2">
        <v>5220261</v>
      </c>
      <c r="C953" s="2">
        <v>0</v>
      </c>
      <c r="D953" s="4" t="s">
        <v>5557</v>
      </c>
      <c r="E953" s="2">
        <v>5220261</v>
      </c>
      <c r="F953" s="2">
        <v>991849.59</v>
      </c>
      <c r="G953" s="2">
        <v>0</v>
      </c>
      <c r="H953" s="4">
        <v>0</v>
      </c>
      <c r="I953" s="4">
        <v>0</v>
      </c>
      <c r="J953" s="4">
        <v>0</v>
      </c>
      <c r="K953" s="4">
        <v>6212110.5899999999</v>
      </c>
      <c r="L953" s="4" t="s">
        <v>5555</v>
      </c>
      <c r="M953" s="4" t="s">
        <v>5556</v>
      </c>
      <c r="N953" s="4" t="s">
        <v>233</v>
      </c>
      <c r="O953" s="4" t="s">
        <v>229</v>
      </c>
      <c r="P953" s="4" t="s">
        <v>229</v>
      </c>
      <c r="Q953" s="4" t="s">
        <v>100</v>
      </c>
      <c r="R953" s="9">
        <f t="shared" si="14"/>
        <v>1.0398720038075143E-4</v>
      </c>
    </row>
    <row r="954" spans="1:18" hidden="1" x14ac:dyDescent="0.2">
      <c r="A954" s="4">
        <v>1371</v>
      </c>
      <c r="B954" s="2">
        <v>5229668</v>
      </c>
      <c r="C954" s="2">
        <v>9868.32</v>
      </c>
      <c r="D954" s="4" t="s">
        <v>3216</v>
      </c>
      <c r="E954" s="2">
        <v>5219799.68</v>
      </c>
      <c r="F954" s="2">
        <v>991761.94</v>
      </c>
      <c r="G954" s="2">
        <v>0</v>
      </c>
      <c r="H954" s="4">
        <v>0</v>
      </c>
      <c r="I954" s="4">
        <v>0</v>
      </c>
      <c r="J954" s="4">
        <v>0</v>
      </c>
      <c r="K954" s="4">
        <v>6211561.6200000001</v>
      </c>
      <c r="L954" s="4" t="s">
        <v>3214</v>
      </c>
      <c r="M954" s="4" t="s">
        <v>3215</v>
      </c>
      <c r="N954" s="4" t="s">
        <v>20</v>
      </c>
      <c r="O954" s="4" t="s">
        <v>372</v>
      </c>
      <c r="P954" s="4" t="s">
        <v>372</v>
      </c>
      <c r="Q954" s="4" t="s">
        <v>100</v>
      </c>
      <c r="R954" s="9">
        <f t="shared" si="14"/>
        <v>1.0397801092158844E-4</v>
      </c>
    </row>
    <row r="955" spans="1:18" hidden="1" x14ac:dyDescent="0.2">
      <c r="A955" s="4">
        <v>1427</v>
      </c>
      <c r="B955" s="2">
        <v>5218920</v>
      </c>
      <c r="C955" s="2">
        <v>0</v>
      </c>
      <c r="D955" s="4" t="s">
        <v>4667</v>
      </c>
      <c r="E955" s="2">
        <v>5218920</v>
      </c>
      <c r="F955" s="2">
        <v>991594.8</v>
      </c>
      <c r="G955" s="2">
        <v>84870.98</v>
      </c>
      <c r="H955" s="4">
        <v>0</v>
      </c>
      <c r="I955" s="4">
        <v>0</v>
      </c>
      <c r="J955" s="4">
        <v>84870.98</v>
      </c>
      <c r="K955" s="4">
        <v>6125643.8200000003</v>
      </c>
      <c r="L955" s="4" t="s">
        <v>4665</v>
      </c>
      <c r="M955" s="4" t="s">
        <v>4666</v>
      </c>
      <c r="N955" s="4" t="s">
        <v>20</v>
      </c>
      <c r="O955" s="4" t="s">
        <v>386</v>
      </c>
      <c r="P955" s="4" t="s">
        <v>386</v>
      </c>
      <c r="Q955" s="4" t="s">
        <v>585</v>
      </c>
      <c r="R955" s="9">
        <f t="shared" si="14"/>
        <v>1.0396048776318104E-4</v>
      </c>
    </row>
    <row r="956" spans="1:18" hidden="1" x14ac:dyDescent="0.2">
      <c r="A956" s="4">
        <v>1417</v>
      </c>
      <c r="B956" s="2">
        <v>5209396</v>
      </c>
      <c r="C956" s="2">
        <v>0</v>
      </c>
      <c r="D956" s="4" t="s">
        <v>3572</v>
      </c>
      <c r="E956" s="2">
        <v>5209396</v>
      </c>
      <c r="F956" s="2">
        <v>989785.24</v>
      </c>
      <c r="G956" s="2">
        <v>0</v>
      </c>
      <c r="H956" s="4">
        <v>0</v>
      </c>
      <c r="I956" s="4">
        <v>0</v>
      </c>
      <c r="J956" s="4">
        <v>0</v>
      </c>
      <c r="K956" s="4">
        <v>6199181.2400000002</v>
      </c>
      <c r="L956" s="4" t="s">
        <v>3570</v>
      </c>
      <c r="M956" s="4" t="s">
        <v>3571</v>
      </c>
      <c r="N956" s="4" t="s">
        <v>20</v>
      </c>
      <c r="O956" s="4" t="s">
        <v>316</v>
      </c>
      <c r="P956" s="4" t="s">
        <v>316</v>
      </c>
      <c r="Q956" s="4" t="s">
        <v>100</v>
      </c>
      <c r="R956" s="9">
        <f t="shared" si="14"/>
        <v>1.0377077041065284E-4</v>
      </c>
    </row>
    <row r="957" spans="1:18" hidden="1" x14ac:dyDescent="0.2">
      <c r="A957" s="4">
        <v>1419</v>
      </c>
      <c r="B957" s="2">
        <v>5199412</v>
      </c>
      <c r="C957" s="2">
        <v>0</v>
      </c>
      <c r="D957" s="4" t="s">
        <v>3959</v>
      </c>
      <c r="E957" s="2">
        <v>5199412</v>
      </c>
      <c r="F957" s="2">
        <v>987888.28</v>
      </c>
      <c r="G957" s="2">
        <v>0</v>
      </c>
      <c r="H957" s="4">
        <v>0</v>
      </c>
      <c r="I957" s="4">
        <v>0</v>
      </c>
      <c r="J957" s="4">
        <v>0</v>
      </c>
      <c r="K957" s="4">
        <v>6187300.2800000003</v>
      </c>
      <c r="L957" s="4" t="s">
        <v>3957</v>
      </c>
      <c r="M957" s="4" t="s">
        <v>3958</v>
      </c>
      <c r="N957" s="4" t="s">
        <v>20</v>
      </c>
      <c r="O957" s="4" t="s">
        <v>1043</v>
      </c>
      <c r="P957" s="4" t="s">
        <v>1043</v>
      </c>
      <c r="Q957" s="4" t="s">
        <v>100</v>
      </c>
      <c r="R957" s="9">
        <f t="shared" si="14"/>
        <v>1.0357188989326081E-4</v>
      </c>
    </row>
    <row r="958" spans="1:18" hidden="1" x14ac:dyDescent="0.2">
      <c r="A958" s="4">
        <v>65</v>
      </c>
      <c r="B958" s="2">
        <v>5132442</v>
      </c>
      <c r="C958" s="2">
        <v>0</v>
      </c>
      <c r="D958" s="4" t="s">
        <v>4851</v>
      </c>
      <c r="E958" s="2">
        <v>5132442</v>
      </c>
      <c r="F958" s="2">
        <v>975163.98</v>
      </c>
      <c r="G958" s="2">
        <v>0</v>
      </c>
      <c r="H958" s="4">
        <v>0</v>
      </c>
      <c r="I958" s="4">
        <v>0</v>
      </c>
      <c r="J958" s="4">
        <v>0</v>
      </c>
      <c r="K958" s="4">
        <v>6107605.9800000004</v>
      </c>
      <c r="L958" s="4" t="s">
        <v>4849</v>
      </c>
      <c r="M958" s="4" t="s">
        <v>4850</v>
      </c>
      <c r="N958" s="4" t="s">
        <v>20</v>
      </c>
      <c r="O958" s="4" t="s">
        <v>71</v>
      </c>
      <c r="P958" s="4" t="s">
        <v>71</v>
      </c>
      <c r="Q958" s="4" t="s">
        <v>100</v>
      </c>
      <c r="R958" s="9">
        <f t="shared" si="14"/>
        <v>1.02237852608631E-4</v>
      </c>
    </row>
    <row r="959" spans="1:18" hidden="1" x14ac:dyDescent="0.2">
      <c r="A959" s="4">
        <v>540</v>
      </c>
      <c r="B959" s="2">
        <v>5128620</v>
      </c>
      <c r="C959" s="2">
        <v>0</v>
      </c>
      <c r="D959" s="4" t="s">
        <v>2912</v>
      </c>
      <c r="E959" s="2">
        <v>5128620</v>
      </c>
      <c r="F959" s="2">
        <v>974437.8</v>
      </c>
      <c r="G959" s="2">
        <v>0</v>
      </c>
      <c r="H959" s="4">
        <v>0</v>
      </c>
      <c r="I959" s="4">
        <v>0</v>
      </c>
      <c r="J959" s="4">
        <v>0</v>
      </c>
      <c r="K959" s="4">
        <v>6103057.7999999998</v>
      </c>
      <c r="L959" s="4" t="s">
        <v>2910</v>
      </c>
      <c r="M959" s="4" t="s">
        <v>2911</v>
      </c>
      <c r="N959" s="4" t="s">
        <v>1714</v>
      </c>
      <c r="O959" s="4" t="s">
        <v>559</v>
      </c>
      <c r="P959" s="4" t="s">
        <v>559</v>
      </c>
      <c r="Q959" s="4" t="s">
        <v>100</v>
      </c>
      <c r="R959" s="9">
        <f t="shared" si="14"/>
        <v>1.0216171866056686E-4</v>
      </c>
    </row>
    <row r="960" spans="1:18" hidden="1" x14ac:dyDescent="0.2">
      <c r="A960" s="4">
        <v>1341</v>
      </c>
      <c r="B960" s="2">
        <v>5124402</v>
      </c>
      <c r="C960" s="2">
        <v>0</v>
      </c>
      <c r="D960" s="4" t="s">
        <v>3986</v>
      </c>
      <c r="E960" s="2">
        <v>5124402</v>
      </c>
      <c r="F960" s="2">
        <v>973636.38</v>
      </c>
      <c r="G960" s="2">
        <v>0</v>
      </c>
      <c r="H960" s="4">
        <v>0</v>
      </c>
      <c r="I960" s="4">
        <v>0</v>
      </c>
      <c r="J960" s="4">
        <v>0</v>
      </c>
      <c r="K960" s="4">
        <v>6098038.3799999999</v>
      </c>
      <c r="L960" s="4" t="s">
        <v>3984</v>
      </c>
      <c r="M960" s="4" t="s">
        <v>3985</v>
      </c>
      <c r="N960" s="4" t="s">
        <v>20</v>
      </c>
      <c r="O960" s="4" t="s">
        <v>1562</v>
      </c>
      <c r="P960" s="4" t="s">
        <v>1562</v>
      </c>
      <c r="Q960" s="4" t="s">
        <v>100</v>
      </c>
      <c r="R960" s="9">
        <f t="shared" si="14"/>
        <v>1.0207769642275039E-4</v>
      </c>
    </row>
    <row r="961" spans="1:18" hidden="1" x14ac:dyDescent="0.2">
      <c r="A961" s="4">
        <v>227</v>
      </c>
      <c r="B961" s="2">
        <v>5104004</v>
      </c>
      <c r="C961" s="2">
        <v>0</v>
      </c>
      <c r="D961" s="4" t="s">
        <v>2823</v>
      </c>
      <c r="E961" s="2">
        <v>5104004</v>
      </c>
      <c r="F961" s="2">
        <v>969760.76</v>
      </c>
      <c r="G961" s="2">
        <v>0</v>
      </c>
      <c r="H961" s="4">
        <v>0</v>
      </c>
      <c r="I961" s="4">
        <v>0</v>
      </c>
      <c r="J961" s="4">
        <v>0</v>
      </c>
      <c r="K961" s="4">
        <v>6073764.7599999998</v>
      </c>
      <c r="L961" s="4" t="s">
        <v>2821</v>
      </c>
      <c r="M961" s="4" t="s">
        <v>2822</v>
      </c>
      <c r="N961" s="4" t="s">
        <v>20</v>
      </c>
      <c r="O961" s="4" t="s">
        <v>372</v>
      </c>
      <c r="P961" s="4" t="s">
        <v>372</v>
      </c>
      <c r="Q961" s="4" t="s">
        <v>100</v>
      </c>
      <c r="R961" s="9">
        <f t="shared" si="14"/>
        <v>1.0167136982081103E-4</v>
      </c>
    </row>
    <row r="962" spans="1:18" hidden="1" x14ac:dyDescent="0.2">
      <c r="A962" s="4">
        <v>864</v>
      </c>
      <c r="B962" s="2">
        <v>5103115</v>
      </c>
      <c r="C962" s="2">
        <v>0</v>
      </c>
      <c r="D962" s="4" t="s">
        <v>1819</v>
      </c>
      <c r="E962" s="2">
        <v>5103115</v>
      </c>
      <c r="F962" s="2">
        <v>969591.85</v>
      </c>
      <c r="G962" s="2">
        <v>0</v>
      </c>
      <c r="H962" s="4">
        <v>0</v>
      </c>
      <c r="I962" s="4">
        <v>0</v>
      </c>
      <c r="J962" s="4">
        <v>0</v>
      </c>
      <c r="K962" s="4">
        <v>6072706.8499999996</v>
      </c>
      <c r="L962" s="4" t="s">
        <v>1817</v>
      </c>
      <c r="M962" s="4" t="s">
        <v>1818</v>
      </c>
      <c r="N962" s="4" t="s">
        <v>1553</v>
      </c>
      <c r="O962" s="4" t="s">
        <v>747</v>
      </c>
      <c r="P962" s="4" t="s">
        <v>747</v>
      </c>
      <c r="Q962" s="4" t="s">
        <v>100</v>
      </c>
      <c r="R962" s="9">
        <f t="shared" si="14"/>
        <v>1.0165366100871553E-4</v>
      </c>
    </row>
    <row r="963" spans="1:18" hidden="1" x14ac:dyDescent="0.2">
      <c r="A963" s="4">
        <v>351</v>
      </c>
      <c r="B963" s="2">
        <v>5076244</v>
      </c>
      <c r="C963" s="2">
        <v>0</v>
      </c>
      <c r="D963" s="4" t="s">
        <v>3257</v>
      </c>
      <c r="E963" s="2">
        <v>5076244</v>
      </c>
      <c r="F963" s="2">
        <v>964486.36</v>
      </c>
      <c r="G963" s="2">
        <v>126906.1</v>
      </c>
      <c r="H963" s="4">
        <v>0</v>
      </c>
      <c r="I963" s="4">
        <v>0</v>
      </c>
      <c r="J963" s="4">
        <v>126906.1</v>
      </c>
      <c r="K963" s="4">
        <v>5913824.2599999998</v>
      </c>
      <c r="L963" s="4" t="s">
        <v>3255</v>
      </c>
      <c r="M963" s="4" t="s">
        <v>3256</v>
      </c>
      <c r="N963" s="4" t="s">
        <v>1510</v>
      </c>
      <c r="O963" s="4" t="s">
        <v>89</v>
      </c>
      <c r="P963" s="4" t="s">
        <v>89</v>
      </c>
      <c r="Q963" s="4" t="s">
        <v>100</v>
      </c>
      <c r="R963" s="9">
        <f t="shared" ref="R963:R1026" si="15">E963/$E$2034</f>
        <v>1.0111839274120339E-4</v>
      </c>
    </row>
    <row r="964" spans="1:18" hidden="1" x14ac:dyDescent="0.2">
      <c r="A964" s="4">
        <v>1729</v>
      </c>
      <c r="B964" s="2">
        <v>5069009</v>
      </c>
      <c r="C964" s="2">
        <v>0</v>
      </c>
      <c r="D964" s="4" t="s">
        <v>3442</v>
      </c>
      <c r="E964" s="2">
        <v>5069009</v>
      </c>
      <c r="F964" s="2">
        <v>963111.71</v>
      </c>
      <c r="G964" s="2">
        <v>0</v>
      </c>
      <c r="H964" s="4">
        <v>0</v>
      </c>
      <c r="I964" s="4">
        <v>0</v>
      </c>
      <c r="J964" s="4">
        <v>0</v>
      </c>
      <c r="K964" s="4">
        <v>6032120.71</v>
      </c>
      <c r="L964" s="4" t="s">
        <v>3440</v>
      </c>
      <c r="M964" s="4" t="s">
        <v>3441</v>
      </c>
      <c r="N964" s="4" t="s">
        <v>20</v>
      </c>
      <c r="O964" s="4" t="s">
        <v>1157</v>
      </c>
      <c r="P964" s="4" t="s">
        <v>1157</v>
      </c>
      <c r="Q964" s="4" t="s">
        <v>100</v>
      </c>
      <c r="R964" s="9">
        <f t="shared" si="15"/>
        <v>1.0097427209383447E-4</v>
      </c>
    </row>
    <row r="965" spans="1:18" hidden="1" x14ac:dyDescent="0.2">
      <c r="A965" s="4">
        <v>261</v>
      </c>
      <c r="B965" s="2">
        <v>5067558</v>
      </c>
      <c r="C965" s="2">
        <v>0</v>
      </c>
      <c r="D965" s="4" t="s">
        <v>3166</v>
      </c>
      <c r="E965" s="2">
        <v>5067558</v>
      </c>
      <c r="F965" s="2">
        <v>962836.02</v>
      </c>
      <c r="G965" s="2">
        <v>0</v>
      </c>
      <c r="H965" s="4">
        <v>0</v>
      </c>
      <c r="I965" s="4">
        <v>0</v>
      </c>
      <c r="J965" s="4">
        <v>0</v>
      </c>
      <c r="K965" s="4">
        <v>6030394.0199999996</v>
      </c>
      <c r="L965" s="4" t="s">
        <v>3164</v>
      </c>
      <c r="M965" s="4" t="s">
        <v>3165</v>
      </c>
      <c r="N965" s="4" t="s">
        <v>20</v>
      </c>
      <c r="O965" s="4" t="s">
        <v>631</v>
      </c>
      <c r="P965" s="4" t="s">
        <v>631</v>
      </c>
      <c r="Q965" s="4" t="s">
        <v>100</v>
      </c>
      <c r="R965" s="9">
        <f t="shared" si="15"/>
        <v>1.0094536828466622E-4</v>
      </c>
    </row>
    <row r="966" spans="1:18" hidden="1" x14ac:dyDescent="0.2">
      <c r="A966" s="4">
        <v>1465</v>
      </c>
      <c r="B966" s="2">
        <v>5017952</v>
      </c>
      <c r="C966" s="2">
        <v>0</v>
      </c>
      <c r="D966" s="4" t="s">
        <v>2940</v>
      </c>
      <c r="E966" s="2">
        <v>5017952</v>
      </c>
      <c r="F966" s="2">
        <v>953410.88</v>
      </c>
      <c r="G966" s="2">
        <v>0</v>
      </c>
      <c r="H966" s="4">
        <v>0</v>
      </c>
      <c r="I966" s="4">
        <v>0</v>
      </c>
      <c r="J966" s="4">
        <v>0</v>
      </c>
      <c r="K966" s="4">
        <v>5971362.8799999999</v>
      </c>
      <c r="L966" s="4" t="s">
        <v>2938</v>
      </c>
      <c r="M966" s="4" t="s">
        <v>2939</v>
      </c>
      <c r="N966" s="4" t="s">
        <v>142</v>
      </c>
      <c r="O966" s="4" t="s">
        <v>340</v>
      </c>
      <c r="P966" s="4" t="s">
        <v>340</v>
      </c>
      <c r="Q966" s="4" t="s">
        <v>100</v>
      </c>
      <c r="R966" s="9">
        <f t="shared" si="15"/>
        <v>9.9957220553721816E-5</v>
      </c>
    </row>
    <row r="967" spans="1:18" hidden="1" x14ac:dyDescent="0.2">
      <c r="A967" s="4">
        <v>1714</v>
      </c>
      <c r="B967" s="2">
        <v>5017401</v>
      </c>
      <c r="C967" s="2">
        <v>0</v>
      </c>
      <c r="D967" s="4" t="s">
        <v>5327</v>
      </c>
      <c r="E967" s="2">
        <v>5017401</v>
      </c>
      <c r="F967" s="2">
        <v>953306.19</v>
      </c>
      <c r="G967" s="2">
        <v>0</v>
      </c>
      <c r="H967" s="4">
        <v>0</v>
      </c>
      <c r="I967" s="4">
        <v>0</v>
      </c>
      <c r="J967" s="4">
        <v>0</v>
      </c>
      <c r="K967" s="4">
        <v>5970707.1900000004</v>
      </c>
      <c r="L967" s="4" t="s">
        <v>5325</v>
      </c>
      <c r="M967" s="4" t="s">
        <v>5326</v>
      </c>
      <c r="N967" s="4" t="s">
        <v>20</v>
      </c>
      <c r="O967" s="4" t="s">
        <v>631</v>
      </c>
      <c r="P967" s="4" t="s">
        <v>631</v>
      </c>
      <c r="Q967" s="4" t="s">
        <v>100</v>
      </c>
      <c r="R967" s="9">
        <f t="shared" si="15"/>
        <v>9.9946244675808851E-5</v>
      </c>
    </row>
    <row r="968" spans="1:18" hidden="1" x14ac:dyDescent="0.2">
      <c r="A968" s="4">
        <v>1630</v>
      </c>
      <c r="B968" s="2">
        <v>5001029</v>
      </c>
      <c r="C968" s="2">
        <v>0</v>
      </c>
      <c r="D968" s="4" t="s">
        <v>3204</v>
      </c>
      <c r="E968" s="2">
        <v>5001029</v>
      </c>
      <c r="F968" s="2">
        <v>950195.51</v>
      </c>
      <c r="G968" s="2">
        <v>0</v>
      </c>
      <c r="H968" s="4">
        <v>0</v>
      </c>
      <c r="I968" s="4">
        <v>0</v>
      </c>
      <c r="J968" s="4">
        <v>0</v>
      </c>
      <c r="K968" s="4">
        <v>5951224.5099999998</v>
      </c>
      <c r="L968" s="4" t="s">
        <v>3202</v>
      </c>
      <c r="M968" s="4" t="s">
        <v>3203</v>
      </c>
      <c r="N968" s="4" t="s">
        <v>293</v>
      </c>
      <c r="O968" s="4" t="s">
        <v>229</v>
      </c>
      <c r="P968" s="4" t="s">
        <v>229</v>
      </c>
      <c r="Q968" s="4" t="s">
        <v>100</v>
      </c>
      <c r="R968" s="9">
        <f t="shared" si="15"/>
        <v>9.9620115686351501E-5</v>
      </c>
    </row>
    <row r="969" spans="1:18" hidden="1" x14ac:dyDescent="0.2">
      <c r="A969" s="4">
        <v>359</v>
      </c>
      <c r="B969" s="2">
        <v>4978942</v>
      </c>
      <c r="C969" s="2">
        <v>0</v>
      </c>
      <c r="D969" s="4" t="s">
        <v>4191</v>
      </c>
      <c r="E969" s="2">
        <v>4978942</v>
      </c>
      <c r="F969" s="2">
        <v>945998.98</v>
      </c>
      <c r="G969" s="2">
        <v>0</v>
      </c>
      <c r="H969" s="4">
        <v>0</v>
      </c>
      <c r="I969" s="4">
        <v>0</v>
      </c>
      <c r="J969" s="4">
        <v>0</v>
      </c>
      <c r="K969" s="4">
        <v>5924940.9800000004</v>
      </c>
      <c r="L969" s="4" t="s">
        <v>4189</v>
      </c>
      <c r="M969" s="4" t="s">
        <v>4190</v>
      </c>
      <c r="N969" s="4" t="s">
        <v>20</v>
      </c>
      <c r="O969" s="4" t="s">
        <v>768</v>
      </c>
      <c r="P969" s="4" t="s">
        <v>768</v>
      </c>
      <c r="Q969" s="4" t="s">
        <v>100</v>
      </c>
      <c r="R969" s="9">
        <f t="shared" si="15"/>
        <v>9.9180144333423044E-5</v>
      </c>
    </row>
    <row r="970" spans="1:18" hidden="1" x14ac:dyDescent="0.2">
      <c r="A970" s="4">
        <v>1085</v>
      </c>
      <c r="B970" s="2">
        <v>4972940</v>
      </c>
      <c r="C970" s="2">
        <v>0</v>
      </c>
      <c r="D970" s="4" t="s">
        <v>2704</v>
      </c>
      <c r="E970" s="2">
        <v>4972940</v>
      </c>
      <c r="F970" s="2">
        <v>944858.6</v>
      </c>
      <c r="G970" s="2">
        <v>0</v>
      </c>
      <c r="H970" s="4">
        <v>0</v>
      </c>
      <c r="I970" s="4">
        <v>0</v>
      </c>
      <c r="J970" s="4">
        <v>0</v>
      </c>
      <c r="K970" s="4">
        <v>5917798.5999999996</v>
      </c>
      <c r="L970" s="4" t="s">
        <v>2702</v>
      </c>
      <c r="M970" s="4" t="s">
        <v>2703</v>
      </c>
      <c r="N970" s="4" t="s">
        <v>648</v>
      </c>
      <c r="O970" s="4" t="s">
        <v>340</v>
      </c>
      <c r="P970" s="4" t="s">
        <v>340</v>
      </c>
      <c r="Q970" s="4" t="s">
        <v>100</v>
      </c>
      <c r="R970" s="9">
        <f t="shared" si="15"/>
        <v>9.9060584951873862E-5</v>
      </c>
    </row>
    <row r="971" spans="1:18" hidden="1" x14ac:dyDescent="0.2">
      <c r="A971" s="4">
        <v>1225</v>
      </c>
      <c r="B971" s="2">
        <v>4959713</v>
      </c>
      <c r="C971" s="2">
        <v>0</v>
      </c>
      <c r="D971" s="4" t="s">
        <v>5318</v>
      </c>
      <c r="E971" s="2">
        <v>4959713</v>
      </c>
      <c r="F971" s="2">
        <v>942345.47</v>
      </c>
      <c r="G971" s="2">
        <v>0</v>
      </c>
      <c r="H971" s="4">
        <v>0</v>
      </c>
      <c r="I971" s="4">
        <v>0</v>
      </c>
      <c r="J971" s="4">
        <v>0</v>
      </c>
      <c r="K971" s="4">
        <v>5902058.4699999997</v>
      </c>
      <c r="L971" s="4" t="s">
        <v>5316</v>
      </c>
      <c r="M971" s="4" t="s">
        <v>5317</v>
      </c>
      <c r="N971" s="4" t="s">
        <v>468</v>
      </c>
      <c r="O971" s="4" t="s">
        <v>105</v>
      </c>
      <c r="P971" s="4" t="s">
        <v>105</v>
      </c>
      <c r="Q971" s="4" t="s">
        <v>100</v>
      </c>
      <c r="R971" s="9">
        <f t="shared" si="15"/>
        <v>9.8797104122191944E-5</v>
      </c>
    </row>
    <row r="972" spans="1:18" hidden="1" x14ac:dyDescent="0.2">
      <c r="A972" s="4">
        <v>1614</v>
      </c>
      <c r="B972" s="2">
        <v>4944830</v>
      </c>
      <c r="C972" s="2">
        <v>0</v>
      </c>
      <c r="D972" s="4" t="s">
        <v>2966</v>
      </c>
      <c r="E972" s="2">
        <v>4944830</v>
      </c>
      <c r="F972" s="2">
        <v>939517.7</v>
      </c>
      <c r="G972" s="2">
        <v>-6809.5</v>
      </c>
      <c r="H972" s="4">
        <v>0</v>
      </c>
      <c r="I972" s="4">
        <v>0</v>
      </c>
      <c r="J972" s="4">
        <v>-6809.5</v>
      </c>
      <c r="K972" s="4">
        <v>5891157.2000000002</v>
      </c>
      <c r="L972" s="4" t="s">
        <v>2964</v>
      </c>
      <c r="M972" s="4" t="s">
        <v>2965</v>
      </c>
      <c r="N972" s="4" t="s">
        <v>20</v>
      </c>
      <c r="O972" s="4" t="s">
        <v>516</v>
      </c>
      <c r="P972" s="4" t="s">
        <v>516</v>
      </c>
      <c r="Q972" s="4" t="s">
        <v>100</v>
      </c>
      <c r="R972" s="9">
        <f t="shared" si="15"/>
        <v>9.8500635899000281E-5</v>
      </c>
    </row>
    <row r="973" spans="1:18" hidden="1" x14ac:dyDescent="0.2">
      <c r="A973" s="4">
        <v>1931</v>
      </c>
      <c r="B973" s="2">
        <v>4918388</v>
      </c>
      <c r="C973" s="2">
        <v>0</v>
      </c>
      <c r="D973" s="4" t="s">
        <v>5560</v>
      </c>
      <c r="E973" s="2">
        <v>4918388</v>
      </c>
      <c r="F973" s="2">
        <v>934493.72</v>
      </c>
      <c r="G973" s="2">
        <v>0</v>
      </c>
      <c r="H973" s="4">
        <v>0</v>
      </c>
      <c r="I973" s="4">
        <v>0</v>
      </c>
      <c r="J973" s="4">
        <v>0</v>
      </c>
      <c r="K973" s="4">
        <v>5852881.7199999997</v>
      </c>
      <c r="L973" s="4" t="s">
        <v>5558</v>
      </c>
      <c r="M973" s="4" t="s">
        <v>5559</v>
      </c>
      <c r="N973" s="4" t="s">
        <v>5561</v>
      </c>
      <c r="O973" s="4" t="s">
        <v>747</v>
      </c>
      <c r="P973" s="4" t="s">
        <v>747</v>
      </c>
      <c r="Q973" s="4" t="s">
        <v>100</v>
      </c>
      <c r="R973" s="9">
        <f t="shared" si="15"/>
        <v>9.7973913278719826E-5</v>
      </c>
    </row>
    <row r="974" spans="1:18" hidden="1" x14ac:dyDescent="0.2">
      <c r="A974" s="4">
        <v>1935</v>
      </c>
      <c r="B974" s="2">
        <v>4895622.5599999996</v>
      </c>
      <c r="C974" s="2">
        <v>0</v>
      </c>
      <c r="D974" s="4" t="s">
        <v>5564</v>
      </c>
      <c r="E974" s="2">
        <v>4895622.5599999996</v>
      </c>
      <c r="F974" s="2">
        <v>930168.29</v>
      </c>
      <c r="G974" s="2">
        <v>0</v>
      </c>
      <c r="H974" s="4">
        <v>0</v>
      </c>
      <c r="I974" s="4">
        <v>0</v>
      </c>
      <c r="J974" s="4">
        <v>0</v>
      </c>
      <c r="K974" s="4">
        <v>5825790.8499999996</v>
      </c>
      <c r="L974" s="4" t="s">
        <v>5562</v>
      </c>
      <c r="M974" s="4" t="s">
        <v>5563</v>
      </c>
      <c r="N974" s="4" t="s">
        <v>368</v>
      </c>
      <c r="O974" s="4" t="s">
        <v>76</v>
      </c>
      <c r="P974" s="4" t="s">
        <v>76</v>
      </c>
      <c r="Q974" s="4" t="s">
        <v>144</v>
      </c>
      <c r="R974" s="9">
        <f t="shared" si="15"/>
        <v>9.7520427452812663E-5</v>
      </c>
    </row>
    <row r="975" spans="1:18" hidden="1" x14ac:dyDescent="0.2">
      <c r="A975" s="4">
        <v>1679</v>
      </c>
      <c r="B975" s="2">
        <v>4858566</v>
      </c>
      <c r="C975" s="2">
        <v>0</v>
      </c>
      <c r="D975" s="4" t="s">
        <v>2399</v>
      </c>
      <c r="E975" s="2">
        <v>4858566</v>
      </c>
      <c r="F975" s="2">
        <v>923127.54</v>
      </c>
      <c r="G975" s="2">
        <v>121464.15</v>
      </c>
      <c r="H975" s="4">
        <v>0</v>
      </c>
      <c r="I975" s="4">
        <v>0</v>
      </c>
      <c r="J975" s="4">
        <v>121464.15</v>
      </c>
      <c r="K975" s="4">
        <v>5660229.3899999997</v>
      </c>
      <c r="L975" s="4" t="s">
        <v>2397</v>
      </c>
      <c r="M975" s="4" t="s">
        <v>2398</v>
      </c>
      <c r="N975" s="4" t="s">
        <v>46</v>
      </c>
      <c r="O975" s="4" t="s">
        <v>1277</v>
      </c>
      <c r="P975" s="4" t="s">
        <v>1277</v>
      </c>
      <c r="Q975" s="4" t="s">
        <v>28</v>
      </c>
      <c r="R975" s="9">
        <f t="shared" si="15"/>
        <v>9.6782263608104254E-5</v>
      </c>
    </row>
    <row r="976" spans="1:18" hidden="1" x14ac:dyDescent="0.2">
      <c r="A976" s="4">
        <v>1576</v>
      </c>
      <c r="B976" s="2">
        <v>4825004</v>
      </c>
      <c r="C976" s="2">
        <v>0</v>
      </c>
      <c r="D976" s="4" t="s">
        <v>3232</v>
      </c>
      <c r="E976" s="2">
        <v>4825004</v>
      </c>
      <c r="F976" s="2">
        <v>916750.76</v>
      </c>
      <c r="G976" s="2">
        <v>0</v>
      </c>
      <c r="H976" s="4">
        <v>0</v>
      </c>
      <c r="I976" s="4">
        <v>0</v>
      </c>
      <c r="J976" s="4">
        <v>0</v>
      </c>
      <c r="K976" s="4">
        <v>5741754.7599999998</v>
      </c>
      <c r="L976" s="4" t="s">
        <v>3230</v>
      </c>
      <c r="M976" s="4" t="s">
        <v>3231</v>
      </c>
      <c r="N976" s="4" t="s">
        <v>20</v>
      </c>
      <c r="O976" s="4" t="s">
        <v>257</v>
      </c>
      <c r="P976" s="4" t="s">
        <v>257</v>
      </c>
      <c r="Q976" s="4" t="s">
        <v>100</v>
      </c>
      <c r="R976" s="9">
        <f t="shared" si="15"/>
        <v>9.6113711131670849E-5</v>
      </c>
    </row>
    <row r="977" spans="1:18" hidden="1" x14ac:dyDescent="0.2">
      <c r="A977" s="4">
        <v>1249</v>
      </c>
      <c r="B977" s="2">
        <v>4818445</v>
      </c>
      <c r="C977" s="2">
        <v>0</v>
      </c>
      <c r="D977" s="4" t="s">
        <v>5567</v>
      </c>
      <c r="E977" s="2">
        <v>4818445</v>
      </c>
      <c r="F977" s="2">
        <v>915504.55</v>
      </c>
      <c r="G977" s="2">
        <v>0</v>
      </c>
      <c r="H977" s="4">
        <v>0</v>
      </c>
      <c r="I977" s="4">
        <v>0</v>
      </c>
      <c r="J977" s="4">
        <v>0</v>
      </c>
      <c r="K977" s="4">
        <v>5733949.5499999998</v>
      </c>
      <c r="L977" s="4" t="s">
        <v>5565</v>
      </c>
      <c r="M977" s="4" t="s">
        <v>5566</v>
      </c>
      <c r="N977" s="4" t="s">
        <v>504</v>
      </c>
      <c r="O977" s="4" t="s">
        <v>27</v>
      </c>
      <c r="P977" s="4" t="s">
        <v>27</v>
      </c>
      <c r="Q977" s="4" t="s">
        <v>28</v>
      </c>
      <c r="R977" s="9">
        <f t="shared" si="15"/>
        <v>9.5983056352667005E-5</v>
      </c>
    </row>
    <row r="978" spans="1:18" hidden="1" x14ac:dyDescent="0.2">
      <c r="A978" s="4">
        <v>610</v>
      </c>
      <c r="B978" s="2">
        <v>4812987</v>
      </c>
      <c r="C978" s="2">
        <v>0</v>
      </c>
      <c r="D978" s="4" t="s">
        <v>3309</v>
      </c>
      <c r="E978" s="2">
        <v>4812987</v>
      </c>
      <c r="F978" s="2">
        <v>914467.53</v>
      </c>
      <c r="G978" s="2">
        <v>83625.919999999998</v>
      </c>
      <c r="H978" s="4">
        <v>0</v>
      </c>
      <c r="I978" s="4">
        <v>0</v>
      </c>
      <c r="J978" s="4">
        <v>83625.919999999998</v>
      </c>
      <c r="K978" s="4">
        <v>5643828.6100000003</v>
      </c>
      <c r="L978" s="4" t="s">
        <v>3307</v>
      </c>
      <c r="M978" s="4" t="s">
        <v>3308</v>
      </c>
      <c r="N978" s="4" t="s">
        <v>368</v>
      </c>
      <c r="O978" s="4" t="s">
        <v>900</v>
      </c>
      <c r="P978" s="4" t="s">
        <v>76</v>
      </c>
      <c r="Q978" s="4" t="s">
        <v>408</v>
      </c>
      <c r="R978" s="9">
        <f t="shared" si="15"/>
        <v>9.587433340956547E-5</v>
      </c>
    </row>
    <row r="979" spans="1:18" hidden="1" x14ac:dyDescent="0.2">
      <c r="A979" s="4">
        <v>1759</v>
      </c>
      <c r="B979" s="2">
        <v>4789454</v>
      </c>
      <c r="C979" s="2">
        <v>0</v>
      </c>
      <c r="D979" s="4" t="s">
        <v>4552</v>
      </c>
      <c r="E979" s="2">
        <v>4789454</v>
      </c>
      <c r="F979" s="2">
        <v>909996.26</v>
      </c>
      <c r="G979" s="2">
        <v>0</v>
      </c>
      <c r="H979" s="4">
        <v>0</v>
      </c>
      <c r="I979" s="4">
        <v>0</v>
      </c>
      <c r="J979" s="4">
        <v>0</v>
      </c>
      <c r="K979" s="4">
        <v>5699450.2599999998</v>
      </c>
      <c r="L979" s="4" t="s">
        <v>4550</v>
      </c>
      <c r="M979" s="4" t="s">
        <v>4551</v>
      </c>
      <c r="N979" s="4" t="s">
        <v>20</v>
      </c>
      <c r="O979" s="4" t="s">
        <v>372</v>
      </c>
      <c r="P979" s="4" t="s">
        <v>372</v>
      </c>
      <c r="Q979" s="4" t="s">
        <v>100</v>
      </c>
      <c r="R979" s="9">
        <f t="shared" si="15"/>
        <v>9.5405557847086855E-5</v>
      </c>
    </row>
    <row r="980" spans="1:18" hidden="1" x14ac:dyDescent="0.2">
      <c r="A980" s="4">
        <v>153</v>
      </c>
      <c r="B980" s="2">
        <v>4756233</v>
      </c>
      <c r="C980" s="2">
        <v>0</v>
      </c>
      <c r="D980" s="4" t="s">
        <v>2831</v>
      </c>
      <c r="E980" s="2">
        <v>4756233</v>
      </c>
      <c r="F980" s="2">
        <v>903684.27</v>
      </c>
      <c r="G980" s="2">
        <v>0</v>
      </c>
      <c r="H980" s="4">
        <v>0</v>
      </c>
      <c r="I980" s="4">
        <v>0</v>
      </c>
      <c r="J980" s="4">
        <v>0</v>
      </c>
      <c r="K980" s="4">
        <v>5659917.2699999996</v>
      </c>
      <c r="L980" s="4" t="s">
        <v>2829</v>
      </c>
      <c r="M980" s="4" t="s">
        <v>2830</v>
      </c>
      <c r="N980" s="4" t="s">
        <v>2832</v>
      </c>
      <c r="O980" s="4" t="s">
        <v>89</v>
      </c>
      <c r="P980" s="4" t="s">
        <v>89</v>
      </c>
      <c r="Q980" s="4" t="s">
        <v>100</v>
      </c>
      <c r="R980" s="9">
        <f t="shared" si="15"/>
        <v>9.4743798064606829E-5</v>
      </c>
    </row>
    <row r="981" spans="1:18" hidden="1" x14ac:dyDescent="0.2">
      <c r="A981" s="4">
        <v>983</v>
      </c>
      <c r="B981" s="2">
        <v>4749847</v>
      </c>
      <c r="C981" s="2">
        <v>0</v>
      </c>
      <c r="D981" s="4" t="s">
        <v>3009</v>
      </c>
      <c r="E981" s="2">
        <v>4749847</v>
      </c>
      <c r="F981" s="2">
        <v>902470.93</v>
      </c>
      <c r="G981" s="2">
        <v>0</v>
      </c>
      <c r="H981" s="4">
        <v>0</v>
      </c>
      <c r="I981" s="4">
        <v>0</v>
      </c>
      <c r="J981" s="4">
        <v>0</v>
      </c>
      <c r="K981" s="4">
        <v>5652317.9299999997</v>
      </c>
      <c r="L981" s="4" t="s">
        <v>3007</v>
      </c>
      <c r="M981" s="4" t="s">
        <v>3008</v>
      </c>
      <c r="N981" s="4" t="s">
        <v>20</v>
      </c>
      <c r="O981" s="4" t="s">
        <v>768</v>
      </c>
      <c r="P981" s="4" t="s">
        <v>768</v>
      </c>
      <c r="Q981" s="4" t="s">
        <v>100</v>
      </c>
      <c r="R981" s="9">
        <f t="shared" si="15"/>
        <v>9.4616589432388738E-5</v>
      </c>
    </row>
    <row r="982" spans="1:18" hidden="1" x14ac:dyDescent="0.2">
      <c r="A982" s="4">
        <v>1234</v>
      </c>
      <c r="B982" s="2">
        <v>4745314</v>
      </c>
      <c r="C982" s="2">
        <v>0</v>
      </c>
      <c r="D982" s="4" t="s">
        <v>2564</v>
      </c>
      <c r="E982" s="2">
        <v>4745314</v>
      </c>
      <c r="F982" s="2">
        <v>901609.66</v>
      </c>
      <c r="G982" s="2">
        <v>0</v>
      </c>
      <c r="H982" s="4">
        <v>0</v>
      </c>
      <c r="I982" s="4">
        <v>0</v>
      </c>
      <c r="J982" s="4">
        <v>0</v>
      </c>
      <c r="K982" s="4">
        <v>5646923.6600000001</v>
      </c>
      <c r="L982" s="4" t="s">
        <v>2562</v>
      </c>
      <c r="M982" s="4" t="s">
        <v>2563</v>
      </c>
      <c r="N982" s="4" t="s">
        <v>1348</v>
      </c>
      <c r="O982" s="4" t="s">
        <v>747</v>
      </c>
      <c r="P982" s="4" t="s">
        <v>747</v>
      </c>
      <c r="Q982" s="4" t="s">
        <v>100</v>
      </c>
      <c r="R982" s="9">
        <f t="shared" si="15"/>
        <v>9.4526292418632924E-5</v>
      </c>
    </row>
    <row r="983" spans="1:18" hidden="1" x14ac:dyDescent="0.2">
      <c r="A983" s="4">
        <v>687</v>
      </c>
      <c r="B983" s="2">
        <v>4726185</v>
      </c>
      <c r="C983" s="2">
        <v>0</v>
      </c>
      <c r="D983" s="4" t="s">
        <v>2685</v>
      </c>
      <c r="E983" s="2">
        <v>4726185</v>
      </c>
      <c r="F983" s="2">
        <v>897975.15</v>
      </c>
      <c r="G983" s="2">
        <v>0</v>
      </c>
      <c r="H983" s="4">
        <v>0</v>
      </c>
      <c r="I983" s="4">
        <v>0</v>
      </c>
      <c r="J983" s="4">
        <v>0</v>
      </c>
      <c r="K983" s="4">
        <v>5624160.1500000004</v>
      </c>
      <c r="L983" s="4" t="s">
        <v>2683</v>
      </c>
      <c r="M983" s="4" t="s">
        <v>2684</v>
      </c>
      <c r="N983" s="4" t="s">
        <v>20</v>
      </c>
      <c r="O983" s="4" t="s">
        <v>257</v>
      </c>
      <c r="P983" s="4" t="s">
        <v>257</v>
      </c>
      <c r="Q983" s="4" t="s">
        <v>100</v>
      </c>
      <c r="R983" s="9">
        <f t="shared" si="15"/>
        <v>9.414524419976352E-5</v>
      </c>
    </row>
    <row r="984" spans="1:18" hidden="1" x14ac:dyDescent="0.2">
      <c r="A984" s="4">
        <v>1102</v>
      </c>
      <c r="B984" s="2">
        <v>4724262</v>
      </c>
      <c r="C984" s="2">
        <v>0</v>
      </c>
      <c r="D984" s="4" t="s">
        <v>3169</v>
      </c>
      <c r="E984" s="2">
        <v>4724262</v>
      </c>
      <c r="F984" s="2">
        <v>897609.78</v>
      </c>
      <c r="G984" s="2">
        <v>0</v>
      </c>
      <c r="H984" s="4">
        <v>0</v>
      </c>
      <c r="I984" s="4">
        <v>0</v>
      </c>
      <c r="J984" s="4">
        <v>0</v>
      </c>
      <c r="K984" s="4">
        <v>5621871.7800000003</v>
      </c>
      <c r="L984" s="4" t="s">
        <v>3167</v>
      </c>
      <c r="M984" s="4" t="s">
        <v>3168</v>
      </c>
      <c r="N984" s="4" t="s">
        <v>92</v>
      </c>
      <c r="O984" s="4" t="s">
        <v>93</v>
      </c>
      <c r="P984" s="4" t="s">
        <v>93</v>
      </c>
      <c r="Q984" s="4" t="s">
        <v>100</v>
      </c>
      <c r="R984" s="9">
        <f t="shared" si="15"/>
        <v>9.4106938186648049E-5</v>
      </c>
    </row>
    <row r="985" spans="1:18" hidden="1" x14ac:dyDescent="0.2">
      <c r="A985" s="4">
        <v>1744</v>
      </c>
      <c r="B985" s="2">
        <v>4713768</v>
      </c>
      <c r="C985" s="2">
        <v>0</v>
      </c>
      <c r="D985" s="4" t="s">
        <v>2283</v>
      </c>
      <c r="E985" s="2">
        <v>4713768</v>
      </c>
      <c r="F985" s="2">
        <v>895615.92</v>
      </c>
      <c r="G985" s="2">
        <v>0</v>
      </c>
      <c r="H985" s="4">
        <v>0</v>
      </c>
      <c r="I985" s="4">
        <v>0</v>
      </c>
      <c r="J985" s="4">
        <v>0</v>
      </c>
      <c r="K985" s="4">
        <v>5609383.9199999999</v>
      </c>
      <c r="L985" s="4" t="s">
        <v>2281</v>
      </c>
      <c r="M985" s="4" t="s">
        <v>2282</v>
      </c>
      <c r="N985" s="4" t="s">
        <v>20</v>
      </c>
      <c r="O985" s="4" t="s">
        <v>1157</v>
      </c>
      <c r="P985" s="4" t="s">
        <v>1157</v>
      </c>
      <c r="Q985" s="4" t="s">
        <v>100</v>
      </c>
      <c r="R985" s="9">
        <f t="shared" si="15"/>
        <v>9.3897898508211354E-5</v>
      </c>
    </row>
    <row r="986" spans="1:18" hidden="1" x14ac:dyDescent="0.2">
      <c r="A986" s="4">
        <v>1514</v>
      </c>
      <c r="B986" s="2">
        <v>4713247</v>
      </c>
      <c r="C986" s="2">
        <v>0</v>
      </c>
      <c r="D986" s="4" t="s">
        <v>1763</v>
      </c>
      <c r="E986" s="2">
        <v>4713247</v>
      </c>
      <c r="F986" s="2">
        <v>895516.93</v>
      </c>
      <c r="G986" s="2">
        <v>0</v>
      </c>
      <c r="H986" s="4">
        <v>0</v>
      </c>
      <c r="I986" s="4">
        <v>0</v>
      </c>
      <c r="J986" s="4">
        <v>0</v>
      </c>
      <c r="K986" s="4">
        <v>5608763.9299999997</v>
      </c>
      <c r="L986" s="4" t="s">
        <v>1761</v>
      </c>
      <c r="M986" s="4" t="s">
        <v>1762</v>
      </c>
      <c r="N986" s="4" t="s">
        <v>1421</v>
      </c>
      <c r="O986" s="4" t="s">
        <v>340</v>
      </c>
      <c r="P986" s="4" t="s">
        <v>340</v>
      </c>
      <c r="Q986" s="4" t="s">
        <v>100</v>
      </c>
      <c r="R986" s="9">
        <f t="shared" si="15"/>
        <v>9.3887520228006904E-5</v>
      </c>
    </row>
    <row r="987" spans="1:18" hidden="1" x14ac:dyDescent="0.2">
      <c r="A987" s="4">
        <v>1423</v>
      </c>
      <c r="B987" s="2">
        <v>4706617</v>
      </c>
      <c r="C987" s="2">
        <v>0</v>
      </c>
      <c r="D987" s="4" t="s">
        <v>2797</v>
      </c>
      <c r="E987" s="2">
        <v>4706617</v>
      </c>
      <c r="F987" s="2">
        <v>894257.23</v>
      </c>
      <c r="G987" s="2">
        <v>0</v>
      </c>
      <c r="H987" s="4">
        <v>0</v>
      </c>
      <c r="I987" s="4">
        <v>0</v>
      </c>
      <c r="J987" s="4">
        <v>0</v>
      </c>
      <c r="K987" s="4">
        <v>5600874.2300000004</v>
      </c>
      <c r="L987" s="4" t="s">
        <v>2795</v>
      </c>
      <c r="M987" s="4" t="s">
        <v>2796</v>
      </c>
      <c r="N987" s="4" t="s">
        <v>20</v>
      </c>
      <c r="O987" s="4" t="s">
        <v>1356</v>
      </c>
      <c r="P987" s="4" t="s">
        <v>1356</v>
      </c>
      <c r="Q987" s="4" t="s">
        <v>100</v>
      </c>
      <c r="R987" s="9">
        <f t="shared" si="15"/>
        <v>9.3755451134426256E-5</v>
      </c>
    </row>
    <row r="988" spans="1:18" hidden="1" x14ac:dyDescent="0.2">
      <c r="A988" s="4">
        <v>1900</v>
      </c>
      <c r="B988" s="2">
        <v>4696316</v>
      </c>
      <c r="C988" s="2">
        <v>0</v>
      </c>
      <c r="D988" s="4" t="s">
        <v>5570</v>
      </c>
      <c r="E988" s="2">
        <v>4696316</v>
      </c>
      <c r="F988" s="2">
        <v>885650.04</v>
      </c>
      <c r="G988" s="2">
        <v>0</v>
      </c>
      <c r="H988" s="4">
        <v>0</v>
      </c>
      <c r="I988" s="4">
        <v>0</v>
      </c>
      <c r="J988" s="4">
        <v>0</v>
      </c>
      <c r="K988" s="4">
        <v>5581966.04</v>
      </c>
      <c r="L988" s="4" t="s">
        <v>5568</v>
      </c>
      <c r="M988" s="4" t="s">
        <v>5569</v>
      </c>
      <c r="N988" s="4" t="s">
        <v>20</v>
      </c>
      <c r="O988" s="4" t="s">
        <v>900</v>
      </c>
      <c r="P988" s="4" t="s">
        <v>900</v>
      </c>
      <c r="Q988" s="4" t="s">
        <v>144</v>
      </c>
      <c r="R988" s="9">
        <f t="shared" si="15"/>
        <v>9.355025600124765E-5</v>
      </c>
    </row>
    <row r="989" spans="1:18" hidden="1" x14ac:dyDescent="0.2">
      <c r="A989" s="4">
        <v>1753</v>
      </c>
      <c r="B989" s="2">
        <v>4677540</v>
      </c>
      <c r="C989" s="2">
        <v>0</v>
      </c>
      <c r="D989" s="4" t="s">
        <v>2514</v>
      </c>
      <c r="E989" s="2">
        <v>4677540</v>
      </c>
      <c r="F989" s="2">
        <v>888732.6</v>
      </c>
      <c r="G989" s="2">
        <v>32692</v>
      </c>
      <c r="H989" s="4">
        <v>0</v>
      </c>
      <c r="I989" s="4">
        <v>0</v>
      </c>
      <c r="J989" s="4">
        <v>32692</v>
      </c>
      <c r="K989" s="4">
        <v>5533580.5999999996</v>
      </c>
      <c r="L989" s="4" t="s">
        <v>2512</v>
      </c>
      <c r="M989" s="4" t="s">
        <v>2513</v>
      </c>
      <c r="N989" s="4" t="s">
        <v>714</v>
      </c>
      <c r="O989" s="4" t="s">
        <v>382</v>
      </c>
      <c r="P989" s="4" t="s">
        <v>382</v>
      </c>
      <c r="Q989" s="4" t="s">
        <v>100</v>
      </c>
      <c r="R989" s="9">
        <f t="shared" si="15"/>
        <v>9.3176239515415046E-5</v>
      </c>
    </row>
    <row r="990" spans="1:18" hidden="1" x14ac:dyDescent="0.2">
      <c r="A990" s="4">
        <v>414</v>
      </c>
      <c r="B990" s="2">
        <v>4675349</v>
      </c>
      <c r="C990" s="2">
        <v>0</v>
      </c>
      <c r="D990" s="4" t="s">
        <v>5573</v>
      </c>
      <c r="E990" s="2">
        <v>4675349</v>
      </c>
      <c r="F990" s="2">
        <v>888316.31</v>
      </c>
      <c r="G990" s="2">
        <v>0</v>
      </c>
      <c r="H990" s="4">
        <v>0</v>
      </c>
      <c r="I990" s="4">
        <v>0</v>
      </c>
      <c r="J990" s="4">
        <v>0</v>
      </c>
      <c r="K990" s="4">
        <v>5563665.3099999996</v>
      </c>
      <c r="L990" s="4" t="s">
        <v>5571</v>
      </c>
      <c r="M990" s="4" t="s">
        <v>5572</v>
      </c>
      <c r="N990" s="4" t="s">
        <v>1143</v>
      </c>
      <c r="O990" s="4" t="s">
        <v>340</v>
      </c>
      <c r="P990" s="4" t="s">
        <v>340</v>
      </c>
      <c r="Q990" s="4" t="s">
        <v>100</v>
      </c>
      <c r="R990" s="9">
        <f t="shared" si="15"/>
        <v>9.3132594962770215E-5</v>
      </c>
    </row>
    <row r="991" spans="1:18" hidden="1" x14ac:dyDescent="0.2">
      <c r="A991" s="4">
        <v>317</v>
      </c>
      <c r="B991" s="2">
        <v>4674216</v>
      </c>
      <c r="C991" s="2">
        <v>0</v>
      </c>
      <c r="D991" s="4" t="s">
        <v>2542</v>
      </c>
      <c r="E991" s="2">
        <v>4674216</v>
      </c>
      <c r="F991" s="2">
        <v>888101.04</v>
      </c>
      <c r="G991" s="2">
        <v>0</v>
      </c>
      <c r="H991" s="4">
        <v>0</v>
      </c>
      <c r="I991" s="4">
        <v>0</v>
      </c>
      <c r="J991" s="4">
        <v>0</v>
      </c>
      <c r="K991" s="4">
        <v>5562317.04</v>
      </c>
      <c r="L991" s="4" t="s">
        <v>2540</v>
      </c>
      <c r="M991" s="4" t="s">
        <v>2541</v>
      </c>
      <c r="N991" s="4" t="s">
        <v>801</v>
      </c>
      <c r="O991" s="4" t="s">
        <v>1277</v>
      </c>
      <c r="P991" s="4" t="s">
        <v>1277</v>
      </c>
      <c r="Q991" s="4" t="s">
        <v>100</v>
      </c>
      <c r="R991" s="9">
        <f t="shared" si="15"/>
        <v>9.3110025689312163E-5</v>
      </c>
    </row>
    <row r="992" spans="1:18" hidden="1" x14ac:dyDescent="0.2">
      <c r="A992" s="4">
        <v>1636</v>
      </c>
      <c r="B992" s="2">
        <v>4594836</v>
      </c>
      <c r="C992" s="2">
        <v>0</v>
      </c>
      <c r="D992" s="4" t="s">
        <v>4766</v>
      </c>
      <c r="E992" s="2">
        <v>4594836</v>
      </c>
      <c r="F992" s="2">
        <v>873018.84</v>
      </c>
      <c r="G992" s="2">
        <v>0</v>
      </c>
      <c r="H992" s="4">
        <v>0</v>
      </c>
      <c r="I992" s="4">
        <v>0</v>
      </c>
      <c r="J992" s="4">
        <v>0</v>
      </c>
      <c r="K992" s="4">
        <v>5467854.8399999999</v>
      </c>
      <c r="L992" s="4" t="s">
        <v>4764</v>
      </c>
      <c r="M992" s="4" t="s">
        <v>4765</v>
      </c>
      <c r="N992" s="4" t="s">
        <v>1783</v>
      </c>
      <c r="O992" s="4" t="s">
        <v>89</v>
      </c>
      <c r="P992" s="4" t="s">
        <v>89</v>
      </c>
      <c r="Q992" s="4" t="s">
        <v>100</v>
      </c>
      <c r="R992" s="9">
        <f t="shared" si="15"/>
        <v>9.1528782152595507E-5</v>
      </c>
    </row>
    <row r="993" spans="1:18" hidden="1" x14ac:dyDescent="0.2">
      <c r="A993" s="4">
        <v>1013</v>
      </c>
      <c r="B993" s="2">
        <v>4582586</v>
      </c>
      <c r="C993" s="2">
        <v>0</v>
      </c>
      <c r="D993" s="4" t="s">
        <v>2768</v>
      </c>
      <c r="E993" s="2">
        <v>4582586</v>
      </c>
      <c r="F993" s="2">
        <v>870691.34</v>
      </c>
      <c r="G993" s="2">
        <v>114564.65</v>
      </c>
      <c r="H993" s="4">
        <v>0</v>
      </c>
      <c r="I993" s="4">
        <v>0</v>
      </c>
      <c r="J993" s="4">
        <v>114564.65</v>
      </c>
      <c r="K993" s="4">
        <v>5338712.6900000004</v>
      </c>
      <c r="L993" s="4" t="s">
        <v>2766</v>
      </c>
      <c r="M993" s="4" t="s">
        <v>2767</v>
      </c>
      <c r="N993" s="4" t="s">
        <v>26</v>
      </c>
      <c r="O993" s="4" t="s">
        <v>27</v>
      </c>
      <c r="P993" s="4" t="s">
        <v>27</v>
      </c>
      <c r="Q993" s="4" t="s">
        <v>100</v>
      </c>
      <c r="R993" s="9">
        <f t="shared" si="15"/>
        <v>9.1284763088287385E-5</v>
      </c>
    </row>
    <row r="994" spans="1:18" hidden="1" x14ac:dyDescent="0.2">
      <c r="A994" s="4">
        <v>1784</v>
      </c>
      <c r="B994" s="2">
        <v>4580830</v>
      </c>
      <c r="C994" s="2">
        <v>6576.66</v>
      </c>
      <c r="D994" s="4" t="s">
        <v>2640</v>
      </c>
      <c r="E994" s="2">
        <v>4574253.34</v>
      </c>
      <c r="F994" s="2">
        <v>869108.13</v>
      </c>
      <c r="G994" s="2">
        <v>0</v>
      </c>
      <c r="H994" s="4">
        <v>0</v>
      </c>
      <c r="I994" s="4">
        <v>0</v>
      </c>
      <c r="J994" s="4">
        <v>0</v>
      </c>
      <c r="K994" s="4">
        <v>5443361.4699999997</v>
      </c>
      <c r="L994" s="4" t="s">
        <v>2638</v>
      </c>
      <c r="M994" s="4" t="s">
        <v>2639</v>
      </c>
      <c r="N994" s="4" t="s">
        <v>20</v>
      </c>
      <c r="O994" s="4" t="s">
        <v>316</v>
      </c>
      <c r="P994" s="4" t="s">
        <v>316</v>
      </c>
      <c r="Q994" s="4" t="s">
        <v>100</v>
      </c>
      <c r="R994" s="9">
        <f t="shared" si="15"/>
        <v>9.1118777137561027E-5</v>
      </c>
    </row>
    <row r="995" spans="1:18" hidden="1" x14ac:dyDescent="0.2">
      <c r="A995" s="4">
        <v>796</v>
      </c>
      <c r="B995" s="2">
        <v>4565688</v>
      </c>
      <c r="C995" s="2">
        <v>0</v>
      </c>
      <c r="D995" s="4" t="s">
        <v>2707</v>
      </c>
      <c r="E995" s="2">
        <v>4565688</v>
      </c>
      <c r="F995" s="2">
        <v>867480.72</v>
      </c>
      <c r="G995" s="2">
        <v>0</v>
      </c>
      <c r="H995" s="4">
        <v>0</v>
      </c>
      <c r="I995" s="4">
        <v>0</v>
      </c>
      <c r="J995" s="4">
        <v>0</v>
      </c>
      <c r="K995" s="4">
        <v>5433168.7199999997</v>
      </c>
      <c r="L995" s="4" t="s">
        <v>2705</v>
      </c>
      <c r="M995" s="4" t="s">
        <v>2706</v>
      </c>
      <c r="N995" s="4" t="s">
        <v>20</v>
      </c>
      <c r="O995" s="4" t="s">
        <v>71</v>
      </c>
      <c r="P995" s="4" t="s">
        <v>71</v>
      </c>
      <c r="Q995" s="4" t="s">
        <v>100</v>
      </c>
      <c r="R995" s="9">
        <f t="shared" si="15"/>
        <v>9.0948156219007481E-5</v>
      </c>
    </row>
    <row r="996" spans="1:18" hidden="1" x14ac:dyDescent="0.2">
      <c r="A996" s="4">
        <v>443</v>
      </c>
      <c r="B996" s="2">
        <v>4549717</v>
      </c>
      <c r="C996" s="2">
        <v>0</v>
      </c>
      <c r="D996" s="4" t="s">
        <v>3773</v>
      </c>
      <c r="E996" s="2">
        <v>4549717</v>
      </c>
      <c r="F996" s="2">
        <v>864446.23</v>
      </c>
      <c r="G996" s="2">
        <v>0</v>
      </c>
      <c r="H996" s="4">
        <v>0</v>
      </c>
      <c r="I996" s="4">
        <v>0</v>
      </c>
      <c r="J996" s="4">
        <v>0</v>
      </c>
      <c r="K996" s="4">
        <v>5414163.2300000004</v>
      </c>
      <c r="L996" s="4" t="s">
        <v>3771</v>
      </c>
      <c r="M996" s="4" t="s">
        <v>3772</v>
      </c>
      <c r="N996" s="4" t="s">
        <v>1298</v>
      </c>
      <c r="O996" s="4" t="s">
        <v>93</v>
      </c>
      <c r="P996" s="4" t="s">
        <v>93</v>
      </c>
      <c r="Q996" s="4" t="s">
        <v>100</v>
      </c>
      <c r="R996" s="9">
        <f t="shared" si="15"/>
        <v>9.0630015118920538E-5</v>
      </c>
    </row>
    <row r="997" spans="1:18" hidden="1" x14ac:dyDescent="0.2">
      <c r="A997" s="4">
        <v>1608</v>
      </c>
      <c r="B997" s="2">
        <v>4544172</v>
      </c>
      <c r="C997" s="2">
        <v>0</v>
      </c>
      <c r="D997" s="4" t="s">
        <v>4138</v>
      </c>
      <c r="E997" s="2">
        <v>4544172</v>
      </c>
      <c r="F997" s="2">
        <v>863392.68</v>
      </c>
      <c r="G997" s="2">
        <v>86814</v>
      </c>
      <c r="H997" s="4">
        <v>0</v>
      </c>
      <c r="I997" s="4">
        <v>0</v>
      </c>
      <c r="J997" s="4">
        <v>86814</v>
      </c>
      <c r="K997" s="4">
        <v>5320750.68</v>
      </c>
      <c r="L997" s="4" t="s">
        <v>4136</v>
      </c>
      <c r="M997" s="4" t="s">
        <v>4137</v>
      </c>
      <c r="N997" s="4" t="s">
        <v>20</v>
      </c>
      <c r="O997" s="4" t="s">
        <v>1562</v>
      </c>
      <c r="P997" s="4" t="s">
        <v>1562</v>
      </c>
      <c r="Q997" s="4" t="s">
        <v>100</v>
      </c>
      <c r="R997" s="9">
        <f t="shared" si="15"/>
        <v>9.0519559142464336E-5</v>
      </c>
    </row>
    <row r="998" spans="1:18" hidden="1" x14ac:dyDescent="0.2">
      <c r="A998" s="4">
        <v>923</v>
      </c>
      <c r="B998" s="2">
        <v>4540118</v>
      </c>
      <c r="C998" s="2">
        <v>0</v>
      </c>
      <c r="D998" s="4" t="s">
        <v>5576</v>
      </c>
      <c r="E998" s="2">
        <v>4540118</v>
      </c>
      <c r="F998" s="2">
        <v>862622.42</v>
      </c>
      <c r="G998" s="2">
        <v>109245.25</v>
      </c>
      <c r="H998" s="4">
        <v>0</v>
      </c>
      <c r="I998" s="4">
        <v>0</v>
      </c>
      <c r="J998" s="4">
        <v>109245.25</v>
      </c>
      <c r="K998" s="4">
        <v>5293495.17</v>
      </c>
      <c r="L998" s="4" t="s">
        <v>5574</v>
      </c>
      <c r="M998" s="4" t="s">
        <v>5575</v>
      </c>
      <c r="N998" s="4" t="s">
        <v>20</v>
      </c>
      <c r="O998" s="4" t="s">
        <v>76</v>
      </c>
      <c r="P998" s="4" t="s">
        <v>76</v>
      </c>
      <c r="Q998" s="4" t="s">
        <v>1378</v>
      </c>
      <c r="R998" s="9">
        <f t="shared" si="15"/>
        <v>9.0438803772121049E-5</v>
      </c>
    </row>
    <row r="999" spans="1:18" hidden="1" x14ac:dyDescent="0.2">
      <c r="A999" s="4">
        <v>1282</v>
      </c>
      <c r="B999" s="2">
        <v>4533112</v>
      </c>
      <c r="C999" s="2">
        <v>0</v>
      </c>
      <c r="D999" s="4" t="s">
        <v>4805</v>
      </c>
      <c r="E999" s="2">
        <v>4533112</v>
      </c>
      <c r="F999" s="2">
        <v>861291.28</v>
      </c>
      <c r="G999" s="2">
        <v>0</v>
      </c>
      <c r="H999" s="4">
        <v>0</v>
      </c>
      <c r="I999" s="4">
        <v>0</v>
      </c>
      <c r="J999" s="4">
        <v>0</v>
      </c>
      <c r="K999" s="4">
        <v>5394403.2800000003</v>
      </c>
      <c r="L999" s="4" t="s">
        <v>4803</v>
      </c>
      <c r="M999" s="4" t="s">
        <v>4804</v>
      </c>
      <c r="N999" s="4" t="s">
        <v>2206</v>
      </c>
      <c r="O999" s="4" t="s">
        <v>196</v>
      </c>
      <c r="P999" s="4" t="s">
        <v>196</v>
      </c>
      <c r="Q999" s="4" t="s">
        <v>100</v>
      </c>
      <c r="R999" s="9">
        <f t="shared" si="15"/>
        <v>9.0299244787260419E-5</v>
      </c>
    </row>
    <row r="1000" spans="1:18" hidden="1" x14ac:dyDescent="0.2">
      <c r="A1000" s="4">
        <v>1529</v>
      </c>
      <c r="B1000" s="2">
        <v>4503072</v>
      </c>
      <c r="C1000" s="2">
        <v>7264.92</v>
      </c>
      <c r="D1000" s="4" t="s">
        <v>2872</v>
      </c>
      <c r="E1000" s="2">
        <v>4495807.08</v>
      </c>
      <c r="F1000" s="2">
        <v>854203.35</v>
      </c>
      <c r="G1000" s="2">
        <v>0</v>
      </c>
      <c r="H1000" s="4">
        <v>0</v>
      </c>
      <c r="I1000" s="4">
        <v>0</v>
      </c>
      <c r="J1000" s="4">
        <v>0</v>
      </c>
      <c r="K1000" s="4">
        <v>5350010.43</v>
      </c>
      <c r="L1000" s="4" t="s">
        <v>2870</v>
      </c>
      <c r="M1000" s="4" t="s">
        <v>2871</v>
      </c>
      <c r="N1000" s="4" t="s">
        <v>674</v>
      </c>
      <c r="O1000" s="4" t="s">
        <v>89</v>
      </c>
      <c r="P1000" s="4" t="s">
        <v>89</v>
      </c>
      <c r="Q1000" s="4" t="s">
        <v>100</v>
      </c>
      <c r="R1000" s="9">
        <f t="shared" si="15"/>
        <v>8.95561336303225E-5</v>
      </c>
    </row>
    <row r="1001" spans="1:18" hidden="1" x14ac:dyDescent="0.2">
      <c r="A1001" s="4">
        <v>302</v>
      </c>
      <c r="B1001" s="2">
        <v>4488119</v>
      </c>
      <c r="C1001" s="2">
        <v>0</v>
      </c>
      <c r="D1001" s="4" t="s">
        <v>5579</v>
      </c>
      <c r="E1001" s="2">
        <v>4488119</v>
      </c>
      <c r="F1001" s="2">
        <v>852742.61</v>
      </c>
      <c r="G1001" s="2">
        <v>112202.98</v>
      </c>
      <c r="H1001" s="4">
        <v>0</v>
      </c>
      <c r="I1001" s="4">
        <v>0</v>
      </c>
      <c r="J1001" s="4">
        <v>112202.98</v>
      </c>
      <c r="K1001" s="4">
        <v>5228658.63</v>
      </c>
      <c r="L1001" s="4" t="s">
        <v>5577</v>
      </c>
      <c r="M1001" s="4" t="s">
        <v>5578</v>
      </c>
      <c r="N1001" s="4" t="s">
        <v>482</v>
      </c>
      <c r="O1001" s="4" t="s">
        <v>89</v>
      </c>
      <c r="P1001" s="4" t="s">
        <v>89</v>
      </c>
      <c r="Q1001" s="4" t="s">
        <v>100</v>
      </c>
      <c r="R1001" s="9">
        <f t="shared" si="15"/>
        <v>8.9402987663961191E-5</v>
      </c>
    </row>
    <row r="1002" spans="1:18" hidden="1" x14ac:dyDescent="0.2">
      <c r="A1002" s="4">
        <v>1797</v>
      </c>
      <c r="B1002" s="2">
        <v>4469912</v>
      </c>
      <c r="C1002" s="2">
        <v>0</v>
      </c>
      <c r="D1002" s="4" t="s">
        <v>5582</v>
      </c>
      <c r="E1002" s="2">
        <v>4469912</v>
      </c>
      <c r="F1002" s="2">
        <v>849283.28</v>
      </c>
      <c r="G1002" s="2">
        <v>0</v>
      </c>
      <c r="H1002" s="4">
        <v>0</v>
      </c>
      <c r="I1002" s="4">
        <v>0</v>
      </c>
      <c r="J1002" s="4">
        <v>0</v>
      </c>
      <c r="K1002" s="4">
        <v>5319195.28</v>
      </c>
      <c r="L1002" s="4" t="s">
        <v>5580</v>
      </c>
      <c r="M1002" s="4" t="s">
        <v>5581</v>
      </c>
      <c r="N1002" s="4" t="s">
        <v>58</v>
      </c>
      <c r="O1002" s="4" t="s">
        <v>59</v>
      </c>
      <c r="P1002" s="4" t="s">
        <v>59</v>
      </c>
      <c r="Q1002" s="4" t="s">
        <v>100</v>
      </c>
      <c r="R1002" s="9">
        <f t="shared" si="15"/>
        <v>8.9040305614666659E-5</v>
      </c>
    </row>
    <row r="1003" spans="1:18" hidden="1" x14ac:dyDescent="0.2">
      <c r="A1003" s="4">
        <v>413</v>
      </c>
      <c r="B1003" s="2">
        <v>4468912</v>
      </c>
      <c r="C1003" s="2">
        <v>0</v>
      </c>
      <c r="D1003" s="4" t="s">
        <v>5585</v>
      </c>
      <c r="E1003" s="2">
        <v>4468912</v>
      </c>
      <c r="F1003" s="2">
        <v>849093.28</v>
      </c>
      <c r="G1003" s="2">
        <v>111722.8</v>
      </c>
      <c r="H1003" s="4">
        <v>0</v>
      </c>
      <c r="I1003" s="4">
        <v>0</v>
      </c>
      <c r="J1003" s="4">
        <v>111722.8</v>
      </c>
      <c r="K1003" s="4">
        <v>5206282.4800000004</v>
      </c>
      <c r="L1003" s="4" t="s">
        <v>5583</v>
      </c>
      <c r="M1003" s="4" t="s">
        <v>5584</v>
      </c>
      <c r="N1003" s="4" t="s">
        <v>218</v>
      </c>
      <c r="O1003" s="4" t="s">
        <v>196</v>
      </c>
      <c r="P1003" s="4" t="s">
        <v>196</v>
      </c>
      <c r="Q1003" s="4" t="s">
        <v>100</v>
      </c>
      <c r="R1003" s="9">
        <f t="shared" si="15"/>
        <v>8.9020385691049666E-5</v>
      </c>
    </row>
    <row r="1004" spans="1:18" hidden="1" x14ac:dyDescent="0.2">
      <c r="A1004" s="4">
        <v>2029</v>
      </c>
      <c r="B1004" s="2">
        <v>4466557</v>
      </c>
      <c r="C1004" s="2">
        <v>0</v>
      </c>
      <c r="D1004" s="4" t="s">
        <v>3111</v>
      </c>
      <c r="E1004" s="2">
        <v>4466557</v>
      </c>
      <c r="F1004" s="2">
        <v>848645.83</v>
      </c>
      <c r="G1004" s="2">
        <v>0</v>
      </c>
      <c r="H1004" s="4">
        <v>0</v>
      </c>
      <c r="I1004" s="4">
        <v>0</v>
      </c>
      <c r="J1004" s="4">
        <v>0</v>
      </c>
      <c r="K1004" s="4">
        <v>5315202.83</v>
      </c>
      <c r="L1004" s="4" t="s">
        <v>3109</v>
      </c>
      <c r="M1004" s="4" t="s">
        <v>3110</v>
      </c>
      <c r="N1004" s="4" t="s">
        <v>156</v>
      </c>
      <c r="O1004" s="4" t="s">
        <v>67</v>
      </c>
      <c r="P1004" s="4" t="s">
        <v>67</v>
      </c>
      <c r="Q1004" s="4" t="s">
        <v>100</v>
      </c>
      <c r="R1004" s="9">
        <f t="shared" si="15"/>
        <v>8.8973474270931654E-5</v>
      </c>
    </row>
    <row r="1005" spans="1:18" hidden="1" x14ac:dyDescent="0.2">
      <c r="A1005" s="4">
        <v>1676</v>
      </c>
      <c r="B1005" s="2">
        <v>4454012</v>
      </c>
      <c r="C1005" s="2">
        <v>0</v>
      </c>
      <c r="D1005" s="4" t="s">
        <v>5588</v>
      </c>
      <c r="E1005" s="2">
        <v>4454012</v>
      </c>
      <c r="F1005" s="2">
        <v>846262.28</v>
      </c>
      <c r="G1005" s="2">
        <v>0</v>
      </c>
      <c r="H1005" s="4">
        <v>0</v>
      </c>
      <c r="I1005" s="4">
        <v>0</v>
      </c>
      <c r="J1005" s="4">
        <v>0</v>
      </c>
      <c r="K1005" s="4">
        <v>5300274.28</v>
      </c>
      <c r="L1005" s="4" t="s">
        <v>5586</v>
      </c>
      <c r="M1005" s="4" t="s">
        <v>5587</v>
      </c>
      <c r="N1005" s="4" t="s">
        <v>20</v>
      </c>
      <c r="O1005" s="4" t="s">
        <v>316</v>
      </c>
      <c r="P1005" s="4" t="s">
        <v>316</v>
      </c>
      <c r="Q1005" s="4" t="s">
        <v>100</v>
      </c>
      <c r="R1005" s="9">
        <f t="shared" si="15"/>
        <v>8.8723578829156519E-5</v>
      </c>
    </row>
    <row r="1006" spans="1:18" hidden="1" x14ac:dyDescent="0.2">
      <c r="A1006" s="4">
        <v>1965</v>
      </c>
      <c r="B1006" s="2">
        <v>4441290</v>
      </c>
      <c r="C1006" s="2">
        <v>0</v>
      </c>
      <c r="D1006" s="4" t="s">
        <v>5591</v>
      </c>
      <c r="E1006" s="2">
        <v>4441290</v>
      </c>
      <c r="F1006" s="2">
        <v>843845.1</v>
      </c>
      <c r="G1006" s="2">
        <v>89824.55</v>
      </c>
      <c r="H1006" s="4">
        <v>0</v>
      </c>
      <c r="I1006" s="4">
        <v>0</v>
      </c>
      <c r="J1006" s="4">
        <v>89824.55</v>
      </c>
      <c r="K1006" s="4">
        <v>5195310.55</v>
      </c>
      <c r="L1006" s="4" t="s">
        <v>5589</v>
      </c>
      <c r="M1006" s="4" t="s">
        <v>5590</v>
      </c>
      <c r="N1006" s="4" t="s">
        <v>2916</v>
      </c>
      <c r="O1006" s="4" t="s">
        <v>1277</v>
      </c>
      <c r="P1006" s="4" t="s">
        <v>1277</v>
      </c>
      <c r="Q1006" s="4" t="s">
        <v>100</v>
      </c>
      <c r="R1006" s="9">
        <f t="shared" si="15"/>
        <v>8.8470157560901173E-5</v>
      </c>
    </row>
    <row r="1007" spans="1:18" hidden="1" x14ac:dyDescent="0.2">
      <c r="A1007" s="4">
        <v>690</v>
      </c>
      <c r="B1007" s="2">
        <v>4436974</v>
      </c>
      <c r="C1007" s="2">
        <v>0</v>
      </c>
      <c r="D1007" s="4" t="s">
        <v>5594</v>
      </c>
      <c r="E1007" s="2">
        <v>4436974</v>
      </c>
      <c r="F1007" s="2">
        <v>843025.06</v>
      </c>
      <c r="G1007" s="2">
        <v>0</v>
      </c>
      <c r="H1007" s="4">
        <v>0</v>
      </c>
      <c r="I1007" s="4">
        <v>0</v>
      </c>
      <c r="J1007" s="4">
        <v>0</v>
      </c>
      <c r="K1007" s="4">
        <v>5279999.0599999996</v>
      </c>
      <c r="L1007" s="4" t="s">
        <v>5592</v>
      </c>
      <c r="M1007" s="4" t="s">
        <v>5593</v>
      </c>
      <c r="N1007" s="4" t="s">
        <v>63</v>
      </c>
      <c r="O1007" s="4" t="s">
        <v>33</v>
      </c>
      <c r="P1007" s="4" t="s">
        <v>33</v>
      </c>
      <c r="Q1007" s="4" t="s">
        <v>100</v>
      </c>
      <c r="R1007" s="9">
        <f t="shared" si="15"/>
        <v>8.838418317057025E-5</v>
      </c>
    </row>
    <row r="1008" spans="1:18" hidden="1" x14ac:dyDescent="0.2">
      <c r="A1008" s="4">
        <v>941</v>
      </c>
      <c r="B1008" s="2">
        <v>4448985</v>
      </c>
      <c r="C1008" s="2">
        <v>15824.91</v>
      </c>
      <c r="D1008" s="4" t="s">
        <v>3931</v>
      </c>
      <c r="E1008" s="2">
        <v>4433160.09</v>
      </c>
      <c r="F1008" s="2">
        <v>842300.42</v>
      </c>
      <c r="G1008" s="2">
        <v>0</v>
      </c>
      <c r="H1008" s="4">
        <v>0</v>
      </c>
      <c r="I1008" s="4">
        <v>0</v>
      </c>
      <c r="J1008" s="4">
        <v>0</v>
      </c>
      <c r="K1008" s="4">
        <v>5275460.51</v>
      </c>
      <c r="L1008" s="4" t="s">
        <v>3929</v>
      </c>
      <c r="M1008" s="4" t="s">
        <v>3930</v>
      </c>
      <c r="N1008" s="4" t="s">
        <v>20</v>
      </c>
      <c r="O1008" s="4" t="s">
        <v>1356</v>
      </c>
      <c r="P1008" s="4" t="s">
        <v>1356</v>
      </c>
      <c r="Q1008" s="4" t="s">
        <v>100</v>
      </c>
      <c r="R1008" s="9">
        <f t="shared" si="15"/>
        <v>8.8308210374688165E-5</v>
      </c>
    </row>
    <row r="1009" spans="1:18" hidden="1" x14ac:dyDescent="0.2">
      <c r="A1009" s="4">
        <v>1340</v>
      </c>
      <c r="B1009" s="2">
        <v>4430925</v>
      </c>
      <c r="C1009" s="2">
        <v>0</v>
      </c>
      <c r="D1009" s="4" t="s">
        <v>3290</v>
      </c>
      <c r="E1009" s="2">
        <v>4430925</v>
      </c>
      <c r="F1009" s="2">
        <v>841875.75</v>
      </c>
      <c r="G1009" s="2">
        <v>0</v>
      </c>
      <c r="H1009" s="4">
        <v>0</v>
      </c>
      <c r="I1009" s="4">
        <v>0</v>
      </c>
      <c r="J1009" s="4">
        <v>0</v>
      </c>
      <c r="K1009" s="4">
        <v>5272800.75</v>
      </c>
      <c r="L1009" s="4" t="s">
        <v>3288</v>
      </c>
      <c r="M1009" s="4" t="s">
        <v>3289</v>
      </c>
      <c r="N1009" s="4" t="s">
        <v>3291</v>
      </c>
      <c r="O1009" s="4" t="s">
        <v>33</v>
      </c>
      <c r="P1009" s="4" t="s">
        <v>33</v>
      </c>
      <c r="Q1009" s="4" t="s">
        <v>100</v>
      </c>
      <c r="R1009" s="9">
        <f t="shared" si="15"/>
        <v>8.8263687552611069E-5</v>
      </c>
    </row>
    <row r="1010" spans="1:18" hidden="1" x14ac:dyDescent="0.2">
      <c r="A1010" s="4">
        <v>1926</v>
      </c>
      <c r="B1010" s="2">
        <v>4424732</v>
      </c>
      <c r="C1010" s="2">
        <v>0</v>
      </c>
      <c r="D1010" s="4" t="s">
        <v>2694</v>
      </c>
      <c r="E1010" s="2">
        <v>4424732</v>
      </c>
      <c r="F1010" s="2">
        <v>840699.08</v>
      </c>
      <c r="G1010" s="2">
        <v>0</v>
      </c>
      <c r="H1010" s="4">
        <v>0</v>
      </c>
      <c r="I1010" s="4">
        <v>0</v>
      </c>
      <c r="J1010" s="4">
        <v>0</v>
      </c>
      <c r="K1010" s="4">
        <v>5265431.08</v>
      </c>
      <c r="L1010" s="4" t="s">
        <v>2692</v>
      </c>
      <c r="M1010" s="4" t="s">
        <v>2693</v>
      </c>
      <c r="N1010" s="4" t="s">
        <v>975</v>
      </c>
      <c r="O1010" s="4" t="s">
        <v>89</v>
      </c>
      <c r="P1010" s="4" t="s">
        <v>89</v>
      </c>
      <c r="Q1010" s="4" t="s">
        <v>100</v>
      </c>
      <c r="R1010" s="9">
        <f t="shared" si="15"/>
        <v>8.8140323465651054E-5</v>
      </c>
    </row>
    <row r="1011" spans="1:18" hidden="1" x14ac:dyDescent="0.2">
      <c r="A1011" s="4">
        <v>237</v>
      </c>
      <c r="B1011" s="2">
        <v>4419224</v>
      </c>
      <c r="C1011" s="2">
        <v>0</v>
      </c>
      <c r="D1011" s="4" t="s">
        <v>2420</v>
      </c>
      <c r="E1011" s="2">
        <v>4419224</v>
      </c>
      <c r="F1011" s="2">
        <v>839652.56</v>
      </c>
      <c r="G1011" s="2">
        <v>0</v>
      </c>
      <c r="H1011" s="4">
        <v>0</v>
      </c>
      <c r="I1011" s="4">
        <v>0</v>
      </c>
      <c r="J1011" s="4">
        <v>0</v>
      </c>
      <c r="K1011" s="4">
        <v>5258876.5599999996</v>
      </c>
      <c r="L1011" s="4" t="s">
        <v>2418</v>
      </c>
      <c r="M1011" s="4" t="s">
        <v>2419</v>
      </c>
      <c r="N1011" s="4" t="s">
        <v>332</v>
      </c>
      <c r="O1011" s="4" t="s">
        <v>1127</v>
      </c>
      <c r="P1011" s="4" t="s">
        <v>1127</v>
      </c>
      <c r="Q1011" s="4" t="s">
        <v>100</v>
      </c>
      <c r="R1011" s="9">
        <f t="shared" si="15"/>
        <v>8.803060452636867E-5</v>
      </c>
    </row>
    <row r="1012" spans="1:18" hidden="1" x14ac:dyDescent="0.2">
      <c r="A1012" s="4">
        <v>1680</v>
      </c>
      <c r="B1012" s="2">
        <v>4415110</v>
      </c>
      <c r="C1012" s="2">
        <v>0</v>
      </c>
      <c r="D1012" s="4" t="s">
        <v>5597</v>
      </c>
      <c r="E1012" s="2">
        <v>4415110</v>
      </c>
      <c r="F1012" s="2">
        <v>838870.9</v>
      </c>
      <c r="G1012" s="2">
        <v>110377.75</v>
      </c>
      <c r="H1012" s="4">
        <v>0</v>
      </c>
      <c r="I1012" s="4">
        <v>0</v>
      </c>
      <c r="J1012" s="4">
        <v>110377.75</v>
      </c>
      <c r="K1012" s="4">
        <v>5143603.1500000004</v>
      </c>
      <c r="L1012" s="4" t="s">
        <v>5595</v>
      </c>
      <c r="M1012" s="4" t="s">
        <v>5596</v>
      </c>
      <c r="N1012" s="4" t="s">
        <v>37</v>
      </c>
      <c r="O1012" s="4" t="s">
        <v>33</v>
      </c>
      <c r="P1012" s="4" t="s">
        <v>33</v>
      </c>
      <c r="Q1012" s="4" t="s">
        <v>585</v>
      </c>
      <c r="R1012" s="9">
        <f t="shared" si="15"/>
        <v>8.7948653960608382E-5</v>
      </c>
    </row>
    <row r="1013" spans="1:18" hidden="1" x14ac:dyDescent="0.2">
      <c r="A1013" s="4">
        <v>483</v>
      </c>
      <c r="B1013" s="2">
        <v>4386388</v>
      </c>
      <c r="C1013" s="2">
        <v>0</v>
      </c>
      <c r="D1013" s="4" t="s">
        <v>3127</v>
      </c>
      <c r="E1013" s="2">
        <v>4386388</v>
      </c>
      <c r="F1013" s="2">
        <v>833413.72</v>
      </c>
      <c r="G1013" s="2">
        <v>0</v>
      </c>
      <c r="H1013" s="4">
        <v>0</v>
      </c>
      <c r="I1013" s="4">
        <v>0</v>
      </c>
      <c r="J1013" s="4">
        <v>0</v>
      </c>
      <c r="K1013" s="4">
        <v>5219801.72</v>
      </c>
      <c r="L1013" s="4" t="s">
        <v>3125</v>
      </c>
      <c r="M1013" s="4" t="s">
        <v>3126</v>
      </c>
      <c r="N1013" s="4" t="s">
        <v>20</v>
      </c>
      <c r="O1013" s="4" t="s">
        <v>316</v>
      </c>
      <c r="P1013" s="4" t="s">
        <v>316</v>
      </c>
      <c r="Q1013" s="4" t="s">
        <v>100</v>
      </c>
      <c r="R1013" s="9">
        <f t="shared" si="15"/>
        <v>8.7376513914481186E-5</v>
      </c>
    </row>
    <row r="1014" spans="1:18" hidden="1" x14ac:dyDescent="0.2">
      <c r="A1014" s="4">
        <v>656</v>
      </c>
      <c r="B1014" s="2">
        <v>4368379</v>
      </c>
      <c r="C1014" s="2">
        <v>0</v>
      </c>
      <c r="D1014" s="4" t="s">
        <v>2662</v>
      </c>
      <c r="E1014" s="2">
        <v>4368379</v>
      </c>
      <c r="F1014" s="2">
        <v>829992.01</v>
      </c>
      <c r="G1014" s="2">
        <v>37261.230000000003</v>
      </c>
      <c r="H1014" s="4">
        <v>0</v>
      </c>
      <c r="I1014" s="4">
        <v>0</v>
      </c>
      <c r="J1014" s="4">
        <v>37261.230000000003</v>
      </c>
      <c r="K1014" s="4">
        <v>5161109.78</v>
      </c>
      <c r="L1014" s="4" t="s">
        <v>2660</v>
      </c>
      <c r="M1014" s="4" t="s">
        <v>2661</v>
      </c>
      <c r="N1014" s="4" t="s">
        <v>20</v>
      </c>
      <c r="O1014" s="4" t="s">
        <v>1043</v>
      </c>
      <c r="P1014" s="4" t="s">
        <v>1043</v>
      </c>
      <c r="Q1014" s="4" t="s">
        <v>100</v>
      </c>
      <c r="R1014" s="9">
        <f t="shared" si="15"/>
        <v>8.7017776010062819E-5</v>
      </c>
    </row>
    <row r="1015" spans="1:18" hidden="1" x14ac:dyDescent="0.2">
      <c r="A1015" s="4">
        <v>845</v>
      </c>
      <c r="B1015" s="2">
        <v>4367483</v>
      </c>
      <c r="C1015" s="2">
        <v>0</v>
      </c>
      <c r="D1015" s="4" t="s">
        <v>2875</v>
      </c>
      <c r="E1015" s="2">
        <v>4367483</v>
      </c>
      <c r="F1015" s="2">
        <v>829821.77</v>
      </c>
      <c r="G1015" s="2">
        <v>0</v>
      </c>
      <c r="H1015" s="4">
        <v>0</v>
      </c>
      <c r="I1015" s="4">
        <v>0</v>
      </c>
      <c r="J1015" s="4">
        <v>0</v>
      </c>
      <c r="K1015" s="4">
        <v>5197304.7699999996</v>
      </c>
      <c r="L1015" s="4" t="s">
        <v>2873</v>
      </c>
      <c r="M1015" s="4" t="s">
        <v>2874</v>
      </c>
      <c r="N1015" s="4" t="s">
        <v>20</v>
      </c>
      <c r="O1015" s="4" t="s">
        <v>1043</v>
      </c>
      <c r="P1015" s="4" t="s">
        <v>1043</v>
      </c>
      <c r="Q1015" s="4" t="s">
        <v>100</v>
      </c>
      <c r="R1015" s="9">
        <f t="shared" si="15"/>
        <v>8.6999927758501993E-5</v>
      </c>
    </row>
    <row r="1016" spans="1:18" hidden="1" x14ac:dyDescent="0.2">
      <c r="A1016" s="4">
        <v>163</v>
      </c>
      <c r="B1016" s="2">
        <v>4405881</v>
      </c>
      <c r="C1016" s="2">
        <v>41790.69</v>
      </c>
      <c r="D1016" s="4" t="s">
        <v>2063</v>
      </c>
      <c r="E1016" s="2">
        <v>4364090.3099999996</v>
      </c>
      <c r="F1016" s="2">
        <v>806748.04</v>
      </c>
      <c r="G1016" s="2">
        <v>0</v>
      </c>
      <c r="H1016" s="4">
        <v>0</v>
      </c>
      <c r="I1016" s="4">
        <v>0</v>
      </c>
      <c r="J1016" s="4">
        <v>0</v>
      </c>
      <c r="K1016" s="4">
        <v>5170838.3499999996</v>
      </c>
      <c r="L1016" s="4" t="s">
        <v>2061</v>
      </c>
      <c r="M1016" s="4" t="s">
        <v>2062</v>
      </c>
      <c r="N1016" s="4" t="s">
        <v>381</v>
      </c>
      <c r="O1016" s="4" t="s">
        <v>382</v>
      </c>
      <c r="P1016" s="4" t="s">
        <v>382</v>
      </c>
      <c r="Q1016" s="4" t="s">
        <v>100</v>
      </c>
      <c r="R1016" s="9">
        <f t="shared" si="15"/>
        <v>8.6932345632845858E-5</v>
      </c>
    </row>
    <row r="1017" spans="1:18" hidden="1" x14ac:dyDescent="0.2">
      <c r="A1017" s="4">
        <v>1455</v>
      </c>
      <c r="B1017" s="2">
        <v>4361863</v>
      </c>
      <c r="C1017" s="2">
        <v>0</v>
      </c>
      <c r="D1017" s="4" t="s">
        <v>5600</v>
      </c>
      <c r="E1017" s="2">
        <v>4361863</v>
      </c>
      <c r="F1017" s="2">
        <v>828753.97</v>
      </c>
      <c r="G1017" s="2">
        <v>0</v>
      </c>
      <c r="H1017" s="4">
        <v>0</v>
      </c>
      <c r="I1017" s="4">
        <v>0</v>
      </c>
      <c r="J1017" s="4">
        <v>0</v>
      </c>
      <c r="K1017" s="4">
        <v>5190616.97</v>
      </c>
      <c r="L1017" s="4" t="s">
        <v>5598</v>
      </c>
      <c r="M1017" s="4" t="s">
        <v>5599</v>
      </c>
      <c r="N1017" s="4" t="s">
        <v>779</v>
      </c>
      <c r="O1017" s="4" t="s">
        <v>33</v>
      </c>
      <c r="P1017" s="4" t="s">
        <v>1039</v>
      </c>
      <c r="Q1017" s="4" t="s">
        <v>100</v>
      </c>
      <c r="R1017" s="9">
        <f t="shared" si="15"/>
        <v>8.6887977787774518E-5</v>
      </c>
    </row>
    <row r="1018" spans="1:18" hidden="1" x14ac:dyDescent="0.2">
      <c r="A1018" s="4">
        <v>743</v>
      </c>
      <c r="B1018" s="2">
        <v>4378601</v>
      </c>
      <c r="C1018" s="2">
        <v>18166.2</v>
      </c>
      <c r="D1018" s="4" t="s">
        <v>1772</v>
      </c>
      <c r="E1018" s="2">
        <v>4360434.8</v>
      </c>
      <c r="F1018" s="2">
        <v>828482.61</v>
      </c>
      <c r="G1018" s="2">
        <v>35820.75</v>
      </c>
      <c r="H1018" s="4">
        <v>0</v>
      </c>
      <c r="I1018" s="4">
        <v>0</v>
      </c>
      <c r="J1018" s="4">
        <v>35820.75</v>
      </c>
      <c r="K1018" s="4">
        <v>5153096.66</v>
      </c>
      <c r="L1018" s="4" t="s">
        <v>1770</v>
      </c>
      <c r="M1018" s="4" t="s">
        <v>1771</v>
      </c>
      <c r="N1018" s="4" t="s">
        <v>20</v>
      </c>
      <c r="O1018" s="4" t="s">
        <v>631</v>
      </c>
      <c r="P1018" s="4" t="s">
        <v>631</v>
      </c>
      <c r="Q1018" s="4" t="s">
        <v>100</v>
      </c>
      <c r="R1018" s="9">
        <f t="shared" si="15"/>
        <v>8.6859528152864721E-5</v>
      </c>
    </row>
    <row r="1019" spans="1:18" hidden="1" x14ac:dyDescent="0.2">
      <c r="A1019" s="4">
        <v>454</v>
      </c>
      <c r="B1019" s="2">
        <v>4358182</v>
      </c>
      <c r="C1019" s="2">
        <v>0</v>
      </c>
      <c r="D1019" s="4" t="s">
        <v>4919</v>
      </c>
      <c r="E1019" s="2">
        <v>4358182</v>
      </c>
      <c r="F1019" s="2">
        <v>828054.58</v>
      </c>
      <c r="G1019" s="2">
        <v>95258.93</v>
      </c>
      <c r="H1019" s="4">
        <v>0</v>
      </c>
      <c r="I1019" s="4">
        <v>0</v>
      </c>
      <c r="J1019" s="4">
        <v>95258.93</v>
      </c>
      <c r="K1019" s="4">
        <v>5090977.6500000004</v>
      </c>
      <c r="L1019" s="4" t="s">
        <v>4917</v>
      </c>
      <c r="M1019" s="4" t="s">
        <v>4918</v>
      </c>
      <c r="N1019" s="4" t="s">
        <v>651</v>
      </c>
      <c r="O1019" s="4" t="s">
        <v>196</v>
      </c>
      <c r="P1019" s="4" t="s">
        <v>196</v>
      </c>
      <c r="Q1019" s="4" t="s">
        <v>100</v>
      </c>
      <c r="R1019" s="9">
        <f t="shared" si="15"/>
        <v>8.6814652548940379E-5</v>
      </c>
    </row>
    <row r="1020" spans="1:18" hidden="1" x14ac:dyDescent="0.2">
      <c r="A1020" s="4">
        <v>499</v>
      </c>
      <c r="B1020" s="2">
        <v>4344268</v>
      </c>
      <c r="C1020" s="2">
        <v>0</v>
      </c>
      <c r="D1020" s="4" t="s">
        <v>4218</v>
      </c>
      <c r="E1020" s="2">
        <v>4344268</v>
      </c>
      <c r="F1020" s="2">
        <v>825410.92</v>
      </c>
      <c r="G1020" s="2">
        <v>38047.480000000003</v>
      </c>
      <c r="H1020" s="4">
        <v>0</v>
      </c>
      <c r="I1020" s="4">
        <v>0</v>
      </c>
      <c r="J1020" s="4">
        <v>38047.480000000003</v>
      </c>
      <c r="K1020" s="4">
        <v>5131631.4400000004</v>
      </c>
      <c r="L1020" s="4" t="s">
        <v>4216</v>
      </c>
      <c r="M1020" s="4" t="s">
        <v>4217</v>
      </c>
      <c r="N1020" s="4" t="s">
        <v>104</v>
      </c>
      <c r="O1020" s="4" t="s">
        <v>105</v>
      </c>
      <c r="P1020" s="4" t="s">
        <v>105</v>
      </c>
      <c r="Q1020" s="4" t="s">
        <v>100</v>
      </c>
      <c r="R1020" s="9">
        <f t="shared" si="15"/>
        <v>8.6537486731733573E-5</v>
      </c>
    </row>
    <row r="1021" spans="1:18" hidden="1" x14ac:dyDescent="0.2">
      <c r="A1021" s="4">
        <v>203</v>
      </c>
      <c r="B1021" s="2">
        <v>4351164</v>
      </c>
      <c r="C1021" s="2">
        <v>9429.1200000000008</v>
      </c>
      <c r="D1021" s="4" t="s">
        <v>3075</v>
      </c>
      <c r="E1021" s="2">
        <v>4341734.88</v>
      </c>
      <c r="F1021" s="2">
        <v>824929.63</v>
      </c>
      <c r="G1021" s="2">
        <v>0</v>
      </c>
      <c r="H1021" s="4">
        <v>0</v>
      </c>
      <c r="I1021" s="4">
        <v>0</v>
      </c>
      <c r="J1021" s="4">
        <v>0</v>
      </c>
      <c r="K1021" s="4">
        <v>5166664.51</v>
      </c>
      <c r="L1021" s="4" t="s">
        <v>3073</v>
      </c>
      <c r="M1021" s="4" t="s">
        <v>3074</v>
      </c>
      <c r="N1021" s="4" t="s">
        <v>20</v>
      </c>
      <c r="O1021" s="4" t="s">
        <v>316</v>
      </c>
      <c r="P1021" s="4" t="s">
        <v>316</v>
      </c>
      <c r="Q1021" s="4" t="s">
        <v>100</v>
      </c>
      <c r="R1021" s="9">
        <f t="shared" si="15"/>
        <v>8.6487027174820906E-5</v>
      </c>
    </row>
    <row r="1022" spans="1:18" hidden="1" x14ac:dyDescent="0.2">
      <c r="A1022" s="4">
        <v>375</v>
      </c>
      <c r="B1022" s="2">
        <v>4329040</v>
      </c>
      <c r="C1022" s="2">
        <v>0</v>
      </c>
      <c r="D1022" s="4" t="s">
        <v>5603</v>
      </c>
      <c r="E1022" s="2">
        <v>4329040</v>
      </c>
      <c r="F1022" s="2">
        <v>822517.6</v>
      </c>
      <c r="G1022" s="2">
        <v>108226</v>
      </c>
      <c r="H1022" s="4">
        <v>0</v>
      </c>
      <c r="I1022" s="4">
        <v>0</v>
      </c>
      <c r="J1022" s="4">
        <v>108226</v>
      </c>
      <c r="K1022" s="4">
        <v>5043331.5999999996</v>
      </c>
      <c r="L1022" s="4" t="s">
        <v>5601</v>
      </c>
      <c r="M1022" s="4" t="s">
        <v>5602</v>
      </c>
      <c r="N1022" s="4" t="s">
        <v>245</v>
      </c>
      <c r="O1022" s="4" t="s">
        <v>237</v>
      </c>
      <c r="P1022" s="4" t="s">
        <v>237</v>
      </c>
      <c r="Q1022" s="4" t="s">
        <v>100</v>
      </c>
      <c r="R1022" s="9">
        <f t="shared" si="15"/>
        <v>8.623414613489405E-5</v>
      </c>
    </row>
    <row r="1023" spans="1:18" hidden="1" x14ac:dyDescent="0.2">
      <c r="A1023" s="4">
        <v>543</v>
      </c>
      <c r="B1023" s="2">
        <v>4317960</v>
      </c>
      <c r="C1023" s="2">
        <v>0</v>
      </c>
      <c r="D1023" s="4" t="s">
        <v>5606</v>
      </c>
      <c r="E1023" s="2">
        <v>4317960</v>
      </c>
      <c r="F1023" s="2">
        <v>820412.4</v>
      </c>
      <c r="G1023" s="2">
        <v>22216</v>
      </c>
      <c r="H1023" s="4">
        <v>0</v>
      </c>
      <c r="I1023" s="4">
        <v>0</v>
      </c>
      <c r="J1023" s="4">
        <v>22216</v>
      </c>
      <c r="K1023" s="4">
        <v>5116156.4000000004</v>
      </c>
      <c r="L1023" s="4" t="s">
        <v>5604</v>
      </c>
      <c r="M1023" s="4" t="s">
        <v>5605</v>
      </c>
      <c r="N1023" s="4" t="s">
        <v>58</v>
      </c>
      <c r="O1023" s="4" t="s">
        <v>59</v>
      </c>
      <c r="P1023" s="4" t="s">
        <v>59</v>
      </c>
      <c r="Q1023" s="4" t="s">
        <v>100</v>
      </c>
      <c r="R1023" s="9">
        <f t="shared" si="15"/>
        <v>8.6013433381217812E-5</v>
      </c>
    </row>
    <row r="1024" spans="1:18" hidden="1" x14ac:dyDescent="0.2">
      <c r="A1024" s="4">
        <v>2024</v>
      </c>
      <c r="B1024" s="2">
        <v>4313798</v>
      </c>
      <c r="C1024" s="2">
        <v>0</v>
      </c>
      <c r="D1024" s="4" t="s">
        <v>4092</v>
      </c>
      <c r="E1024" s="2">
        <v>4313798</v>
      </c>
      <c r="F1024" s="2">
        <v>819621.62</v>
      </c>
      <c r="G1024" s="2">
        <v>0</v>
      </c>
      <c r="H1024" s="4">
        <v>0</v>
      </c>
      <c r="I1024" s="4">
        <v>0</v>
      </c>
      <c r="J1024" s="4">
        <v>0</v>
      </c>
      <c r="K1024" s="4">
        <v>5133419.62</v>
      </c>
      <c r="L1024" s="4" t="s">
        <v>4090</v>
      </c>
      <c r="M1024" s="4" t="s">
        <v>4091</v>
      </c>
      <c r="N1024" s="4" t="s">
        <v>332</v>
      </c>
      <c r="O1024" s="4" t="s">
        <v>1127</v>
      </c>
      <c r="P1024" s="4" t="s">
        <v>1127</v>
      </c>
      <c r="Q1024" s="4" t="s">
        <v>100</v>
      </c>
      <c r="R1024" s="9">
        <f t="shared" si="15"/>
        <v>8.593052665912389E-5</v>
      </c>
    </row>
    <row r="1025" spans="1:18" hidden="1" x14ac:dyDescent="0.2">
      <c r="A1025" s="4">
        <v>940</v>
      </c>
      <c r="B1025" s="2">
        <v>4309107</v>
      </c>
      <c r="C1025" s="2">
        <v>0</v>
      </c>
      <c r="D1025" s="4" t="s">
        <v>2734</v>
      </c>
      <c r="E1025" s="2">
        <v>4309107</v>
      </c>
      <c r="F1025" s="2">
        <v>818730.33</v>
      </c>
      <c r="G1025" s="2">
        <v>0</v>
      </c>
      <c r="H1025" s="4">
        <v>0</v>
      </c>
      <c r="I1025" s="4">
        <v>0</v>
      </c>
      <c r="J1025" s="4">
        <v>0</v>
      </c>
      <c r="K1025" s="4">
        <v>5127837.33</v>
      </c>
      <c r="L1025" s="4" t="s">
        <v>2732</v>
      </c>
      <c r="M1025" s="4" t="s">
        <v>2733</v>
      </c>
      <c r="N1025" s="4" t="s">
        <v>104</v>
      </c>
      <c r="O1025" s="4" t="s">
        <v>105</v>
      </c>
      <c r="P1025" s="4" t="s">
        <v>105</v>
      </c>
      <c r="Q1025" s="4" t="s">
        <v>100</v>
      </c>
      <c r="R1025" s="9">
        <f t="shared" si="15"/>
        <v>8.5837082297436591E-5</v>
      </c>
    </row>
    <row r="1026" spans="1:18" hidden="1" x14ac:dyDescent="0.2">
      <c r="A1026" s="4">
        <v>522</v>
      </c>
      <c r="B1026" s="2">
        <v>4316309</v>
      </c>
      <c r="C1026" s="2">
        <v>31015.439999999999</v>
      </c>
      <c r="D1026" s="4" t="s">
        <v>5609</v>
      </c>
      <c r="E1026" s="2">
        <v>4285293.5599999996</v>
      </c>
      <c r="F1026" s="2">
        <v>814205.78</v>
      </c>
      <c r="G1026" s="2">
        <v>31941.9</v>
      </c>
      <c r="H1026" s="4">
        <v>0</v>
      </c>
      <c r="I1026" s="4">
        <v>0</v>
      </c>
      <c r="J1026" s="4">
        <v>31941.9</v>
      </c>
      <c r="K1026" s="4">
        <v>5067557.4400000004</v>
      </c>
      <c r="L1026" s="4" t="s">
        <v>5607</v>
      </c>
      <c r="M1026" s="4" t="s">
        <v>5608</v>
      </c>
      <c r="N1026" s="4" t="s">
        <v>1107</v>
      </c>
      <c r="O1026" s="4" t="s">
        <v>89</v>
      </c>
      <c r="P1026" s="4" t="s">
        <v>89</v>
      </c>
      <c r="Q1026" s="4" t="s">
        <v>100</v>
      </c>
      <c r="R1026" s="9">
        <f t="shared" si="15"/>
        <v>8.5362720391578815E-5</v>
      </c>
    </row>
    <row r="1027" spans="1:18" hidden="1" x14ac:dyDescent="0.2">
      <c r="A1027" s="4">
        <v>936</v>
      </c>
      <c r="B1027" s="2">
        <v>4273169</v>
      </c>
      <c r="C1027" s="2">
        <v>0</v>
      </c>
      <c r="D1027" s="4" t="s">
        <v>4736</v>
      </c>
      <c r="E1027" s="2">
        <v>4273169</v>
      </c>
      <c r="F1027" s="2">
        <v>811902.11</v>
      </c>
      <c r="G1027" s="2">
        <v>0</v>
      </c>
      <c r="H1027" s="4">
        <v>0</v>
      </c>
      <c r="I1027" s="4">
        <v>0</v>
      </c>
      <c r="J1027" s="4">
        <v>0</v>
      </c>
      <c r="K1027" s="4">
        <v>5085071.1100000003</v>
      </c>
      <c r="L1027" s="4" t="s">
        <v>4734</v>
      </c>
      <c r="M1027" s="4" t="s">
        <v>4735</v>
      </c>
      <c r="N1027" s="4" t="s">
        <v>20</v>
      </c>
      <c r="O1027" s="4" t="s">
        <v>257</v>
      </c>
      <c r="P1027" s="4" t="s">
        <v>257</v>
      </c>
      <c r="Q1027" s="4" t="s">
        <v>100</v>
      </c>
      <c r="R1027" s="9">
        <f t="shared" ref="R1027:R1090" si="16">E1027/$E$2034</f>
        <v>8.5121200082489206E-5</v>
      </c>
    </row>
    <row r="1028" spans="1:18" hidden="1" x14ac:dyDescent="0.2">
      <c r="A1028" s="4">
        <v>1738</v>
      </c>
      <c r="B1028" s="2">
        <v>4250577</v>
      </c>
      <c r="C1028" s="2">
        <v>0</v>
      </c>
      <c r="D1028" s="4" t="s">
        <v>5612</v>
      </c>
      <c r="E1028" s="2">
        <v>4250577</v>
      </c>
      <c r="F1028" s="2">
        <v>807609.63</v>
      </c>
      <c r="G1028" s="2">
        <v>0</v>
      </c>
      <c r="H1028" s="4">
        <v>0</v>
      </c>
      <c r="I1028" s="4">
        <v>0</v>
      </c>
      <c r="J1028" s="4">
        <v>0</v>
      </c>
      <c r="K1028" s="4">
        <v>5058186.63</v>
      </c>
      <c r="L1028" s="4" t="s">
        <v>5610</v>
      </c>
      <c r="M1028" s="4" t="s">
        <v>5611</v>
      </c>
      <c r="N1028" s="4" t="s">
        <v>20</v>
      </c>
      <c r="O1028" s="4" t="s">
        <v>540</v>
      </c>
      <c r="P1028" s="4" t="s">
        <v>1039</v>
      </c>
      <c r="Q1028" s="4" t="s">
        <v>100</v>
      </c>
      <c r="R1028" s="9">
        <f t="shared" si="16"/>
        <v>8.4671169168134175E-5</v>
      </c>
    </row>
    <row r="1029" spans="1:18" hidden="1" x14ac:dyDescent="0.2">
      <c r="A1029" s="4">
        <v>1266</v>
      </c>
      <c r="B1029" s="2">
        <v>4241297</v>
      </c>
      <c r="C1029" s="2">
        <v>0</v>
      </c>
      <c r="D1029" s="4" t="s">
        <v>5615</v>
      </c>
      <c r="E1029" s="2">
        <v>4241297</v>
      </c>
      <c r="F1029" s="2">
        <v>805846.43</v>
      </c>
      <c r="G1029" s="2">
        <v>0</v>
      </c>
      <c r="H1029" s="4">
        <v>0</v>
      </c>
      <c r="I1029" s="4">
        <v>0</v>
      </c>
      <c r="J1029" s="4">
        <v>0</v>
      </c>
      <c r="K1029" s="4">
        <v>5047143.43</v>
      </c>
      <c r="L1029" s="4" t="s">
        <v>5613</v>
      </c>
      <c r="M1029" s="4" t="s">
        <v>5614</v>
      </c>
      <c r="N1029" s="4" t="s">
        <v>32</v>
      </c>
      <c r="O1029" s="4" t="s">
        <v>33</v>
      </c>
      <c r="P1029" s="4" t="s">
        <v>33</v>
      </c>
      <c r="Q1029" s="4" t="s">
        <v>100</v>
      </c>
      <c r="R1029" s="9">
        <f t="shared" si="16"/>
        <v>8.4486312276968502E-5</v>
      </c>
    </row>
    <row r="1030" spans="1:18" hidden="1" x14ac:dyDescent="0.2">
      <c r="A1030" s="4">
        <v>1743</v>
      </c>
      <c r="B1030" s="2">
        <v>4240992</v>
      </c>
      <c r="C1030" s="2">
        <v>0</v>
      </c>
      <c r="D1030" s="4" t="s">
        <v>5618</v>
      </c>
      <c r="E1030" s="2">
        <v>4240992</v>
      </c>
      <c r="F1030" s="2">
        <v>805788.48</v>
      </c>
      <c r="G1030" s="2">
        <v>0</v>
      </c>
      <c r="H1030" s="4">
        <v>0</v>
      </c>
      <c r="I1030" s="4">
        <v>0</v>
      </c>
      <c r="J1030" s="4">
        <v>0</v>
      </c>
      <c r="K1030" s="4">
        <v>5046780.4800000004</v>
      </c>
      <c r="L1030" s="4" t="s">
        <v>5616</v>
      </c>
      <c r="M1030" s="4" t="s">
        <v>5617</v>
      </c>
      <c r="N1030" s="4" t="s">
        <v>218</v>
      </c>
      <c r="O1030" s="4" t="s">
        <v>196</v>
      </c>
      <c r="P1030" s="4" t="s">
        <v>196</v>
      </c>
      <c r="Q1030" s="4" t="s">
        <v>100</v>
      </c>
      <c r="R1030" s="9">
        <f t="shared" si="16"/>
        <v>8.4480236700265322E-5</v>
      </c>
    </row>
    <row r="1031" spans="1:18" hidden="1" x14ac:dyDescent="0.2">
      <c r="A1031" s="4">
        <v>1207</v>
      </c>
      <c r="B1031" s="2">
        <v>4239605</v>
      </c>
      <c r="C1031" s="2">
        <v>0</v>
      </c>
      <c r="D1031" s="4" t="s">
        <v>3219</v>
      </c>
      <c r="E1031" s="2">
        <v>4239605</v>
      </c>
      <c r="F1031" s="2">
        <v>805524.95</v>
      </c>
      <c r="G1031" s="2">
        <v>0</v>
      </c>
      <c r="H1031" s="4">
        <v>0</v>
      </c>
      <c r="I1031" s="4">
        <v>0</v>
      </c>
      <c r="J1031" s="4">
        <v>0</v>
      </c>
      <c r="K1031" s="4">
        <v>5045129.95</v>
      </c>
      <c r="L1031" s="4" t="s">
        <v>3217</v>
      </c>
      <c r="M1031" s="4" t="s">
        <v>3218</v>
      </c>
      <c r="N1031" s="4" t="s">
        <v>819</v>
      </c>
      <c r="O1031" s="4" t="s">
        <v>93</v>
      </c>
      <c r="P1031" s="4" t="s">
        <v>93</v>
      </c>
      <c r="Q1031" s="4" t="s">
        <v>100</v>
      </c>
      <c r="R1031" s="9">
        <f t="shared" si="16"/>
        <v>8.445260776620856E-5</v>
      </c>
    </row>
    <row r="1032" spans="1:18" hidden="1" x14ac:dyDescent="0.2">
      <c r="A1032" s="4">
        <v>593</v>
      </c>
      <c r="B1032" s="2">
        <v>4223580</v>
      </c>
      <c r="C1032" s="2">
        <v>0</v>
      </c>
      <c r="D1032" s="4" t="s">
        <v>2739</v>
      </c>
      <c r="E1032" s="2">
        <v>4223580</v>
      </c>
      <c r="F1032" s="2">
        <v>802480.2</v>
      </c>
      <c r="G1032" s="2">
        <v>0</v>
      </c>
      <c r="H1032" s="4">
        <v>0</v>
      </c>
      <c r="I1032" s="4">
        <v>0</v>
      </c>
      <c r="J1032" s="4">
        <v>0</v>
      </c>
      <c r="K1032" s="4">
        <v>5026060.2</v>
      </c>
      <c r="L1032" s="4" t="s">
        <v>2738</v>
      </c>
      <c r="M1032" s="4" t="s">
        <v>2738</v>
      </c>
      <c r="N1032" s="4" t="s">
        <v>20</v>
      </c>
      <c r="O1032" s="4" t="s">
        <v>1157</v>
      </c>
      <c r="P1032" s="4" t="s">
        <v>1157</v>
      </c>
      <c r="Q1032" s="4" t="s">
        <v>100</v>
      </c>
      <c r="R1032" s="9">
        <f t="shared" si="16"/>
        <v>8.4133390990246299E-5</v>
      </c>
    </row>
    <row r="1033" spans="1:18" hidden="1" x14ac:dyDescent="0.2">
      <c r="A1033" s="4">
        <v>1111</v>
      </c>
      <c r="B1033" s="2">
        <v>4192297</v>
      </c>
      <c r="C1033" s="2">
        <v>0</v>
      </c>
      <c r="D1033" s="4" t="s">
        <v>3105</v>
      </c>
      <c r="E1033" s="2">
        <v>4192297</v>
      </c>
      <c r="F1033" s="2">
        <v>796536.43</v>
      </c>
      <c r="G1033" s="2">
        <v>104807.44</v>
      </c>
      <c r="H1033" s="4">
        <v>0</v>
      </c>
      <c r="I1033" s="4">
        <v>0</v>
      </c>
      <c r="J1033" s="4">
        <v>104807.44</v>
      </c>
      <c r="K1033" s="4">
        <v>4884025.99</v>
      </c>
      <c r="L1033" s="4" t="s">
        <v>3103</v>
      </c>
      <c r="M1033" s="4" t="s">
        <v>3104</v>
      </c>
      <c r="N1033" s="4" t="s">
        <v>472</v>
      </c>
      <c r="O1033" s="4" t="s">
        <v>67</v>
      </c>
      <c r="P1033" s="4" t="s">
        <v>67</v>
      </c>
      <c r="Q1033" s="4" t="s">
        <v>100</v>
      </c>
      <c r="R1033" s="9">
        <f t="shared" si="16"/>
        <v>8.3510236019736E-5</v>
      </c>
    </row>
    <row r="1034" spans="1:18" hidden="1" x14ac:dyDescent="0.2">
      <c r="A1034" s="4">
        <v>1690</v>
      </c>
      <c r="B1034" s="2">
        <v>4179987</v>
      </c>
      <c r="C1034" s="2">
        <v>0</v>
      </c>
      <c r="D1034" s="4" t="s">
        <v>3251</v>
      </c>
      <c r="E1034" s="2">
        <v>4179987</v>
      </c>
      <c r="F1034" s="2">
        <v>794197.53</v>
      </c>
      <c r="G1034" s="2">
        <v>0</v>
      </c>
      <c r="H1034" s="4">
        <v>0</v>
      </c>
      <c r="I1034" s="4">
        <v>0</v>
      </c>
      <c r="J1034" s="4">
        <v>0</v>
      </c>
      <c r="K1034" s="4">
        <v>4974184.53</v>
      </c>
      <c r="L1034" s="4" t="s">
        <v>3249</v>
      </c>
      <c r="M1034" s="4" t="s">
        <v>3250</v>
      </c>
      <c r="N1034" s="4" t="s">
        <v>695</v>
      </c>
      <c r="O1034" s="4" t="s">
        <v>67</v>
      </c>
      <c r="P1034" s="4" t="s">
        <v>1039</v>
      </c>
      <c r="Q1034" s="4" t="s">
        <v>100</v>
      </c>
      <c r="R1034" s="9">
        <f t="shared" si="16"/>
        <v>8.326502176001085E-5</v>
      </c>
    </row>
    <row r="1035" spans="1:18" hidden="1" x14ac:dyDescent="0.2">
      <c r="A1035" s="4">
        <v>77</v>
      </c>
      <c r="B1035" s="2">
        <v>4177497</v>
      </c>
      <c r="C1035" s="2">
        <v>0</v>
      </c>
      <c r="D1035" s="4" t="s">
        <v>2859</v>
      </c>
      <c r="E1035" s="2">
        <v>4177497</v>
      </c>
      <c r="F1035" s="2">
        <v>793724.43</v>
      </c>
      <c r="G1035" s="2">
        <v>0</v>
      </c>
      <c r="H1035" s="4">
        <v>0</v>
      </c>
      <c r="I1035" s="4">
        <v>0</v>
      </c>
      <c r="J1035" s="4">
        <v>0</v>
      </c>
      <c r="K1035" s="4">
        <v>4971221.43</v>
      </c>
      <c r="L1035" s="4" t="s">
        <v>2857</v>
      </c>
      <c r="M1035" s="4" t="s">
        <v>2858</v>
      </c>
      <c r="N1035" s="4" t="s">
        <v>112</v>
      </c>
      <c r="O1035" s="4" t="s">
        <v>113</v>
      </c>
      <c r="P1035" s="4" t="s">
        <v>113</v>
      </c>
      <c r="Q1035" s="4" t="s">
        <v>100</v>
      </c>
      <c r="R1035" s="9">
        <f t="shared" si="16"/>
        <v>8.3215421150204549E-5</v>
      </c>
    </row>
    <row r="1036" spans="1:18" hidden="1" x14ac:dyDescent="0.2">
      <c r="A1036" s="4">
        <v>867</v>
      </c>
      <c r="B1036" s="2">
        <v>4164461</v>
      </c>
      <c r="C1036" s="2">
        <v>0</v>
      </c>
      <c r="D1036" s="4" t="s">
        <v>584</v>
      </c>
      <c r="E1036" s="2">
        <v>4164461</v>
      </c>
      <c r="F1036" s="2">
        <v>791247.59</v>
      </c>
      <c r="G1036" s="2">
        <v>38245.050000000003</v>
      </c>
      <c r="H1036" s="4">
        <v>0</v>
      </c>
      <c r="I1036" s="4">
        <v>0</v>
      </c>
      <c r="J1036" s="4">
        <v>38245.050000000003</v>
      </c>
      <c r="K1036" s="4">
        <v>4917463.54</v>
      </c>
      <c r="L1036" s="4" t="s">
        <v>582</v>
      </c>
      <c r="M1036" s="4" t="s">
        <v>583</v>
      </c>
      <c r="N1036" s="4" t="s">
        <v>20</v>
      </c>
      <c r="O1036" s="4" t="s">
        <v>76</v>
      </c>
      <c r="P1036" s="4" t="s">
        <v>76</v>
      </c>
      <c r="Q1036" s="4" t="s">
        <v>585</v>
      </c>
      <c r="R1036" s="9">
        <f t="shared" si="16"/>
        <v>8.2955745025933464E-5</v>
      </c>
    </row>
    <row r="1037" spans="1:18" hidden="1" x14ac:dyDescent="0.2">
      <c r="A1037" s="4">
        <v>967</v>
      </c>
      <c r="B1037" s="2">
        <v>4162225</v>
      </c>
      <c r="C1037" s="2">
        <v>0</v>
      </c>
      <c r="D1037" s="4" t="s">
        <v>3843</v>
      </c>
      <c r="E1037" s="2">
        <v>4162225</v>
      </c>
      <c r="F1037" s="2">
        <v>790822.75</v>
      </c>
      <c r="G1037" s="2">
        <v>0</v>
      </c>
      <c r="H1037" s="4">
        <v>0</v>
      </c>
      <c r="I1037" s="4">
        <v>0</v>
      </c>
      <c r="J1037" s="4">
        <v>0</v>
      </c>
      <c r="K1037" s="4">
        <v>4953047.75</v>
      </c>
      <c r="L1037" s="4" t="s">
        <v>3841</v>
      </c>
      <c r="M1037" s="4" t="s">
        <v>3842</v>
      </c>
      <c r="N1037" s="4" t="s">
        <v>20</v>
      </c>
      <c r="O1037" s="4" t="s">
        <v>316</v>
      </c>
      <c r="P1037" s="4" t="s">
        <v>316</v>
      </c>
      <c r="Q1037" s="4" t="s">
        <v>100</v>
      </c>
      <c r="R1037" s="9">
        <f t="shared" si="16"/>
        <v>8.2911204076725875E-5</v>
      </c>
    </row>
    <row r="1038" spans="1:18" hidden="1" x14ac:dyDescent="0.2">
      <c r="A1038" s="4">
        <v>1192</v>
      </c>
      <c r="B1038" s="2">
        <v>4159346</v>
      </c>
      <c r="C1038" s="2">
        <v>0</v>
      </c>
      <c r="D1038" s="4" t="s">
        <v>3402</v>
      </c>
      <c r="E1038" s="2">
        <v>4159346</v>
      </c>
      <c r="F1038" s="2">
        <v>790275.74</v>
      </c>
      <c r="G1038" s="2">
        <v>0</v>
      </c>
      <c r="H1038" s="4">
        <v>0</v>
      </c>
      <c r="I1038" s="4">
        <v>0</v>
      </c>
      <c r="J1038" s="4">
        <v>0</v>
      </c>
      <c r="K1038" s="4">
        <v>4949621.74</v>
      </c>
      <c r="L1038" s="4" t="s">
        <v>3400</v>
      </c>
      <c r="M1038" s="4" t="s">
        <v>3401</v>
      </c>
      <c r="N1038" s="4" t="s">
        <v>20</v>
      </c>
      <c r="O1038" s="4" t="s">
        <v>768</v>
      </c>
      <c r="P1038" s="4" t="s">
        <v>768</v>
      </c>
      <c r="Q1038" s="4" t="s">
        <v>100</v>
      </c>
      <c r="R1038" s="9">
        <f t="shared" si="16"/>
        <v>8.2853854616632563E-5</v>
      </c>
    </row>
    <row r="1039" spans="1:18" hidden="1" x14ac:dyDescent="0.2">
      <c r="A1039" s="4">
        <v>1790</v>
      </c>
      <c r="B1039" s="2">
        <v>4150396</v>
      </c>
      <c r="C1039" s="2">
        <v>0</v>
      </c>
      <c r="D1039" s="4" t="s">
        <v>2754</v>
      </c>
      <c r="E1039" s="2">
        <v>4150396</v>
      </c>
      <c r="F1039" s="2">
        <v>788575.24</v>
      </c>
      <c r="G1039" s="2">
        <v>0</v>
      </c>
      <c r="H1039" s="4">
        <v>0</v>
      </c>
      <c r="I1039" s="4">
        <v>0</v>
      </c>
      <c r="J1039" s="4">
        <v>0</v>
      </c>
      <c r="K1039" s="4">
        <v>4938971.24</v>
      </c>
      <c r="L1039" s="4" t="s">
        <v>2752</v>
      </c>
      <c r="M1039" s="4" t="s">
        <v>2753</v>
      </c>
      <c r="N1039" s="4" t="s">
        <v>979</v>
      </c>
      <c r="O1039" s="4" t="s">
        <v>105</v>
      </c>
      <c r="P1039" s="4" t="s">
        <v>105</v>
      </c>
      <c r="Q1039" s="4" t="s">
        <v>100</v>
      </c>
      <c r="R1039" s="9">
        <f t="shared" si="16"/>
        <v>8.2675571300260507E-5</v>
      </c>
    </row>
    <row r="1040" spans="1:18" hidden="1" x14ac:dyDescent="0.2">
      <c r="A1040" s="4">
        <v>1198</v>
      </c>
      <c r="B1040" s="2">
        <v>4134782</v>
      </c>
      <c r="C1040" s="2">
        <v>0</v>
      </c>
      <c r="D1040" s="4" t="s">
        <v>2414</v>
      </c>
      <c r="E1040" s="2">
        <v>4134782</v>
      </c>
      <c r="F1040" s="2">
        <v>785608.58</v>
      </c>
      <c r="G1040" s="2">
        <v>103369.55</v>
      </c>
      <c r="H1040" s="4">
        <v>0</v>
      </c>
      <c r="I1040" s="4">
        <v>0</v>
      </c>
      <c r="J1040" s="4">
        <v>103369.55</v>
      </c>
      <c r="K1040" s="4">
        <v>4817021.03</v>
      </c>
      <c r="L1040" s="4" t="s">
        <v>2412</v>
      </c>
      <c r="M1040" s="4" t="s">
        <v>2413</v>
      </c>
      <c r="N1040" s="4" t="s">
        <v>1415</v>
      </c>
      <c r="O1040" s="4" t="s">
        <v>382</v>
      </c>
      <c r="P1040" s="4" t="s">
        <v>382</v>
      </c>
      <c r="Q1040" s="4" t="s">
        <v>100</v>
      </c>
      <c r="R1040" s="9">
        <f t="shared" si="16"/>
        <v>8.236454161290482E-5</v>
      </c>
    </row>
    <row r="1041" spans="1:18" hidden="1" x14ac:dyDescent="0.2">
      <c r="A1041" s="4">
        <v>1601</v>
      </c>
      <c r="B1041" s="2">
        <v>4120220</v>
      </c>
      <c r="C1041" s="2">
        <v>0</v>
      </c>
      <c r="D1041" s="4" t="s">
        <v>5621</v>
      </c>
      <c r="E1041" s="2">
        <v>4120220</v>
      </c>
      <c r="F1041" s="2">
        <v>0</v>
      </c>
      <c r="G1041" s="2">
        <v>103005.5</v>
      </c>
      <c r="H1041" s="4">
        <v>0</v>
      </c>
      <c r="I1041" s="4">
        <v>0</v>
      </c>
      <c r="J1041" s="4">
        <v>103005.5</v>
      </c>
      <c r="K1041" s="4">
        <v>4017214.5</v>
      </c>
      <c r="L1041" s="4" t="s">
        <v>5619</v>
      </c>
      <c r="M1041" s="4" t="s">
        <v>5620</v>
      </c>
      <c r="N1041" s="4" t="s">
        <v>1783</v>
      </c>
      <c r="O1041" s="4" t="s">
        <v>76</v>
      </c>
      <c r="P1041" s="4" t="s">
        <v>76</v>
      </c>
      <c r="Q1041" s="4" t="s">
        <v>1378</v>
      </c>
      <c r="R1041" s="9">
        <f t="shared" si="16"/>
        <v>8.2074467685194216E-5</v>
      </c>
    </row>
    <row r="1042" spans="1:18" hidden="1" x14ac:dyDescent="0.2">
      <c r="A1042" s="4">
        <v>1807</v>
      </c>
      <c r="B1042" s="2">
        <v>4101854</v>
      </c>
      <c r="C1042" s="2">
        <v>0</v>
      </c>
      <c r="D1042" s="4" t="s">
        <v>2625</v>
      </c>
      <c r="E1042" s="2">
        <v>4101854</v>
      </c>
      <c r="F1042" s="2">
        <v>779352.26</v>
      </c>
      <c r="G1042" s="2">
        <v>0</v>
      </c>
      <c r="H1042" s="4">
        <v>0</v>
      </c>
      <c r="I1042" s="4">
        <v>0</v>
      </c>
      <c r="J1042" s="4">
        <v>0</v>
      </c>
      <c r="K1042" s="4">
        <v>4881206.26</v>
      </c>
      <c r="L1042" s="4" t="s">
        <v>2623</v>
      </c>
      <c r="M1042" s="4" t="s">
        <v>2624</v>
      </c>
      <c r="N1042" s="4" t="s">
        <v>20</v>
      </c>
      <c r="O1042" s="4" t="s">
        <v>1043</v>
      </c>
      <c r="P1042" s="4" t="s">
        <v>1043</v>
      </c>
      <c r="Q1042" s="4" t="s">
        <v>100</v>
      </c>
      <c r="R1042" s="9">
        <f t="shared" si="16"/>
        <v>8.1708618368044579E-5</v>
      </c>
    </row>
    <row r="1043" spans="1:18" hidden="1" x14ac:dyDescent="0.2">
      <c r="A1043" s="4">
        <v>1687</v>
      </c>
      <c r="B1043" s="2">
        <v>4085938</v>
      </c>
      <c r="C1043" s="2">
        <v>0</v>
      </c>
      <c r="D1043" s="4" t="s">
        <v>3656</v>
      </c>
      <c r="E1043" s="2">
        <v>4085938</v>
      </c>
      <c r="F1043" s="2">
        <v>776328.22</v>
      </c>
      <c r="G1043" s="2">
        <v>0</v>
      </c>
      <c r="H1043" s="4">
        <v>0</v>
      </c>
      <c r="I1043" s="4">
        <v>0</v>
      </c>
      <c r="J1043" s="4">
        <v>0</v>
      </c>
      <c r="K1043" s="4">
        <v>4862266.22</v>
      </c>
      <c r="L1043" s="4" t="s">
        <v>3654</v>
      </c>
      <c r="M1043" s="4" t="s">
        <v>3655</v>
      </c>
      <c r="N1043" s="4" t="s">
        <v>20</v>
      </c>
      <c r="O1043" s="4" t="s">
        <v>316</v>
      </c>
      <c r="P1043" s="4" t="s">
        <v>316</v>
      </c>
      <c r="Q1043" s="4" t="s">
        <v>100</v>
      </c>
      <c r="R1043" s="9">
        <f t="shared" si="16"/>
        <v>8.1391572863756575E-5</v>
      </c>
    </row>
    <row r="1044" spans="1:18" hidden="1" x14ac:dyDescent="0.2">
      <c r="A1044" s="4">
        <v>730</v>
      </c>
      <c r="B1044" s="2">
        <v>4084700</v>
      </c>
      <c r="C1044" s="2">
        <v>0</v>
      </c>
      <c r="D1044" s="4" t="s">
        <v>5623</v>
      </c>
      <c r="E1044" s="2">
        <v>4084700</v>
      </c>
      <c r="F1044" s="2">
        <v>776093</v>
      </c>
      <c r="G1044" s="2">
        <v>0</v>
      </c>
      <c r="H1044" s="4">
        <v>0</v>
      </c>
      <c r="I1044" s="4">
        <v>0</v>
      </c>
      <c r="J1044" s="4">
        <v>0</v>
      </c>
      <c r="K1044" s="4">
        <v>4860793</v>
      </c>
      <c r="L1044" s="4" t="s">
        <v>5622</v>
      </c>
      <c r="M1044" s="4" t="s">
        <v>1930</v>
      </c>
      <c r="N1044" s="4" t="s">
        <v>826</v>
      </c>
      <c r="O1044" s="4" t="s">
        <v>89</v>
      </c>
      <c r="P1044" s="4" t="s">
        <v>89</v>
      </c>
      <c r="Q1044" s="4" t="s">
        <v>28</v>
      </c>
      <c r="R1044" s="9">
        <f t="shared" si="16"/>
        <v>8.1366911998318736E-5</v>
      </c>
    </row>
    <row r="1045" spans="1:18" hidden="1" x14ac:dyDescent="0.2">
      <c r="A1045" s="4">
        <v>1763</v>
      </c>
      <c r="B1045" s="2">
        <v>4071456</v>
      </c>
      <c r="C1045" s="2">
        <v>0</v>
      </c>
      <c r="D1045" s="4" t="s">
        <v>3684</v>
      </c>
      <c r="E1045" s="2">
        <v>4071456</v>
      </c>
      <c r="F1045" s="2">
        <v>773576.64</v>
      </c>
      <c r="G1045" s="2">
        <v>0</v>
      </c>
      <c r="H1045" s="4">
        <v>0</v>
      </c>
      <c r="I1045" s="4">
        <v>0</v>
      </c>
      <c r="J1045" s="4">
        <v>0</v>
      </c>
      <c r="K1045" s="4">
        <v>4845032.6399999997</v>
      </c>
      <c r="L1045" s="4" t="s">
        <v>3682</v>
      </c>
      <c r="M1045" s="4" t="s">
        <v>3683</v>
      </c>
      <c r="N1045" s="4" t="s">
        <v>20</v>
      </c>
      <c r="O1045" s="4" t="s">
        <v>631</v>
      </c>
      <c r="P1045" s="4" t="s">
        <v>631</v>
      </c>
      <c r="Q1045" s="4" t="s">
        <v>100</v>
      </c>
      <c r="R1045" s="9">
        <f t="shared" si="16"/>
        <v>8.1103092529935319E-5</v>
      </c>
    </row>
    <row r="1046" spans="1:18" hidden="1" x14ac:dyDescent="0.2">
      <c r="A1046" s="4">
        <v>1356</v>
      </c>
      <c r="B1046" s="2">
        <v>4030996</v>
      </c>
      <c r="C1046" s="2">
        <v>0</v>
      </c>
      <c r="D1046" s="4" t="s">
        <v>3130</v>
      </c>
      <c r="E1046" s="2">
        <v>4030996</v>
      </c>
      <c r="F1046" s="2">
        <v>765889.24</v>
      </c>
      <c r="G1046" s="2">
        <v>0</v>
      </c>
      <c r="H1046" s="4">
        <v>0</v>
      </c>
      <c r="I1046" s="4">
        <v>0</v>
      </c>
      <c r="J1046" s="4">
        <v>0</v>
      </c>
      <c r="K1046" s="4">
        <v>4796885.24</v>
      </c>
      <c r="L1046" s="4" t="s">
        <v>3128</v>
      </c>
      <c r="M1046" s="4" t="s">
        <v>3129</v>
      </c>
      <c r="N1046" s="4" t="s">
        <v>20</v>
      </c>
      <c r="O1046" s="4" t="s">
        <v>316</v>
      </c>
      <c r="P1046" s="4" t="s">
        <v>316</v>
      </c>
      <c r="Q1046" s="4" t="s">
        <v>100</v>
      </c>
      <c r="R1046" s="9">
        <f t="shared" si="16"/>
        <v>8.0297132420391906E-5</v>
      </c>
    </row>
    <row r="1047" spans="1:18" hidden="1" x14ac:dyDescent="0.2">
      <c r="A1047" s="4">
        <v>1336</v>
      </c>
      <c r="B1047" s="2">
        <v>4011283</v>
      </c>
      <c r="C1047" s="2">
        <v>31611.599999999999</v>
      </c>
      <c r="D1047" s="4" t="s">
        <v>3681</v>
      </c>
      <c r="E1047" s="2">
        <v>3979671.4</v>
      </c>
      <c r="F1047" s="2">
        <v>756137.57</v>
      </c>
      <c r="G1047" s="2">
        <v>0</v>
      </c>
      <c r="H1047" s="4">
        <v>0</v>
      </c>
      <c r="I1047" s="4">
        <v>0</v>
      </c>
      <c r="J1047" s="4">
        <v>0</v>
      </c>
      <c r="K1047" s="4">
        <v>4735808.97</v>
      </c>
      <c r="L1047" s="4" t="s">
        <v>3679</v>
      </c>
      <c r="M1047" s="4" t="s">
        <v>3680</v>
      </c>
      <c r="N1047" s="4" t="s">
        <v>20</v>
      </c>
      <c r="O1047" s="4" t="s">
        <v>540</v>
      </c>
      <c r="P1047" s="4" t="s">
        <v>540</v>
      </c>
      <c r="Q1047" s="4" t="s">
        <v>100</v>
      </c>
      <c r="R1047" s="9">
        <f t="shared" si="16"/>
        <v>7.9274750308719344E-5</v>
      </c>
    </row>
    <row r="1048" spans="1:18" hidden="1" x14ac:dyDescent="0.2">
      <c r="A1048" s="4">
        <v>216</v>
      </c>
      <c r="B1048" s="2">
        <v>3962083</v>
      </c>
      <c r="C1048" s="2">
        <v>0</v>
      </c>
      <c r="D1048" s="4" t="s">
        <v>4164</v>
      </c>
      <c r="E1048" s="2">
        <v>3962083</v>
      </c>
      <c r="F1048" s="2">
        <v>752795.77</v>
      </c>
      <c r="G1048" s="2">
        <v>0</v>
      </c>
      <c r="H1048" s="4">
        <v>0</v>
      </c>
      <c r="I1048" s="4">
        <v>0</v>
      </c>
      <c r="J1048" s="4">
        <v>0</v>
      </c>
      <c r="K1048" s="4">
        <v>4714878.7699999996</v>
      </c>
      <c r="L1048" s="4" t="s">
        <v>4162</v>
      </c>
      <c r="M1048" s="4" t="s">
        <v>4163</v>
      </c>
      <c r="N1048" s="4" t="s">
        <v>427</v>
      </c>
      <c r="O1048" s="4" t="s">
        <v>89</v>
      </c>
      <c r="P1048" s="4" t="s">
        <v>89</v>
      </c>
      <c r="Q1048" s="4" t="s">
        <v>100</v>
      </c>
      <c r="R1048" s="9">
        <f t="shared" si="16"/>
        <v>7.892439072417428E-5</v>
      </c>
    </row>
    <row r="1049" spans="1:18" hidden="1" x14ac:dyDescent="0.2">
      <c r="A1049" s="4">
        <v>1974</v>
      </c>
      <c r="B1049" s="2">
        <v>3945188</v>
      </c>
      <c r="C1049" s="2">
        <v>0</v>
      </c>
      <c r="D1049" s="4" t="s">
        <v>4004</v>
      </c>
      <c r="E1049" s="2">
        <v>3945188</v>
      </c>
      <c r="F1049" s="2">
        <v>749585.72</v>
      </c>
      <c r="G1049" s="2">
        <v>0</v>
      </c>
      <c r="H1049" s="4">
        <v>0</v>
      </c>
      <c r="I1049" s="4">
        <v>0</v>
      </c>
      <c r="J1049" s="4">
        <v>0</v>
      </c>
      <c r="K1049" s="4">
        <v>4694773.72</v>
      </c>
      <c r="L1049" s="4" t="s">
        <v>4002</v>
      </c>
      <c r="M1049" s="4" t="s">
        <v>4003</v>
      </c>
      <c r="N1049" s="4" t="s">
        <v>415</v>
      </c>
      <c r="O1049" s="4" t="s">
        <v>382</v>
      </c>
      <c r="P1049" s="4" t="s">
        <v>382</v>
      </c>
      <c r="Q1049" s="4" t="s">
        <v>100</v>
      </c>
      <c r="R1049" s="9">
        <f t="shared" si="16"/>
        <v>7.8587843614665238E-5</v>
      </c>
    </row>
    <row r="1050" spans="1:18" hidden="1" x14ac:dyDescent="0.2">
      <c r="A1050" s="4">
        <v>1507</v>
      </c>
      <c r="B1050" s="2">
        <v>3943722</v>
      </c>
      <c r="C1050" s="2">
        <v>0</v>
      </c>
      <c r="D1050" s="4" t="s">
        <v>5626</v>
      </c>
      <c r="E1050" s="2">
        <v>3943722</v>
      </c>
      <c r="F1050" s="2">
        <v>749307.18</v>
      </c>
      <c r="G1050" s="2">
        <v>0</v>
      </c>
      <c r="H1050" s="4">
        <v>0</v>
      </c>
      <c r="I1050" s="4">
        <v>0</v>
      </c>
      <c r="J1050" s="4">
        <v>0</v>
      </c>
      <c r="K1050" s="4">
        <v>4693029.18</v>
      </c>
      <c r="L1050" s="4" t="s">
        <v>5624</v>
      </c>
      <c r="M1050" s="4" t="s">
        <v>5625</v>
      </c>
      <c r="N1050" s="4" t="s">
        <v>20</v>
      </c>
      <c r="O1050" s="4" t="s">
        <v>692</v>
      </c>
      <c r="P1050" s="4" t="s">
        <v>692</v>
      </c>
      <c r="Q1050" s="4" t="s">
        <v>100</v>
      </c>
      <c r="R1050" s="9">
        <f t="shared" si="16"/>
        <v>7.8558641006642733E-5</v>
      </c>
    </row>
    <row r="1051" spans="1:18" hidden="1" x14ac:dyDescent="0.2">
      <c r="A1051" s="4">
        <v>1071</v>
      </c>
      <c r="B1051" s="2">
        <v>3934518</v>
      </c>
      <c r="C1051" s="2">
        <v>0</v>
      </c>
      <c r="D1051" s="4" t="s">
        <v>5629</v>
      </c>
      <c r="E1051" s="2">
        <v>3934518</v>
      </c>
      <c r="F1051" s="2">
        <v>747558.42</v>
      </c>
      <c r="G1051" s="2">
        <v>0</v>
      </c>
      <c r="H1051" s="4">
        <v>0</v>
      </c>
      <c r="I1051" s="4">
        <v>0</v>
      </c>
      <c r="J1051" s="4">
        <v>0</v>
      </c>
      <c r="K1051" s="4">
        <v>4682076.42</v>
      </c>
      <c r="L1051" s="4" t="s">
        <v>5627</v>
      </c>
      <c r="M1051" s="4" t="s">
        <v>5628</v>
      </c>
      <c r="N1051" s="4" t="s">
        <v>20</v>
      </c>
      <c r="O1051" s="4" t="s">
        <v>76</v>
      </c>
      <c r="P1051" s="4" t="s">
        <v>76</v>
      </c>
      <c r="Q1051" s="4" t="s">
        <v>28</v>
      </c>
      <c r="R1051" s="9">
        <f t="shared" si="16"/>
        <v>7.8375298029671953E-5</v>
      </c>
    </row>
    <row r="1052" spans="1:18" hidden="1" x14ac:dyDescent="0.2">
      <c r="A1052" s="4">
        <v>471</v>
      </c>
      <c r="B1052" s="2">
        <v>3923917</v>
      </c>
      <c r="C1052" s="2">
        <v>0</v>
      </c>
      <c r="D1052" s="4" t="s">
        <v>2066</v>
      </c>
      <c r="E1052" s="2">
        <v>3923917</v>
      </c>
      <c r="F1052" s="2">
        <v>745544.23</v>
      </c>
      <c r="G1052" s="2">
        <v>0</v>
      </c>
      <c r="H1052" s="4">
        <v>0</v>
      </c>
      <c r="I1052" s="4">
        <v>0</v>
      </c>
      <c r="J1052" s="4">
        <v>0</v>
      </c>
      <c r="K1052" s="4">
        <v>4669461.2300000004</v>
      </c>
      <c r="L1052" s="4" t="s">
        <v>2064</v>
      </c>
      <c r="M1052" s="4" t="s">
        <v>2065</v>
      </c>
      <c r="N1052" s="4" t="s">
        <v>272</v>
      </c>
      <c r="O1052" s="4" t="s">
        <v>89</v>
      </c>
      <c r="P1052" s="4" t="s">
        <v>89</v>
      </c>
      <c r="Q1052" s="4" t="s">
        <v>100</v>
      </c>
      <c r="R1052" s="9">
        <f t="shared" si="16"/>
        <v>7.8164126919408244E-5</v>
      </c>
    </row>
    <row r="1053" spans="1:18" hidden="1" x14ac:dyDescent="0.2">
      <c r="A1053" s="4">
        <v>580</v>
      </c>
      <c r="B1053" s="2">
        <v>3904477</v>
      </c>
      <c r="C1053" s="2">
        <v>0</v>
      </c>
      <c r="D1053" s="4" t="s">
        <v>2342</v>
      </c>
      <c r="E1053" s="2">
        <v>3904477</v>
      </c>
      <c r="F1053" s="2">
        <v>741850.63</v>
      </c>
      <c r="G1053" s="2">
        <v>82090.149999999994</v>
      </c>
      <c r="H1053" s="4">
        <v>0</v>
      </c>
      <c r="I1053" s="4">
        <v>0</v>
      </c>
      <c r="J1053" s="4">
        <v>82090.149999999994</v>
      </c>
      <c r="K1053" s="4">
        <v>4564237.4800000004</v>
      </c>
      <c r="L1053" s="4" t="s">
        <v>2340</v>
      </c>
      <c r="M1053" s="4" t="s">
        <v>2341</v>
      </c>
      <c r="N1053" s="4" t="s">
        <v>472</v>
      </c>
      <c r="O1053" s="4" t="s">
        <v>67</v>
      </c>
      <c r="P1053" s="4" t="s">
        <v>67</v>
      </c>
      <c r="Q1053" s="4" t="s">
        <v>100</v>
      </c>
      <c r="R1053" s="9">
        <f t="shared" si="16"/>
        <v>7.7776883604293963E-5</v>
      </c>
    </row>
    <row r="1054" spans="1:18" hidden="1" x14ac:dyDescent="0.2">
      <c r="A1054" s="4">
        <v>402</v>
      </c>
      <c r="B1054" s="2">
        <v>3901607</v>
      </c>
      <c r="C1054" s="2">
        <v>0</v>
      </c>
      <c r="D1054" s="4" t="s">
        <v>2240</v>
      </c>
      <c r="E1054" s="2">
        <v>3901607</v>
      </c>
      <c r="F1054" s="2">
        <v>741305.33</v>
      </c>
      <c r="G1054" s="2">
        <v>0</v>
      </c>
      <c r="H1054" s="4">
        <v>0</v>
      </c>
      <c r="I1054" s="4">
        <v>0</v>
      </c>
      <c r="J1054" s="4">
        <v>0</v>
      </c>
      <c r="K1054" s="4">
        <v>4642912.33</v>
      </c>
      <c r="L1054" s="4" t="s">
        <v>2238</v>
      </c>
      <c r="M1054" s="4" t="s">
        <v>2239</v>
      </c>
      <c r="N1054" s="4" t="s">
        <v>468</v>
      </c>
      <c r="O1054" s="4" t="s">
        <v>105</v>
      </c>
      <c r="P1054" s="4" t="s">
        <v>105</v>
      </c>
      <c r="Q1054" s="4" t="s">
        <v>100</v>
      </c>
      <c r="R1054" s="9">
        <f t="shared" si="16"/>
        <v>7.7719713423513197E-5</v>
      </c>
    </row>
    <row r="1055" spans="1:18" hidden="1" x14ac:dyDescent="0.2">
      <c r="A1055" s="4">
        <v>1646</v>
      </c>
      <c r="B1055" s="2">
        <v>3915346</v>
      </c>
      <c r="C1055" s="2">
        <v>20561.82</v>
      </c>
      <c r="D1055" s="4" t="s">
        <v>3367</v>
      </c>
      <c r="E1055" s="2">
        <v>3894784.18</v>
      </c>
      <c r="F1055" s="2">
        <v>740009</v>
      </c>
      <c r="G1055" s="2">
        <v>0</v>
      </c>
      <c r="H1055" s="4">
        <v>0</v>
      </c>
      <c r="I1055" s="4">
        <v>0</v>
      </c>
      <c r="J1055" s="4">
        <v>0</v>
      </c>
      <c r="K1055" s="4">
        <v>4634793.18</v>
      </c>
      <c r="L1055" s="4" t="s">
        <v>3365</v>
      </c>
      <c r="M1055" s="4" t="s">
        <v>3366</v>
      </c>
      <c r="N1055" s="4" t="s">
        <v>20</v>
      </c>
      <c r="O1055" s="4" t="s">
        <v>1562</v>
      </c>
      <c r="P1055" s="4" t="s">
        <v>1562</v>
      </c>
      <c r="Q1055" s="4" t="s">
        <v>100</v>
      </c>
      <c r="R1055" s="9">
        <f t="shared" si="16"/>
        <v>7.758380337026073E-5</v>
      </c>
    </row>
    <row r="1056" spans="1:18" hidden="1" x14ac:dyDescent="0.2">
      <c r="A1056" s="4">
        <v>606</v>
      </c>
      <c r="B1056" s="2">
        <v>3882967</v>
      </c>
      <c r="C1056" s="2">
        <v>0</v>
      </c>
      <c r="D1056" s="4" t="s">
        <v>3145</v>
      </c>
      <c r="E1056" s="2">
        <v>3882967</v>
      </c>
      <c r="F1056" s="2">
        <v>737763.73</v>
      </c>
      <c r="G1056" s="2">
        <v>0</v>
      </c>
      <c r="H1056" s="4">
        <v>0</v>
      </c>
      <c r="I1056" s="4">
        <v>0</v>
      </c>
      <c r="J1056" s="4">
        <v>0</v>
      </c>
      <c r="K1056" s="4">
        <v>4620730.7300000004</v>
      </c>
      <c r="L1056" s="4" t="s">
        <v>3143</v>
      </c>
      <c r="M1056" s="4" t="s">
        <v>3144</v>
      </c>
      <c r="N1056" s="4" t="s">
        <v>20</v>
      </c>
      <c r="O1056" s="4" t="s">
        <v>631</v>
      </c>
      <c r="P1056" s="4" t="s">
        <v>631</v>
      </c>
      <c r="Q1056" s="4" t="s">
        <v>100</v>
      </c>
      <c r="R1056" s="9">
        <f t="shared" si="16"/>
        <v>7.7348406047292515E-5</v>
      </c>
    </row>
    <row r="1057" spans="1:18" hidden="1" x14ac:dyDescent="0.2">
      <c r="A1057" s="4">
        <v>1750</v>
      </c>
      <c r="B1057" s="2">
        <v>3879923</v>
      </c>
      <c r="C1057" s="2">
        <v>0</v>
      </c>
      <c r="D1057" s="4" t="s">
        <v>3537</v>
      </c>
      <c r="E1057" s="2">
        <v>3879923</v>
      </c>
      <c r="F1057" s="2">
        <v>737185.37</v>
      </c>
      <c r="G1057" s="2">
        <v>0</v>
      </c>
      <c r="H1057" s="4">
        <v>0</v>
      </c>
      <c r="I1057" s="4">
        <v>0</v>
      </c>
      <c r="J1057" s="4">
        <v>0</v>
      </c>
      <c r="K1057" s="4">
        <v>4617108.37</v>
      </c>
      <c r="L1057" s="4" t="s">
        <v>3535</v>
      </c>
      <c r="M1057" s="4" t="s">
        <v>3536</v>
      </c>
      <c r="N1057" s="4" t="s">
        <v>648</v>
      </c>
      <c r="O1057" s="4" t="s">
        <v>340</v>
      </c>
      <c r="P1057" s="4" t="s">
        <v>340</v>
      </c>
      <c r="Q1057" s="4" t="s">
        <v>100</v>
      </c>
      <c r="R1057" s="9">
        <f t="shared" si="16"/>
        <v>7.7287769799802387E-5</v>
      </c>
    </row>
    <row r="1058" spans="1:18" hidden="1" x14ac:dyDescent="0.2">
      <c r="A1058" s="4">
        <v>182</v>
      </c>
      <c r="B1058" s="2">
        <v>3879487</v>
      </c>
      <c r="C1058" s="2">
        <v>0</v>
      </c>
      <c r="D1058" s="4" t="s">
        <v>5632</v>
      </c>
      <c r="E1058" s="2">
        <v>3879487</v>
      </c>
      <c r="F1058" s="2">
        <v>737102.53</v>
      </c>
      <c r="G1058" s="2">
        <v>96987.18</v>
      </c>
      <c r="H1058" s="4">
        <v>0</v>
      </c>
      <c r="I1058" s="4">
        <v>0</v>
      </c>
      <c r="J1058" s="4">
        <v>96987.18</v>
      </c>
      <c r="K1058" s="4">
        <v>4519602.3499999996</v>
      </c>
      <c r="L1058" s="4" t="s">
        <v>5630</v>
      </c>
      <c r="M1058" s="4" t="s">
        <v>5631</v>
      </c>
      <c r="N1058" s="4" t="s">
        <v>1566</v>
      </c>
      <c r="O1058" s="4" t="s">
        <v>59</v>
      </c>
      <c r="P1058" s="4" t="s">
        <v>59</v>
      </c>
      <c r="Q1058" s="4" t="s">
        <v>100</v>
      </c>
      <c r="R1058" s="9">
        <f t="shared" si="16"/>
        <v>7.727908471310539E-5</v>
      </c>
    </row>
    <row r="1059" spans="1:18" hidden="1" x14ac:dyDescent="0.2">
      <c r="A1059" s="4">
        <v>1802</v>
      </c>
      <c r="B1059" s="2">
        <v>3866435</v>
      </c>
      <c r="C1059" s="2">
        <v>0</v>
      </c>
      <c r="D1059" s="4" t="s">
        <v>4599</v>
      </c>
      <c r="E1059" s="2">
        <v>3866435</v>
      </c>
      <c r="F1059" s="2">
        <v>734622.65</v>
      </c>
      <c r="G1059" s="2">
        <v>0</v>
      </c>
      <c r="H1059" s="4">
        <v>0</v>
      </c>
      <c r="I1059" s="4">
        <v>0</v>
      </c>
      <c r="J1059" s="4">
        <v>0</v>
      </c>
      <c r="K1059" s="4">
        <v>4601057.6500000004</v>
      </c>
      <c r="L1059" s="4" t="s">
        <v>4597</v>
      </c>
      <c r="M1059" s="4" t="s">
        <v>4598</v>
      </c>
      <c r="N1059" s="4" t="s">
        <v>20</v>
      </c>
      <c r="O1059" s="4" t="s">
        <v>1517</v>
      </c>
      <c r="P1059" s="4" t="s">
        <v>603</v>
      </c>
      <c r="Q1059" s="4" t="s">
        <v>100</v>
      </c>
      <c r="R1059" s="9">
        <f t="shared" si="16"/>
        <v>7.7019089870056427E-5</v>
      </c>
    </row>
    <row r="1060" spans="1:18" hidden="1" x14ac:dyDescent="0.2">
      <c r="A1060" s="4">
        <v>370</v>
      </c>
      <c r="B1060" s="2">
        <v>3852777</v>
      </c>
      <c r="C1060" s="2">
        <v>0</v>
      </c>
      <c r="D1060" s="4" t="s">
        <v>5635</v>
      </c>
      <c r="E1060" s="2">
        <v>3852777</v>
      </c>
      <c r="F1060" s="2">
        <v>712077.63</v>
      </c>
      <c r="G1060" s="2">
        <v>43849.120000000003</v>
      </c>
      <c r="H1060" s="4">
        <v>0</v>
      </c>
      <c r="I1060" s="4">
        <v>0</v>
      </c>
      <c r="J1060" s="4">
        <v>43849.120000000003</v>
      </c>
      <c r="K1060" s="4">
        <v>4521005.51</v>
      </c>
      <c r="L1060" s="4" t="s">
        <v>5633</v>
      </c>
      <c r="M1060" s="4" t="s">
        <v>5634</v>
      </c>
      <c r="N1060" s="4" t="s">
        <v>20</v>
      </c>
      <c r="O1060" s="4" t="s">
        <v>76</v>
      </c>
      <c r="P1060" s="4" t="s">
        <v>76</v>
      </c>
      <c r="Q1060" s="4" t="s">
        <v>1378</v>
      </c>
      <c r="R1060" s="9">
        <f t="shared" si="16"/>
        <v>7.6747023553295587E-5</v>
      </c>
    </row>
    <row r="1061" spans="1:18" hidden="1" x14ac:dyDescent="0.2">
      <c r="A1061" s="4">
        <v>1309</v>
      </c>
      <c r="B1061" s="2">
        <v>3846874</v>
      </c>
      <c r="C1061" s="2">
        <v>0</v>
      </c>
      <c r="D1061" s="4" t="s">
        <v>5638</v>
      </c>
      <c r="E1061" s="2">
        <v>3846874</v>
      </c>
      <c r="F1061" s="2">
        <v>730906.06</v>
      </c>
      <c r="G1061" s="2">
        <v>80516</v>
      </c>
      <c r="H1061" s="4">
        <v>0</v>
      </c>
      <c r="I1061" s="4">
        <v>0</v>
      </c>
      <c r="J1061" s="4">
        <v>80516</v>
      </c>
      <c r="K1061" s="4">
        <v>4497264.0599999996</v>
      </c>
      <c r="L1061" s="4" t="s">
        <v>5636</v>
      </c>
      <c r="M1061" s="4" t="s">
        <v>5637</v>
      </c>
      <c r="N1061" s="4"/>
      <c r="O1061" s="4" t="s">
        <v>386</v>
      </c>
      <c r="P1061" s="4" t="s">
        <v>386</v>
      </c>
      <c r="Q1061" s="4" t="s">
        <v>144</v>
      </c>
      <c r="R1061" s="9">
        <f t="shared" si="16"/>
        <v>7.6629436244184495E-5</v>
      </c>
    </row>
    <row r="1062" spans="1:18" hidden="1" x14ac:dyDescent="0.2">
      <c r="A1062" s="4">
        <v>1948</v>
      </c>
      <c r="B1062" s="2">
        <v>3841040</v>
      </c>
      <c r="C1062" s="2">
        <v>0</v>
      </c>
      <c r="D1062" s="4" t="s">
        <v>3647</v>
      </c>
      <c r="E1062" s="2">
        <v>3841040</v>
      </c>
      <c r="F1062" s="2">
        <v>729797.6</v>
      </c>
      <c r="G1062" s="2">
        <v>96026</v>
      </c>
      <c r="H1062" s="4">
        <v>0</v>
      </c>
      <c r="I1062" s="4">
        <v>0</v>
      </c>
      <c r="J1062" s="4">
        <v>96026</v>
      </c>
      <c r="K1062" s="4">
        <v>4474811.5999999996</v>
      </c>
      <c r="L1062" s="4" t="s">
        <v>3645</v>
      </c>
      <c r="M1062" s="4" t="s">
        <v>3646</v>
      </c>
      <c r="N1062" s="4" t="s">
        <v>464</v>
      </c>
      <c r="O1062" s="4" t="s">
        <v>105</v>
      </c>
      <c r="P1062" s="4" t="s">
        <v>105</v>
      </c>
      <c r="Q1062" s="4" t="s">
        <v>100</v>
      </c>
      <c r="R1062" s="9">
        <f t="shared" si="16"/>
        <v>7.6513223409802977E-5</v>
      </c>
    </row>
    <row r="1063" spans="1:18" hidden="1" x14ac:dyDescent="0.2">
      <c r="A1063" s="4">
        <v>1302</v>
      </c>
      <c r="B1063" s="2">
        <v>3836962</v>
      </c>
      <c r="C1063" s="2">
        <v>0</v>
      </c>
      <c r="D1063" s="4" t="s">
        <v>4937</v>
      </c>
      <c r="E1063" s="2">
        <v>3836962</v>
      </c>
      <c r="F1063" s="2">
        <v>729022.78</v>
      </c>
      <c r="G1063" s="2">
        <v>0</v>
      </c>
      <c r="H1063" s="4">
        <v>0</v>
      </c>
      <c r="I1063" s="4">
        <v>0</v>
      </c>
      <c r="J1063" s="4">
        <v>0</v>
      </c>
      <c r="K1063" s="4">
        <v>4565984.78</v>
      </c>
      <c r="L1063" s="4" t="s">
        <v>4935</v>
      </c>
      <c r="M1063" s="4" t="s">
        <v>4936</v>
      </c>
      <c r="N1063" s="4" t="s">
        <v>20</v>
      </c>
      <c r="O1063" s="4" t="s">
        <v>1043</v>
      </c>
      <c r="P1063" s="4" t="s">
        <v>1043</v>
      </c>
      <c r="Q1063" s="4" t="s">
        <v>100</v>
      </c>
      <c r="R1063" s="9">
        <f t="shared" si="16"/>
        <v>7.6431989961292887E-5</v>
      </c>
    </row>
    <row r="1064" spans="1:18" x14ac:dyDescent="0.2">
      <c r="A1064" s="4">
        <v>806</v>
      </c>
      <c r="B1064" s="2">
        <v>3836270</v>
      </c>
      <c r="C1064" s="2">
        <v>0</v>
      </c>
      <c r="D1064" s="4" t="s">
        <v>5640</v>
      </c>
      <c r="E1064" s="2">
        <v>3836270</v>
      </c>
      <c r="F1064" s="2">
        <v>728891.3</v>
      </c>
      <c r="G1064" s="2">
        <v>79132.75</v>
      </c>
      <c r="H1064" s="4">
        <v>109333.7</v>
      </c>
      <c r="I1064" s="4">
        <v>0</v>
      </c>
      <c r="J1064" s="4">
        <v>188466.45</v>
      </c>
      <c r="K1064" s="4">
        <v>4376694.8499999996</v>
      </c>
      <c r="L1064" s="4" t="s">
        <v>5639</v>
      </c>
      <c r="M1064" s="4" t="s">
        <v>81</v>
      </c>
      <c r="N1064" s="4" t="s">
        <v>245</v>
      </c>
      <c r="O1064" s="4" t="s">
        <v>237</v>
      </c>
      <c r="P1064" s="4" t="s">
        <v>237</v>
      </c>
      <c r="Q1064" s="4" t="s">
        <v>28</v>
      </c>
      <c r="R1064" s="9">
        <f t="shared" si="16"/>
        <v>7.6418205374149937E-5</v>
      </c>
    </row>
    <row r="1065" spans="1:18" hidden="1" x14ac:dyDescent="0.2">
      <c r="A1065" s="4">
        <v>379</v>
      </c>
      <c r="B1065" s="2">
        <v>3831228</v>
      </c>
      <c r="C1065" s="2">
        <v>0</v>
      </c>
      <c r="D1065" s="4" t="s">
        <v>5643</v>
      </c>
      <c r="E1065" s="2">
        <v>3831228</v>
      </c>
      <c r="F1065" s="2">
        <v>727933.32</v>
      </c>
      <c r="G1065" s="2">
        <v>95780.7</v>
      </c>
      <c r="H1065" s="4">
        <v>0</v>
      </c>
      <c r="I1065" s="4">
        <v>0</v>
      </c>
      <c r="J1065" s="4">
        <v>95780.7</v>
      </c>
      <c r="K1065" s="4">
        <v>4463380.62</v>
      </c>
      <c r="L1065" s="4" t="s">
        <v>5641</v>
      </c>
      <c r="M1065" s="4" t="s">
        <v>5642</v>
      </c>
      <c r="N1065" s="4" t="s">
        <v>5644</v>
      </c>
      <c r="O1065" s="4" t="s">
        <v>237</v>
      </c>
      <c r="P1065" s="4" t="s">
        <v>237</v>
      </c>
      <c r="Q1065" s="4" t="s">
        <v>100</v>
      </c>
      <c r="R1065" s="9">
        <f t="shared" si="16"/>
        <v>7.6317769119273066E-5</v>
      </c>
    </row>
    <row r="1066" spans="1:18" hidden="1" x14ac:dyDescent="0.2">
      <c r="A1066" s="4">
        <v>1180</v>
      </c>
      <c r="B1066" s="2">
        <v>3828332</v>
      </c>
      <c r="C1066" s="2">
        <v>0</v>
      </c>
      <c r="D1066" s="4" t="s">
        <v>3072</v>
      </c>
      <c r="E1066" s="2">
        <v>3828332</v>
      </c>
      <c r="F1066" s="2">
        <v>727383.08</v>
      </c>
      <c r="G1066" s="2">
        <v>82553.149999999994</v>
      </c>
      <c r="H1066" s="4">
        <v>0</v>
      </c>
      <c r="I1066" s="4">
        <v>0</v>
      </c>
      <c r="J1066" s="4">
        <v>82553.149999999994</v>
      </c>
      <c r="K1066" s="4">
        <v>4473161.93</v>
      </c>
      <c r="L1066" s="4" t="s">
        <v>3070</v>
      </c>
      <c r="M1066" s="4" t="s">
        <v>3071</v>
      </c>
      <c r="N1066" s="4" t="s">
        <v>20</v>
      </c>
      <c r="O1066" s="4" t="s">
        <v>1356</v>
      </c>
      <c r="P1066" s="4" t="s">
        <v>1356</v>
      </c>
      <c r="Q1066" s="4" t="s">
        <v>100</v>
      </c>
      <c r="R1066" s="9">
        <f t="shared" si="16"/>
        <v>7.6260081020478268E-5</v>
      </c>
    </row>
    <row r="1067" spans="1:18" hidden="1" x14ac:dyDescent="0.2">
      <c r="A1067" s="4">
        <v>1385</v>
      </c>
      <c r="B1067" s="2">
        <v>3825636</v>
      </c>
      <c r="C1067" s="2">
        <v>0</v>
      </c>
      <c r="D1067" s="4" t="s">
        <v>3393</v>
      </c>
      <c r="E1067" s="2">
        <v>3825636</v>
      </c>
      <c r="F1067" s="2">
        <v>726870.84</v>
      </c>
      <c r="G1067" s="2">
        <v>34770.519999999997</v>
      </c>
      <c r="H1067" s="4">
        <v>0</v>
      </c>
      <c r="I1067" s="4">
        <v>0</v>
      </c>
      <c r="J1067" s="4">
        <v>34770.519999999997</v>
      </c>
      <c r="K1067" s="4">
        <v>4517736.32</v>
      </c>
      <c r="L1067" s="4" t="s">
        <v>3391</v>
      </c>
      <c r="M1067" s="4" t="s">
        <v>3392</v>
      </c>
      <c r="N1067" s="4" t="s">
        <v>20</v>
      </c>
      <c r="O1067" s="4" t="s">
        <v>372</v>
      </c>
      <c r="P1067" s="4" t="s">
        <v>372</v>
      </c>
      <c r="Q1067" s="4" t="s">
        <v>100</v>
      </c>
      <c r="R1067" s="9">
        <f t="shared" si="16"/>
        <v>7.6206376906406864E-5</v>
      </c>
    </row>
    <row r="1068" spans="1:18" hidden="1" x14ac:dyDescent="0.2">
      <c r="A1068" s="4">
        <v>1449</v>
      </c>
      <c r="B1068" s="2">
        <v>3811544</v>
      </c>
      <c r="C1068" s="2">
        <v>0</v>
      </c>
      <c r="D1068" s="4" t="s">
        <v>5647</v>
      </c>
      <c r="E1068" s="2">
        <v>3811544</v>
      </c>
      <c r="F1068" s="2">
        <v>724193.36</v>
      </c>
      <c r="G1068" s="2">
        <v>0</v>
      </c>
      <c r="H1068" s="4">
        <v>0</v>
      </c>
      <c r="I1068" s="4">
        <v>0</v>
      </c>
      <c r="J1068" s="4">
        <v>0</v>
      </c>
      <c r="K1068" s="4">
        <v>4535737.3600000003</v>
      </c>
      <c r="L1068" s="4" t="s">
        <v>5645</v>
      </c>
      <c r="M1068" s="4" t="s">
        <v>5646</v>
      </c>
      <c r="N1068" s="4" t="s">
        <v>117</v>
      </c>
      <c r="O1068" s="4" t="s">
        <v>93</v>
      </c>
      <c r="P1068" s="4" t="s">
        <v>93</v>
      </c>
      <c r="Q1068" s="4" t="s">
        <v>100</v>
      </c>
      <c r="R1068" s="9">
        <f t="shared" si="16"/>
        <v>7.5925665342796241E-5</v>
      </c>
    </row>
    <row r="1069" spans="1:18" hidden="1" x14ac:dyDescent="0.2">
      <c r="A1069" s="4">
        <v>697</v>
      </c>
      <c r="B1069" s="2">
        <v>3809224</v>
      </c>
      <c r="C1069" s="2">
        <v>0</v>
      </c>
      <c r="D1069" s="4" t="s">
        <v>3542</v>
      </c>
      <c r="E1069" s="2">
        <v>3809224</v>
      </c>
      <c r="F1069" s="2">
        <v>723752.56</v>
      </c>
      <c r="G1069" s="2">
        <v>41391.949999999997</v>
      </c>
      <c r="H1069" s="4">
        <v>0</v>
      </c>
      <c r="I1069" s="4">
        <v>0</v>
      </c>
      <c r="J1069" s="4">
        <v>41391.949999999997</v>
      </c>
      <c r="K1069" s="4">
        <v>4491584.6100000003</v>
      </c>
      <c r="L1069" s="4" t="s">
        <v>3541</v>
      </c>
      <c r="M1069" s="4" t="s">
        <v>304</v>
      </c>
      <c r="N1069" s="4" t="s">
        <v>565</v>
      </c>
      <c r="O1069" s="4" t="s">
        <v>42</v>
      </c>
      <c r="P1069" s="4" t="s">
        <v>42</v>
      </c>
      <c r="Q1069" s="4" t="s">
        <v>28</v>
      </c>
      <c r="R1069" s="9">
        <f t="shared" si="16"/>
        <v>7.5879451120004819E-5</v>
      </c>
    </row>
    <row r="1070" spans="1:18" hidden="1" x14ac:dyDescent="0.2">
      <c r="A1070" s="4">
        <v>1707</v>
      </c>
      <c r="B1070" s="2">
        <v>3788559</v>
      </c>
      <c r="C1070" s="2">
        <v>8542.35</v>
      </c>
      <c r="D1070" s="4" t="s">
        <v>3846</v>
      </c>
      <c r="E1070" s="2">
        <v>3780016.65</v>
      </c>
      <c r="F1070" s="2">
        <v>718203.16</v>
      </c>
      <c r="G1070" s="2">
        <v>0</v>
      </c>
      <c r="H1070" s="4">
        <v>0</v>
      </c>
      <c r="I1070" s="4">
        <v>0</v>
      </c>
      <c r="J1070" s="4">
        <v>0</v>
      </c>
      <c r="K1070" s="4">
        <v>4498219.8099999996</v>
      </c>
      <c r="L1070" s="4" t="s">
        <v>3844</v>
      </c>
      <c r="M1070" s="4" t="s">
        <v>3845</v>
      </c>
      <c r="N1070" s="4" t="s">
        <v>332</v>
      </c>
      <c r="O1070" s="4" t="s">
        <v>1127</v>
      </c>
      <c r="P1070" s="4" t="s">
        <v>1127</v>
      </c>
      <c r="Q1070" s="4" t="s">
        <v>100</v>
      </c>
      <c r="R1070" s="9">
        <f t="shared" si="16"/>
        <v>7.5297642938950134E-5</v>
      </c>
    </row>
    <row r="1071" spans="1:18" hidden="1" x14ac:dyDescent="0.2">
      <c r="A1071" s="4">
        <v>1589</v>
      </c>
      <c r="B1071" s="2">
        <v>3786444</v>
      </c>
      <c r="C1071" s="2">
        <v>25057.08</v>
      </c>
      <c r="D1071" s="4" t="s">
        <v>2460</v>
      </c>
      <c r="E1071" s="2">
        <v>3761386.92</v>
      </c>
      <c r="F1071" s="2">
        <v>714663.51</v>
      </c>
      <c r="G1071" s="2">
        <v>0</v>
      </c>
      <c r="H1071" s="4">
        <v>0</v>
      </c>
      <c r="I1071" s="4">
        <v>0</v>
      </c>
      <c r="J1071" s="4">
        <v>0</v>
      </c>
      <c r="K1071" s="4">
        <v>4476050.43</v>
      </c>
      <c r="L1071" s="4" t="s">
        <v>2459</v>
      </c>
      <c r="M1071" s="4" t="s">
        <v>2459</v>
      </c>
      <c r="N1071" s="4" t="s">
        <v>20</v>
      </c>
      <c r="O1071" s="4" t="s">
        <v>316</v>
      </c>
      <c r="P1071" s="4" t="s">
        <v>316</v>
      </c>
      <c r="Q1071" s="4" t="s">
        <v>100</v>
      </c>
      <c r="R1071" s="9">
        <f t="shared" si="16"/>
        <v>7.4926540140344988E-5</v>
      </c>
    </row>
    <row r="1072" spans="1:18" hidden="1" x14ac:dyDescent="0.2">
      <c r="A1072" s="4">
        <v>713</v>
      </c>
      <c r="B1072" s="2">
        <v>3757486</v>
      </c>
      <c r="C1072" s="2">
        <v>0</v>
      </c>
      <c r="D1072" s="4" t="s">
        <v>4485</v>
      </c>
      <c r="E1072" s="2">
        <v>3757486</v>
      </c>
      <c r="F1072" s="2">
        <v>713922.34</v>
      </c>
      <c r="G1072" s="2">
        <v>36984.800000000003</v>
      </c>
      <c r="H1072" s="4">
        <v>0</v>
      </c>
      <c r="I1072" s="4">
        <v>0</v>
      </c>
      <c r="J1072" s="4">
        <v>36984.800000000003</v>
      </c>
      <c r="K1072" s="4">
        <v>4434423.54</v>
      </c>
      <c r="L1072" s="4" t="s">
        <v>4483</v>
      </c>
      <c r="M1072" s="4" t="s">
        <v>4484</v>
      </c>
      <c r="N1072" s="4" t="s">
        <v>20</v>
      </c>
      <c r="O1072" s="4" t="s">
        <v>386</v>
      </c>
      <c r="P1072" s="4" t="s">
        <v>71</v>
      </c>
      <c r="Q1072" s="4" t="s">
        <v>100</v>
      </c>
      <c r="R1072" s="9">
        <f t="shared" si="16"/>
        <v>7.484883411190899E-5</v>
      </c>
    </row>
    <row r="1073" spans="1:18" hidden="1" x14ac:dyDescent="0.2">
      <c r="A1073" s="4">
        <v>488</v>
      </c>
      <c r="B1073" s="2">
        <v>3750744</v>
      </c>
      <c r="C1073" s="2">
        <v>0</v>
      </c>
      <c r="D1073" s="4" t="s">
        <v>3281</v>
      </c>
      <c r="E1073" s="2">
        <v>3750744</v>
      </c>
      <c r="F1073" s="2">
        <v>712641.36</v>
      </c>
      <c r="G1073" s="2">
        <v>0</v>
      </c>
      <c r="H1073" s="4">
        <v>0</v>
      </c>
      <c r="I1073" s="4">
        <v>0</v>
      </c>
      <c r="J1073" s="4">
        <v>0</v>
      </c>
      <c r="K1073" s="4">
        <v>4463385.3600000003</v>
      </c>
      <c r="L1073" s="4" t="s">
        <v>3279</v>
      </c>
      <c r="M1073" s="4" t="s">
        <v>3280</v>
      </c>
      <c r="N1073" s="4" t="s">
        <v>20</v>
      </c>
      <c r="O1073" s="4" t="s">
        <v>1517</v>
      </c>
      <c r="P1073" s="4" t="s">
        <v>1517</v>
      </c>
      <c r="Q1073" s="4" t="s">
        <v>100</v>
      </c>
      <c r="R1073" s="9">
        <f t="shared" si="16"/>
        <v>7.4714533986883252E-5</v>
      </c>
    </row>
    <row r="1074" spans="1:18" hidden="1" x14ac:dyDescent="0.2">
      <c r="A1074" s="4">
        <v>1182</v>
      </c>
      <c r="B1074" s="2">
        <v>3743249</v>
      </c>
      <c r="C1074" s="2">
        <v>0</v>
      </c>
      <c r="D1074" s="4" t="s">
        <v>3522</v>
      </c>
      <c r="E1074" s="2">
        <v>3743249</v>
      </c>
      <c r="F1074" s="2">
        <v>711217.31</v>
      </c>
      <c r="G1074" s="2">
        <v>42185.42</v>
      </c>
      <c r="H1074" s="4">
        <v>0</v>
      </c>
      <c r="I1074" s="4">
        <v>0</v>
      </c>
      <c r="J1074" s="4">
        <v>42185.42</v>
      </c>
      <c r="K1074" s="4">
        <v>4412280.8899999997</v>
      </c>
      <c r="L1074" s="4" t="s">
        <v>3520</v>
      </c>
      <c r="M1074" s="4" t="s">
        <v>3521</v>
      </c>
      <c r="N1074" s="4" t="s">
        <v>272</v>
      </c>
      <c r="O1074" s="4" t="s">
        <v>89</v>
      </c>
      <c r="P1074" s="4" t="s">
        <v>89</v>
      </c>
      <c r="Q1074" s="4" t="s">
        <v>100</v>
      </c>
      <c r="R1074" s="9">
        <f t="shared" si="16"/>
        <v>7.4565234159373913E-5</v>
      </c>
    </row>
    <row r="1075" spans="1:18" hidden="1" x14ac:dyDescent="0.2">
      <c r="A1075" s="4">
        <v>884</v>
      </c>
      <c r="B1075" s="2">
        <v>3719235</v>
      </c>
      <c r="C1075" s="2">
        <v>0</v>
      </c>
      <c r="D1075" s="4" t="s">
        <v>2777</v>
      </c>
      <c r="E1075" s="2">
        <v>3719235</v>
      </c>
      <c r="F1075" s="2">
        <v>706654.65</v>
      </c>
      <c r="G1075" s="2">
        <v>0</v>
      </c>
      <c r="H1075" s="4">
        <v>0</v>
      </c>
      <c r="I1075" s="4">
        <v>0</v>
      </c>
      <c r="J1075" s="4">
        <v>0</v>
      </c>
      <c r="K1075" s="4">
        <v>4425889.6500000004</v>
      </c>
      <c r="L1075" s="4" t="s">
        <v>2775</v>
      </c>
      <c r="M1075" s="4" t="s">
        <v>2776</v>
      </c>
      <c r="N1075" s="4" t="s">
        <v>20</v>
      </c>
      <c r="O1075" s="4" t="s">
        <v>257</v>
      </c>
      <c r="P1075" s="4" t="s">
        <v>257</v>
      </c>
      <c r="Q1075" s="4" t="s">
        <v>100</v>
      </c>
      <c r="R1075" s="9">
        <f t="shared" si="16"/>
        <v>7.4086877113635515E-5</v>
      </c>
    </row>
    <row r="1076" spans="1:18" hidden="1" x14ac:dyDescent="0.2">
      <c r="A1076" s="4">
        <v>855</v>
      </c>
      <c r="B1076" s="2">
        <v>3716714</v>
      </c>
      <c r="C1076" s="2">
        <v>0</v>
      </c>
      <c r="D1076" s="4" t="s">
        <v>4011</v>
      </c>
      <c r="E1076" s="2">
        <v>3716714</v>
      </c>
      <c r="F1076" s="2">
        <v>706175.66</v>
      </c>
      <c r="G1076" s="2">
        <v>0</v>
      </c>
      <c r="H1076" s="4">
        <v>0</v>
      </c>
      <c r="I1076" s="4">
        <v>0</v>
      </c>
      <c r="J1076" s="4">
        <v>0</v>
      </c>
      <c r="K1076" s="4">
        <v>4422889.66</v>
      </c>
      <c r="L1076" s="4" t="s">
        <v>4009</v>
      </c>
      <c r="M1076" s="4" t="s">
        <v>4010</v>
      </c>
      <c r="N1076" s="4" t="s">
        <v>20</v>
      </c>
      <c r="O1076" s="4" t="s">
        <v>372</v>
      </c>
      <c r="P1076" s="4" t="s">
        <v>372</v>
      </c>
      <c r="Q1076" s="4" t="s">
        <v>100</v>
      </c>
      <c r="R1076" s="9">
        <f t="shared" si="16"/>
        <v>7.403665898619708E-5</v>
      </c>
    </row>
    <row r="1077" spans="1:18" hidden="1" x14ac:dyDescent="0.2">
      <c r="A1077" s="4">
        <v>1955</v>
      </c>
      <c r="B1077" s="2">
        <v>3700586</v>
      </c>
      <c r="C1077" s="2">
        <v>0</v>
      </c>
      <c r="D1077" s="4" t="s">
        <v>2841</v>
      </c>
      <c r="E1077" s="2">
        <v>3700586</v>
      </c>
      <c r="F1077" s="2">
        <v>703111.34</v>
      </c>
      <c r="G1077" s="2">
        <v>0</v>
      </c>
      <c r="H1077" s="4">
        <v>0</v>
      </c>
      <c r="I1077" s="4">
        <v>0</v>
      </c>
      <c r="J1077" s="4">
        <v>0</v>
      </c>
      <c r="K1077" s="4">
        <v>4403697.34</v>
      </c>
      <c r="L1077" s="4" t="s">
        <v>2839</v>
      </c>
      <c r="M1077" s="4" t="s">
        <v>2840</v>
      </c>
      <c r="N1077" s="4" t="s">
        <v>746</v>
      </c>
      <c r="O1077" s="4" t="s">
        <v>747</v>
      </c>
      <c r="P1077" s="4" t="s">
        <v>747</v>
      </c>
      <c r="Q1077" s="4" t="s">
        <v>100</v>
      </c>
      <c r="R1077" s="9">
        <f t="shared" si="16"/>
        <v>7.3715390458102274E-5</v>
      </c>
    </row>
    <row r="1078" spans="1:18" hidden="1" x14ac:dyDescent="0.2">
      <c r="A1078" s="4">
        <v>1976</v>
      </c>
      <c r="B1078" s="2">
        <v>3698150</v>
      </c>
      <c r="C1078" s="2">
        <v>0</v>
      </c>
      <c r="D1078" s="4" t="s">
        <v>4123</v>
      </c>
      <c r="E1078" s="2">
        <v>3698150</v>
      </c>
      <c r="F1078" s="2">
        <v>702648.5</v>
      </c>
      <c r="G1078" s="2">
        <v>0</v>
      </c>
      <c r="H1078" s="4">
        <v>0</v>
      </c>
      <c r="I1078" s="4">
        <v>0</v>
      </c>
      <c r="J1078" s="4">
        <v>0</v>
      </c>
      <c r="K1078" s="4">
        <v>4400798.5</v>
      </c>
      <c r="L1078" s="4" t="s">
        <v>4121</v>
      </c>
      <c r="M1078" s="4" t="s">
        <v>4122</v>
      </c>
      <c r="N1078" s="4" t="s">
        <v>332</v>
      </c>
      <c r="O1078" s="4" t="s">
        <v>1127</v>
      </c>
      <c r="P1078" s="4" t="s">
        <v>1127</v>
      </c>
      <c r="Q1078" s="4" t="s">
        <v>100</v>
      </c>
      <c r="R1078" s="9">
        <f t="shared" si="16"/>
        <v>7.3666865524171278E-5</v>
      </c>
    </row>
    <row r="1079" spans="1:18" hidden="1" x14ac:dyDescent="0.2">
      <c r="A1079" s="4">
        <v>432</v>
      </c>
      <c r="B1079" s="2">
        <v>3695652</v>
      </c>
      <c r="C1079" s="2">
        <v>0</v>
      </c>
      <c r="D1079" s="4" t="s">
        <v>5339</v>
      </c>
      <c r="E1079" s="2">
        <v>3695652</v>
      </c>
      <c r="F1079" s="2">
        <v>702173.88</v>
      </c>
      <c r="G1079" s="2">
        <v>52816.5</v>
      </c>
      <c r="H1079" s="4">
        <v>105326.08</v>
      </c>
      <c r="I1079" s="4">
        <v>0</v>
      </c>
      <c r="J1079" s="4">
        <v>158142.57999999999</v>
      </c>
      <c r="K1079" s="4">
        <v>4239683.3</v>
      </c>
      <c r="L1079" s="4" t="s">
        <v>5338</v>
      </c>
      <c r="M1079" s="4" t="s">
        <v>137</v>
      </c>
      <c r="N1079" s="4" t="s">
        <v>293</v>
      </c>
      <c r="O1079" s="4" t="s">
        <v>229</v>
      </c>
      <c r="P1079" s="4" t="s">
        <v>229</v>
      </c>
      <c r="Q1079" s="4" t="s">
        <v>22</v>
      </c>
      <c r="R1079" s="9">
        <f t="shared" si="16"/>
        <v>7.3617105554976038E-5</v>
      </c>
    </row>
    <row r="1080" spans="1:18" hidden="1" x14ac:dyDescent="0.2">
      <c r="A1080" s="4">
        <v>1972</v>
      </c>
      <c r="B1080" s="2">
        <v>3784625</v>
      </c>
      <c r="C1080" s="2">
        <v>113538.75</v>
      </c>
      <c r="D1080" s="4" t="s">
        <v>3186</v>
      </c>
      <c r="E1080" s="2">
        <v>3671086.25</v>
      </c>
      <c r="F1080" s="2">
        <v>697506.39</v>
      </c>
      <c r="G1080" s="2">
        <v>91777.16</v>
      </c>
      <c r="H1080" s="4">
        <v>0</v>
      </c>
      <c r="I1080" s="4">
        <v>0</v>
      </c>
      <c r="J1080" s="4">
        <v>91777.16</v>
      </c>
      <c r="K1080" s="4">
        <v>4276815.4800000004</v>
      </c>
      <c r="L1080" s="4" t="s">
        <v>3184</v>
      </c>
      <c r="M1080" s="4" t="s">
        <v>3185</v>
      </c>
      <c r="N1080" s="4" t="s">
        <v>20</v>
      </c>
      <c r="O1080" s="4" t="s">
        <v>71</v>
      </c>
      <c r="P1080" s="4" t="s">
        <v>71</v>
      </c>
      <c r="Q1080" s="4" t="s">
        <v>100</v>
      </c>
      <c r="R1080" s="9">
        <f t="shared" si="16"/>
        <v>7.3127757691381973E-5</v>
      </c>
    </row>
    <row r="1081" spans="1:18" hidden="1" x14ac:dyDescent="0.2">
      <c r="A1081" s="4">
        <v>1778</v>
      </c>
      <c r="B1081" s="2">
        <v>3664121</v>
      </c>
      <c r="C1081" s="2">
        <v>0</v>
      </c>
      <c r="D1081" s="4" t="s">
        <v>3157</v>
      </c>
      <c r="E1081" s="2">
        <v>3664121</v>
      </c>
      <c r="F1081" s="2">
        <v>696182.99</v>
      </c>
      <c r="G1081" s="2">
        <v>0</v>
      </c>
      <c r="H1081" s="4">
        <v>0</v>
      </c>
      <c r="I1081" s="4">
        <v>0</v>
      </c>
      <c r="J1081" s="4">
        <v>0</v>
      </c>
      <c r="K1081" s="4">
        <v>4360303.99</v>
      </c>
      <c r="L1081" s="4" t="s">
        <v>3155</v>
      </c>
      <c r="M1081" s="4" t="s">
        <v>3156</v>
      </c>
      <c r="N1081" s="4" t="s">
        <v>20</v>
      </c>
      <c r="O1081" s="4" t="s">
        <v>631</v>
      </c>
      <c r="P1081" s="4" t="s">
        <v>631</v>
      </c>
      <c r="Q1081" s="4" t="s">
        <v>100</v>
      </c>
      <c r="R1081" s="9">
        <f t="shared" si="16"/>
        <v>7.2989010443408727E-5</v>
      </c>
    </row>
    <row r="1082" spans="1:18" hidden="1" x14ac:dyDescent="0.2">
      <c r="A1082" s="4">
        <v>1547</v>
      </c>
      <c r="B1082" s="2">
        <v>3646444</v>
      </c>
      <c r="C1082" s="2">
        <v>0</v>
      </c>
      <c r="D1082" s="4" t="s">
        <v>4458</v>
      </c>
      <c r="E1082" s="2">
        <v>3646444</v>
      </c>
      <c r="F1082" s="2">
        <v>692824.36</v>
      </c>
      <c r="G1082" s="2">
        <v>0</v>
      </c>
      <c r="H1082" s="4">
        <v>0</v>
      </c>
      <c r="I1082" s="4">
        <v>0</v>
      </c>
      <c r="J1082" s="4">
        <v>0</v>
      </c>
      <c r="K1082" s="4">
        <v>4339268.3600000003</v>
      </c>
      <c r="L1082" s="4" t="s">
        <v>4456</v>
      </c>
      <c r="M1082" s="4" t="s">
        <v>4457</v>
      </c>
      <c r="N1082" s="4" t="s">
        <v>20</v>
      </c>
      <c r="O1082" s="4" t="s">
        <v>540</v>
      </c>
      <c r="P1082" s="4" t="s">
        <v>540</v>
      </c>
      <c r="Q1082" s="4" t="s">
        <v>100</v>
      </c>
      <c r="R1082" s="9">
        <f t="shared" si="16"/>
        <v>7.2636885953631205E-5</v>
      </c>
    </row>
    <row r="1083" spans="1:18" hidden="1" x14ac:dyDescent="0.2">
      <c r="A1083" s="4">
        <v>1816</v>
      </c>
      <c r="B1083" s="2">
        <v>3644988</v>
      </c>
      <c r="C1083" s="2">
        <v>0</v>
      </c>
      <c r="D1083" s="4" t="s">
        <v>2603</v>
      </c>
      <c r="E1083" s="2">
        <v>3644988</v>
      </c>
      <c r="F1083" s="2">
        <v>692547.72</v>
      </c>
      <c r="G1083" s="2">
        <v>0</v>
      </c>
      <c r="H1083" s="4">
        <v>0</v>
      </c>
      <c r="I1083" s="4">
        <v>0</v>
      </c>
      <c r="J1083" s="4">
        <v>0</v>
      </c>
      <c r="K1083" s="4">
        <v>4337535.72</v>
      </c>
      <c r="L1083" s="4" t="s">
        <v>2601</v>
      </c>
      <c r="M1083" s="4" t="s">
        <v>2602</v>
      </c>
      <c r="N1083" s="4" t="s">
        <v>2604</v>
      </c>
      <c r="O1083" s="4" t="s">
        <v>93</v>
      </c>
      <c r="P1083" s="4" t="s">
        <v>93</v>
      </c>
      <c r="Q1083" s="4" t="s">
        <v>100</v>
      </c>
      <c r="R1083" s="9">
        <f t="shared" si="16"/>
        <v>7.2607882544844867E-5</v>
      </c>
    </row>
    <row r="1084" spans="1:18" hidden="1" x14ac:dyDescent="0.2">
      <c r="A1084" s="4">
        <v>489</v>
      </c>
      <c r="B1084" s="2">
        <v>3638367</v>
      </c>
      <c r="C1084" s="2">
        <v>0</v>
      </c>
      <c r="D1084" s="4" t="s">
        <v>4531</v>
      </c>
      <c r="E1084" s="2">
        <v>3638367</v>
      </c>
      <c r="F1084" s="2">
        <v>691289.73</v>
      </c>
      <c r="G1084" s="2">
        <v>0</v>
      </c>
      <c r="H1084" s="4">
        <v>0</v>
      </c>
      <c r="I1084" s="4">
        <v>0</v>
      </c>
      <c r="J1084" s="4">
        <v>0</v>
      </c>
      <c r="K1084" s="4">
        <v>4329656.7300000004</v>
      </c>
      <c r="L1084" s="4" t="s">
        <v>4529</v>
      </c>
      <c r="M1084" s="4" t="s">
        <v>4530</v>
      </c>
      <c r="N1084" s="4" t="s">
        <v>104</v>
      </c>
      <c r="O1084" s="4" t="s">
        <v>105</v>
      </c>
      <c r="P1084" s="4" t="s">
        <v>105</v>
      </c>
      <c r="Q1084" s="4" t="s">
        <v>100</v>
      </c>
      <c r="R1084" s="9">
        <f t="shared" si="16"/>
        <v>7.2475992730576779E-5</v>
      </c>
    </row>
    <row r="1085" spans="1:18" hidden="1" x14ac:dyDescent="0.2">
      <c r="A1085" s="4">
        <v>1259</v>
      </c>
      <c r="B1085" s="2">
        <v>3629258</v>
      </c>
      <c r="C1085" s="2">
        <v>0</v>
      </c>
      <c r="D1085" s="4" t="s">
        <v>5650</v>
      </c>
      <c r="E1085" s="2">
        <v>3629258</v>
      </c>
      <c r="F1085" s="2">
        <v>689559.02</v>
      </c>
      <c r="G1085" s="2">
        <v>90731.45</v>
      </c>
      <c r="H1085" s="4">
        <v>0</v>
      </c>
      <c r="I1085" s="4">
        <v>0</v>
      </c>
      <c r="J1085" s="4">
        <v>90731.45</v>
      </c>
      <c r="K1085" s="4">
        <v>4228085.57</v>
      </c>
      <c r="L1085" s="4" t="s">
        <v>5648</v>
      </c>
      <c r="M1085" s="4" t="s">
        <v>5649</v>
      </c>
      <c r="N1085" s="4" t="s">
        <v>127</v>
      </c>
      <c r="O1085" s="4" t="s">
        <v>67</v>
      </c>
      <c r="P1085" s="4" t="s">
        <v>67</v>
      </c>
      <c r="Q1085" s="4" t="s">
        <v>100</v>
      </c>
      <c r="R1085" s="9">
        <f t="shared" si="16"/>
        <v>7.2294542146349606E-5</v>
      </c>
    </row>
    <row r="1086" spans="1:18" hidden="1" x14ac:dyDescent="0.2">
      <c r="A1086" s="4">
        <v>798</v>
      </c>
      <c r="B1086" s="2">
        <v>3621617</v>
      </c>
      <c r="C1086" s="2">
        <v>19622.189999999999</v>
      </c>
      <c r="D1086" s="4" t="s">
        <v>3342</v>
      </c>
      <c r="E1086" s="2">
        <v>3601994.81</v>
      </c>
      <c r="F1086" s="2">
        <v>684379.01</v>
      </c>
      <c r="G1086" s="2">
        <v>0</v>
      </c>
      <c r="H1086" s="4">
        <v>0</v>
      </c>
      <c r="I1086" s="4">
        <v>0</v>
      </c>
      <c r="J1086" s="4">
        <v>0</v>
      </c>
      <c r="K1086" s="4">
        <v>4286373.82</v>
      </c>
      <c r="L1086" s="4" t="s">
        <v>3340</v>
      </c>
      <c r="M1086" s="4" t="s">
        <v>3341</v>
      </c>
      <c r="N1086" s="4" t="s">
        <v>20</v>
      </c>
      <c r="O1086" s="4" t="s">
        <v>1517</v>
      </c>
      <c r="P1086" s="4" t="s">
        <v>603</v>
      </c>
      <c r="Q1086" s="4" t="s">
        <v>100</v>
      </c>
      <c r="R1086" s="9">
        <f t="shared" si="16"/>
        <v>7.1751461483994124E-5</v>
      </c>
    </row>
    <row r="1087" spans="1:18" hidden="1" x14ac:dyDescent="0.2">
      <c r="A1087" s="4">
        <v>1531</v>
      </c>
      <c r="B1087" s="2">
        <v>3618070</v>
      </c>
      <c r="C1087" s="2">
        <v>25857.51</v>
      </c>
      <c r="D1087" s="4" t="s">
        <v>4077</v>
      </c>
      <c r="E1087" s="2">
        <v>3592212.49</v>
      </c>
      <c r="F1087" s="2">
        <v>682520.38</v>
      </c>
      <c r="G1087" s="2">
        <v>0</v>
      </c>
      <c r="H1087" s="4">
        <v>0</v>
      </c>
      <c r="I1087" s="4">
        <v>0</v>
      </c>
      <c r="J1087" s="4">
        <v>0</v>
      </c>
      <c r="K1087" s="4">
        <v>4274732.87</v>
      </c>
      <c r="L1087" s="4" t="s">
        <v>4075</v>
      </c>
      <c r="M1087" s="4" t="s">
        <v>4076</v>
      </c>
      <c r="N1087" s="4" t="s">
        <v>20</v>
      </c>
      <c r="O1087" s="4" t="s">
        <v>631</v>
      </c>
      <c r="P1087" s="4" t="s">
        <v>631</v>
      </c>
      <c r="Q1087" s="4" t="s">
        <v>100</v>
      </c>
      <c r="R1087" s="9">
        <f t="shared" si="16"/>
        <v>7.1556598416797185E-5</v>
      </c>
    </row>
    <row r="1088" spans="1:18" hidden="1" x14ac:dyDescent="0.2">
      <c r="A1088" s="4">
        <v>1782</v>
      </c>
      <c r="B1088" s="2">
        <v>3587837</v>
      </c>
      <c r="C1088" s="2">
        <v>0</v>
      </c>
      <c r="D1088" s="4" t="s">
        <v>5653</v>
      </c>
      <c r="E1088" s="2">
        <v>3587837</v>
      </c>
      <c r="F1088" s="2">
        <v>681689.03</v>
      </c>
      <c r="G1088" s="2">
        <v>85305.43</v>
      </c>
      <c r="H1088" s="4">
        <v>0</v>
      </c>
      <c r="I1088" s="4">
        <v>0</v>
      </c>
      <c r="J1088" s="4">
        <v>85305.43</v>
      </c>
      <c r="K1088" s="4">
        <v>4184220.6</v>
      </c>
      <c r="L1088" s="4" t="s">
        <v>5651</v>
      </c>
      <c r="M1088" s="4" t="s">
        <v>5652</v>
      </c>
      <c r="N1088" s="4" t="s">
        <v>1510</v>
      </c>
      <c r="O1088" s="4" t="s">
        <v>89</v>
      </c>
      <c r="P1088" s="4" t="s">
        <v>89</v>
      </c>
      <c r="Q1088" s="4" t="s">
        <v>100</v>
      </c>
      <c r="R1088" s="9">
        <f t="shared" si="16"/>
        <v>7.1469438990210275E-5</v>
      </c>
    </row>
    <row r="1089" spans="1:18" hidden="1" x14ac:dyDescent="0.2">
      <c r="A1089" s="4">
        <v>280</v>
      </c>
      <c r="B1089" s="2">
        <v>3562627</v>
      </c>
      <c r="C1089" s="2">
        <v>0</v>
      </c>
      <c r="D1089" s="4" t="s">
        <v>3528</v>
      </c>
      <c r="E1089" s="2">
        <v>3562627</v>
      </c>
      <c r="F1089" s="2">
        <v>676899.13</v>
      </c>
      <c r="G1089" s="2">
        <v>0</v>
      </c>
      <c r="H1089" s="4">
        <v>0</v>
      </c>
      <c r="I1089" s="4">
        <v>0</v>
      </c>
      <c r="J1089" s="4">
        <v>0</v>
      </c>
      <c r="K1089" s="4">
        <v>4239526.13</v>
      </c>
      <c r="L1089" s="4" t="s">
        <v>3526</v>
      </c>
      <c r="M1089" s="4" t="s">
        <v>3527</v>
      </c>
      <c r="N1089" s="4" t="s">
        <v>272</v>
      </c>
      <c r="O1089" s="4" t="s">
        <v>89</v>
      </c>
      <c r="P1089" s="4" t="s">
        <v>89</v>
      </c>
      <c r="Q1089" s="4" t="s">
        <v>100</v>
      </c>
      <c r="R1089" s="9">
        <f t="shared" si="16"/>
        <v>7.0967257715825961E-5</v>
      </c>
    </row>
    <row r="1090" spans="1:18" hidden="1" x14ac:dyDescent="0.2">
      <c r="A1090" s="4">
        <v>54</v>
      </c>
      <c r="B1090" s="2">
        <v>3554090</v>
      </c>
      <c r="C1090" s="2">
        <v>0</v>
      </c>
      <c r="D1090" s="4" t="s">
        <v>1887</v>
      </c>
      <c r="E1090" s="2">
        <v>3554090</v>
      </c>
      <c r="F1090" s="2">
        <v>675277.1</v>
      </c>
      <c r="G1090" s="2">
        <v>0</v>
      </c>
      <c r="H1090" s="4">
        <v>0</v>
      </c>
      <c r="I1090" s="4">
        <v>0</v>
      </c>
      <c r="J1090" s="4">
        <v>0</v>
      </c>
      <c r="K1090" s="4">
        <v>4229367.0999999996</v>
      </c>
      <c r="L1090" s="4" t="s">
        <v>1885</v>
      </c>
      <c r="M1090" s="4" t="s">
        <v>1886</v>
      </c>
      <c r="N1090" s="4" t="s">
        <v>20</v>
      </c>
      <c r="O1090" s="4" t="s">
        <v>540</v>
      </c>
      <c r="P1090" s="4" t="s">
        <v>540</v>
      </c>
      <c r="Q1090" s="4" t="s">
        <v>100</v>
      </c>
      <c r="R1090" s="9">
        <f t="shared" si="16"/>
        <v>7.0797201327907707E-5</v>
      </c>
    </row>
    <row r="1091" spans="1:18" hidden="1" x14ac:dyDescent="0.2">
      <c r="A1091" s="4">
        <v>1530</v>
      </c>
      <c r="B1091" s="2">
        <v>3540595</v>
      </c>
      <c r="C1091" s="2">
        <v>0</v>
      </c>
      <c r="D1091" s="4" t="s">
        <v>3629</v>
      </c>
      <c r="E1091" s="2">
        <v>3540595</v>
      </c>
      <c r="F1091" s="2">
        <v>672713.05</v>
      </c>
      <c r="G1091" s="2">
        <v>0</v>
      </c>
      <c r="H1091" s="4">
        <v>0</v>
      </c>
      <c r="I1091" s="4">
        <v>0</v>
      </c>
      <c r="J1091" s="4">
        <v>0</v>
      </c>
      <c r="K1091" s="4">
        <v>4213308.05</v>
      </c>
      <c r="L1091" s="4" t="s">
        <v>3627</v>
      </c>
      <c r="M1091" s="4" t="s">
        <v>3628</v>
      </c>
      <c r="N1091" s="4" t="s">
        <v>3630</v>
      </c>
      <c r="O1091" s="4" t="s">
        <v>1277</v>
      </c>
      <c r="P1091" s="4" t="s">
        <v>1277</v>
      </c>
      <c r="Q1091" s="4" t="s">
        <v>100</v>
      </c>
      <c r="R1091" s="9">
        <f t="shared" ref="R1091:R1154" si="17">E1091/$E$2034</f>
        <v>7.0528381958696428E-5</v>
      </c>
    </row>
    <row r="1092" spans="1:18" hidden="1" x14ac:dyDescent="0.2">
      <c r="A1092" s="4">
        <v>1666</v>
      </c>
      <c r="B1092" s="2">
        <v>3588145</v>
      </c>
      <c r="C1092" s="2">
        <v>49256.52</v>
      </c>
      <c r="D1092" s="4" t="s">
        <v>5337</v>
      </c>
      <c r="E1092" s="2">
        <v>3538888.48</v>
      </c>
      <c r="F1092" s="2">
        <v>672388.81</v>
      </c>
      <c r="G1092" s="2">
        <v>0</v>
      </c>
      <c r="H1092" s="4">
        <v>0</v>
      </c>
      <c r="I1092" s="4">
        <v>0</v>
      </c>
      <c r="J1092" s="4">
        <v>0</v>
      </c>
      <c r="K1092" s="4">
        <v>4211277.29</v>
      </c>
      <c r="L1092" s="4" t="s">
        <v>5335</v>
      </c>
      <c r="M1092" s="4" t="s">
        <v>5336</v>
      </c>
      <c r="N1092" s="4" t="s">
        <v>2167</v>
      </c>
      <c r="O1092" s="4" t="s">
        <v>105</v>
      </c>
      <c r="P1092" s="4" t="s">
        <v>105</v>
      </c>
      <c r="Q1092" s="4" t="s">
        <v>100</v>
      </c>
      <c r="R1092" s="9">
        <f t="shared" si="17"/>
        <v>7.0494388210645575E-5</v>
      </c>
    </row>
    <row r="1093" spans="1:18" hidden="1" x14ac:dyDescent="0.2">
      <c r="A1093" s="4">
        <v>1852</v>
      </c>
      <c r="B1093" s="2">
        <v>3514447</v>
      </c>
      <c r="C1093" s="2">
        <v>0</v>
      </c>
      <c r="D1093" s="4" t="s">
        <v>3213</v>
      </c>
      <c r="E1093" s="2">
        <v>3514447</v>
      </c>
      <c r="F1093" s="2">
        <v>667744.93000000005</v>
      </c>
      <c r="G1093" s="2">
        <v>0</v>
      </c>
      <c r="H1093" s="4">
        <v>0</v>
      </c>
      <c r="I1093" s="4">
        <v>0</v>
      </c>
      <c r="J1093" s="4">
        <v>0</v>
      </c>
      <c r="K1093" s="4">
        <v>4182191.93</v>
      </c>
      <c r="L1093" s="4" t="s">
        <v>3211</v>
      </c>
      <c r="M1093" s="4" t="s">
        <v>3212</v>
      </c>
      <c r="N1093" s="4" t="s">
        <v>272</v>
      </c>
      <c r="O1093" s="4" t="s">
        <v>89</v>
      </c>
      <c r="P1093" s="4" t="s">
        <v>89</v>
      </c>
      <c r="Q1093" s="4" t="s">
        <v>100</v>
      </c>
      <c r="R1093" s="9">
        <f t="shared" si="17"/>
        <v>7.0007515795959379E-5</v>
      </c>
    </row>
    <row r="1094" spans="1:18" hidden="1" x14ac:dyDescent="0.2">
      <c r="A1094" s="4">
        <v>1500</v>
      </c>
      <c r="B1094" s="2">
        <v>3499916</v>
      </c>
      <c r="C1094" s="2">
        <v>0</v>
      </c>
      <c r="D1094" s="4" t="s">
        <v>4007</v>
      </c>
      <c r="E1094" s="2">
        <v>3499916</v>
      </c>
      <c r="F1094" s="2">
        <v>664984.04</v>
      </c>
      <c r="G1094" s="2">
        <v>0</v>
      </c>
      <c r="H1094" s="4">
        <v>0</v>
      </c>
      <c r="I1094" s="4">
        <v>0</v>
      </c>
      <c r="J1094" s="4">
        <v>0</v>
      </c>
      <c r="K1094" s="4">
        <v>4164900.04</v>
      </c>
      <c r="L1094" s="4" t="s">
        <v>4005</v>
      </c>
      <c r="M1094" s="4" t="s">
        <v>4006</v>
      </c>
      <c r="N1094" s="4" t="s">
        <v>20</v>
      </c>
      <c r="O1094" s="4" t="s">
        <v>1043</v>
      </c>
      <c r="P1094" s="4" t="s">
        <v>1043</v>
      </c>
      <c r="Q1094" s="4" t="s">
        <v>100</v>
      </c>
      <c r="R1094" s="9">
        <f t="shared" si="17"/>
        <v>6.9718059385880896E-5</v>
      </c>
    </row>
    <row r="1095" spans="1:18" hidden="1" x14ac:dyDescent="0.2">
      <c r="A1095" s="4">
        <v>1212</v>
      </c>
      <c r="B1095" s="2">
        <v>3496228</v>
      </c>
      <c r="C1095" s="2">
        <v>0</v>
      </c>
      <c r="D1095" s="4" t="s">
        <v>3736</v>
      </c>
      <c r="E1095" s="2">
        <v>3496228</v>
      </c>
      <c r="F1095" s="2">
        <v>664283.31999999995</v>
      </c>
      <c r="G1095" s="2">
        <v>0</v>
      </c>
      <c r="H1095" s="4">
        <v>0</v>
      </c>
      <c r="I1095" s="4">
        <v>0</v>
      </c>
      <c r="J1095" s="4">
        <v>0</v>
      </c>
      <c r="K1095" s="4">
        <v>4160511.32</v>
      </c>
      <c r="L1095" s="4" t="s">
        <v>3734</v>
      </c>
      <c r="M1095" s="4" t="s">
        <v>3735</v>
      </c>
      <c r="N1095" s="4" t="s">
        <v>20</v>
      </c>
      <c r="O1095" s="4" t="s">
        <v>631</v>
      </c>
      <c r="P1095" s="4" t="s">
        <v>631</v>
      </c>
      <c r="Q1095" s="4" t="s">
        <v>100</v>
      </c>
      <c r="R1095" s="9">
        <f t="shared" si="17"/>
        <v>6.9644594707581438E-5</v>
      </c>
    </row>
    <row r="1096" spans="1:18" hidden="1" x14ac:dyDescent="0.2">
      <c r="A1096" s="4">
        <v>1384</v>
      </c>
      <c r="B1096" s="2">
        <v>3491528</v>
      </c>
      <c r="C1096" s="2">
        <v>0</v>
      </c>
      <c r="D1096" s="4" t="s">
        <v>4295</v>
      </c>
      <c r="E1096" s="2">
        <v>3491528</v>
      </c>
      <c r="F1096" s="2">
        <v>663390.31999999995</v>
      </c>
      <c r="G1096" s="2">
        <v>0</v>
      </c>
      <c r="H1096" s="4">
        <v>0</v>
      </c>
      <c r="I1096" s="4">
        <v>0</v>
      </c>
      <c r="J1096" s="4">
        <v>0</v>
      </c>
      <c r="K1096" s="4">
        <v>4154918.32</v>
      </c>
      <c r="L1096" s="4" t="s">
        <v>4293</v>
      </c>
      <c r="M1096" s="4" t="s">
        <v>4294</v>
      </c>
      <c r="N1096" s="4" t="s">
        <v>1269</v>
      </c>
      <c r="O1096" s="4" t="s">
        <v>89</v>
      </c>
      <c r="P1096" s="4" t="s">
        <v>89</v>
      </c>
      <c r="Q1096" s="4" t="s">
        <v>100</v>
      </c>
      <c r="R1096" s="9">
        <f t="shared" si="17"/>
        <v>6.9550971066581593E-5</v>
      </c>
    </row>
    <row r="1097" spans="1:18" hidden="1" x14ac:dyDescent="0.2">
      <c r="A1097" s="4">
        <v>484</v>
      </c>
      <c r="B1097" s="2">
        <v>3490355</v>
      </c>
      <c r="C1097" s="2">
        <v>0</v>
      </c>
      <c r="D1097" s="4" t="s">
        <v>5656</v>
      </c>
      <c r="E1097" s="2">
        <v>3490355</v>
      </c>
      <c r="F1097" s="2">
        <v>663167.44999999995</v>
      </c>
      <c r="G1097" s="2">
        <v>0</v>
      </c>
      <c r="H1097" s="4">
        <v>0</v>
      </c>
      <c r="I1097" s="4">
        <v>0</v>
      </c>
      <c r="J1097" s="4">
        <v>0</v>
      </c>
      <c r="K1097" s="4">
        <v>4153522.45</v>
      </c>
      <c r="L1097" s="4" t="s">
        <v>5654</v>
      </c>
      <c r="M1097" s="4" t="s">
        <v>5655</v>
      </c>
      <c r="N1097" s="4" t="s">
        <v>975</v>
      </c>
      <c r="O1097" s="4" t="s">
        <v>89</v>
      </c>
      <c r="P1097" s="4" t="s">
        <v>89</v>
      </c>
      <c r="Q1097" s="4" t="s">
        <v>100</v>
      </c>
      <c r="R1097" s="9">
        <f t="shared" si="17"/>
        <v>6.952760499617886E-5</v>
      </c>
    </row>
    <row r="1098" spans="1:18" hidden="1" x14ac:dyDescent="0.2">
      <c r="A1098" s="4">
        <v>600</v>
      </c>
      <c r="B1098" s="2">
        <v>3474822</v>
      </c>
      <c r="C1098" s="2">
        <v>0</v>
      </c>
      <c r="D1098" s="4" t="s">
        <v>3375</v>
      </c>
      <c r="E1098" s="2">
        <v>3474822</v>
      </c>
      <c r="F1098" s="2">
        <v>591246.18000000005</v>
      </c>
      <c r="G1098" s="2">
        <v>33761.4</v>
      </c>
      <c r="H1098" s="4">
        <v>0</v>
      </c>
      <c r="I1098" s="4">
        <v>0</v>
      </c>
      <c r="J1098" s="4">
        <v>33761.4</v>
      </c>
      <c r="K1098" s="4">
        <v>4032306.78</v>
      </c>
      <c r="L1098" s="4" t="s">
        <v>3373</v>
      </c>
      <c r="M1098" s="4" t="s">
        <v>3374</v>
      </c>
      <c r="N1098" s="4" t="s">
        <v>236</v>
      </c>
      <c r="O1098" s="4" t="s">
        <v>76</v>
      </c>
      <c r="P1098" s="4" t="s">
        <v>76</v>
      </c>
      <c r="Q1098" s="4" t="s">
        <v>1378</v>
      </c>
      <c r="R1098" s="9">
        <f t="shared" si="17"/>
        <v>6.9218188822636157E-5</v>
      </c>
    </row>
    <row r="1099" spans="1:18" hidden="1" x14ac:dyDescent="0.2">
      <c r="A1099" s="4">
        <v>1365</v>
      </c>
      <c r="B1099" s="2">
        <v>3463925</v>
      </c>
      <c r="C1099" s="2">
        <v>0</v>
      </c>
      <c r="D1099" s="4" t="s">
        <v>5659</v>
      </c>
      <c r="E1099" s="2">
        <v>3463925</v>
      </c>
      <c r="F1099" s="2">
        <v>658145.75</v>
      </c>
      <c r="G1099" s="2">
        <v>0</v>
      </c>
      <c r="H1099" s="4">
        <v>0</v>
      </c>
      <c r="I1099" s="4">
        <v>0</v>
      </c>
      <c r="J1099" s="4">
        <v>0</v>
      </c>
      <c r="K1099" s="4">
        <v>4122070.75</v>
      </c>
      <c r="L1099" s="4" t="s">
        <v>5657</v>
      </c>
      <c r="M1099" s="4" t="s">
        <v>5658</v>
      </c>
      <c r="N1099" s="4" t="s">
        <v>581</v>
      </c>
      <c r="O1099" s="4" t="s">
        <v>59</v>
      </c>
      <c r="P1099" s="4" t="s">
        <v>59</v>
      </c>
      <c r="Q1099" s="4" t="s">
        <v>100</v>
      </c>
      <c r="R1099" s="9">
        <f t="shared" si="17"/>
        <v>6.9001121414981814E-5</v>
      </c>
    </row>
    <row r="1100" spans="1:18" hidden="1" x14ac:dyDescent="0.2">
      <c r="A1100" s="4">
        <v>2027</v>
      </c>
      <c r="B1100" s="2">
        <v>3459827</v>
      </c>
      <c r="C1100" s="2">
        <v>0</v>
      </c>
      <c r="D1100" s="4" t="s">
        <v>4787</v>
      </c>
      <c r="E1100" s="2">
        <v>3459827</v>
      </c>
      <c r="F1100" s="2">
        <v>657367.13</v>
      </c>
      <c r="G1100" s="2">
        <v>0</v>
      </c>
      <c r="H1100" s="4">
        <v>0</v>
      </c>
      <c r="I1100" s="4">
        <v>0</v>
      </c>
      <c r="J1100" s="4">
        <v>0</v>
      </c>
      <c r="K1100" s="4">
        <v>4117194.13</v>
      </c>
      <c r="L1100" s="4" t="s">
        <v>4785</v>
      </c>
      <c r="M1100" s="4" t="s">
        <v>4786</v>
      </c>
      <c r="N1100" s="4" t="s">
        <v>975</v>
      </c>
      <c r="O1100" s="4" t="s">
        <v>89</v>
      </c>
      <c r="P1100" s="4" t="s">
        <v>89</v>
      </c>
      <c r="Q1100" s="4" t="s">
        <v>100</v>
      </c>
      <c r="R1100" s="9">
        <f t="shared" si="17"/>
        <v>6.8919489567999389E-5</v>
      </c>
    </row>
    <row r="1101" spans="1:18" hidden="1" x14ac:dyDescent="0.2">
      <c r="A1101" s="4">
        <v>633</v>
      </c>
      <c r="B1101" s="2">
        <v>3449182</v>
      </c>
      <c r="C1101" s="2">
        <v>9616.32</v>
      </c>
      <c r="D1101" s="4" t="s">
        <v>2302</v>
      </c>
      <c r="E1101" s="2">
        <v>3439565.68</v>
      </c>
      <c r="F1101" s="2">
        <v>653517.48</v>
      </c>
      <c r="G1101" s="2">
        <v>0</v>
      </c>
      <c r="H1101" s="4">
        <v>0</v>
      </c>
      <c r="I1101" s="4">
        <v>0</v>
      </c>
      <c r="J1101" s="4">
        <v>0</v>
      </c>
      <c r="K1101" s="4">
        <v>4093083.16</v>
      </c>
      <c r="L1101" s="4" t="s">
        <v>2300</v>
      </c>
      <c r="M1101" s="4" t="s">
        <v>2301</v>
      </c>
      <c r="N1101" s="4" t="s">
        <v>20</v>
      </c>
      <c r="O1101" s="4" t="s">
        <v>257</v>
      </c>
      <c r="P1101" s="4" t="s">
        <v>257</v>
      </c>
      <c r="Q1101" s="4" t="s">
        <v>100</v>
      </c>
      <c r="R1101" s="9">
        <f t="shared" si="17"/>
        <v>6.8515885621219999E-5</v>
      </c>
    </row>
    <row r="1102" spans="1:18" hidden="1" x14ac:dyDescent="0.2">
      <c r="A1102" s="4">
        <v>364</v>
      </c>
      <c r="B1102" s="2">
        <v>3434252</v>
      </c>
      <c r="C1102" s="2">
        <v>0</v>
      </c>
      <c r="D1102" s="4" t="s">
        <v>5662</v>
      </c>
      <c r="E1102" s="2">
        <v>3434252</v>
      </c>
      <c r="F1102" s="2">
        <v>652507.88</v>
      </c>
      <c r="G1102" s="2">
        <v>66505.929999999993</v>
      </c>
      <c r="H1102" s="4">
        <v>0</v>
      </c>
      <c r="I1102" s="4">
        <v>0</v>
      </c>
      <c r="J1102" s="4">
        <v>66505.929999999993</v>
      </c>
      <c r="K1102" s="4">
        <v>4020253.95</v>
      </c>
      <c r="L1102" s="4" t="s">
        <v>5660</v>
      </c>
      <c r="M1102" s="4" t="s">
        <v>5661</v>
      </c>
      <c r="N1102" s="4" t="s">
        <v>20</v>
      </c>
      <c r="O1102" s="4" t="s">
        <v>76</v>
      </c>
      <c r="P1102" s="4" t="s">
        <v>76</v>
      </c>
      <c r="Q1102" s="4" t="s">
        <v>585</v>
      </c>
      <c r="R1102" s="9">
        <f t="shared" si="17"/>
        <v>6.8410037521494881E-5</v>
      </c>
    </row>
    <row r="1103" spans="1:18" hidden="1" x14ac:dyDescent="0.2">
      <c r="A1103" s="4">
        <v>909</v>
      </c>
      <c r="B1103" s="2">
        <v>3430419</v>
      </c>
      <c r="C1103" s="2">
        <v>0</v>
      </c>
      <c r="D1103" s="4" t="s">
        <v>3840</v>
      </c>
      <c r="E1103" s="2">
        <v>3430419</v>
      </c>
      <c r="F1103" s="2">
        <v>651779.61</v>
      </c>
      <c r="G1103" s="2">
        <v>0</v>
      </c>
      <c r="H1103" s="4">
        <v>0</v>
      </c>
      <c r="I1103" s="4">
        <v>0</v>
      </c>
      <c r="J1103" s="4">
        <v>0</v>
      </c>
      <c r="K1103" s="4">
        <v>4082198.61</v>
      </c>
      <c r="L1103" s="4" t="s">
        <v>3838</v>
      </c>
      <c r="M1103" s="4" t="s">
        <v>3839</v>
      </c>
      <c r="N1103" s="4" t="s">
        <v>20</v>
      </c>
      <c r="O1103" s="4" t="s">
        <v>1356</v>
      </c>
      <c r="P1103" s="4" t="s">
        <v>1356</v>
      </c>
      <c r="Q1103" s="4" t="s">
        <v>100</v>
      </c>
      <c r="R1103" s="9">
        <f t="shared" si="17"/>
        <v>6.8333684454270955E-5</v>
      </c>
    </row>
    <row r="1104" spans="1:18" hidden="1" x14ac:dyDescent="0.2">
      <c r="A1104" s="4">
        <v>1975</v>
      </c>
      <c r="B1104" s="2">
        <v>3428212</v>
      </c>
      <c r="C1104" s="2">
        <v>0</v>
      </c>
      <c r="D1104" s="4" t="s">
        <v>1436</v>
      </c>
      <c r="E1104" s="2">
        <v>3428212</v>
      </c>
      <c r="F1104" s="2">
        <v>651360.28</v>
      </c>
      <c r="G1104" s="2">
        <v>0</v>
      </c>
      <c r="H1104" s="4">
        <v>0</v>
      </c>
      <c r="I1104" s="4">
        <v>0</v>
      </c>
      <c r="J1104" s="4">
        <v>0</v>
      </c>
      <c r="K1104" s="4">
        <v>4079572.28</v>
      </c>
      <c r="L1104" s="4" t="s">
        <v>1434</v>
      </c>
      <c r="M1104" s="4" t="s">
        <v>1435</v>
      </c>
      <c r="N1104" s="4" t="s">
        <v>1437</v>
      </c>
      <c r="O1104" s="4" t="s">
        <v>382</v>
      </c>
      <c r="P1104" s="4" t="s">
        <v>382</v>
      </c>
      <c r="Q1104" s="4" t="s">
        <v>100</v>
      </c>
      <c r="R1104" s="9">
        <f t="shared" si="17"/>
        <v>6.8289721182848259E-5</v>
      </c>
    </row>
    <row r="1105" spans="1:18" hidden="1" x14ac:dyDescent="0.2">
      <c r="A1105" s="4">
        <v>1884</v>
      </c>
      <c r="B1105" s="2">
        <v>3426230</v>
      </c>
      <c r="C1105" s="2">
        <v>0</v>
      </c>
      <c r="D1105" s="4" t="s">
        <v>2794</v>
      </c>
      <c r="E1105" s="2">
        <v>3426230</v>
      </c>
      <c r="F1105" s="2">
        <v>650983.69999999995</v>
      </c>
      <c r="G1105" s="2">
        <v>0</v>
      </c>
      <c r="H1105" s="4">
        <v>0</v>
      </c>
      <c r="I1105" s="4">
        <v>0</v>
      </c>
      <c r="J1105" s="4">
        <v>0</v>
      </c>
      <c r="K1105" s="4">
        <v>4077213.7</v>
      </c>
      <c r="L1105" s="4" t="s">
        <v>2792</v>
      </c>
      <c r="M1105" s="4" t="s">
        <v>2793</v>
      </c>
      <c r="N1105" s="4" t="s">
        <v>20</v>
      </c>
      <c r="O1105" s="4" t="s">
        <v>316</v>
      </c>
      <c r="P1105" s="4" t="s">
        <v>316</v>
      </c>
      <c r="Q1105" s="4" t="s">
        <v>100</v>
      </c>
      <c r="R1105" s="9">
        <f t="shared" si="17"/>
        <v>6.825023989423938E-5</v>
      </c>
    </row>
    <row r="1106" spans="1:18" hidden="1" x14ac:dyDescent="0.2">
      <c r="A1106" s="4">
        <v>116</v>
      </c>
      <c r="B1106" s="2">
        <v>3419904</v>
      </c>
      <c r="C1106" s="2">
        <v>0</v>
      </c>
      <c r="D1106" s="4" t="s">
        <v>3903</v>
      </c>
      <c r="E1106" s="2">
        <v>3419904</v>
      </c>
      <c r="F1106" s="2">
        <v>649781.76000000001</v>
      </c>
      <c r="G1106" s="2">
        <v>0</v>
      </c>
      <c r="H1106" s="4">
        <v>0</v>
      </c>
      <c r="I1106" s="4">
        <v>0</v>
      </c>
      <c r="J1106" s="4">
        <v>0</v>
      </c>
      <c r="K1106" s="4">
        <v>4069685.76</v>
      </c>
      <c r="L1106" s="4" t="s">
        <v>3901</v>
      </c>
      <c r="M1106" s="4" t="s">
        <v>3902</v>
      </c>
      <c r="N1106" s="4" t="s">
        <v>20</v>
      </c>
      <c r="O1106" s="4" t="s">
        <v>257</v>
      </c>
      <c r="P1106" s="4" t="s">
        <v>257</v>
      </c>
      <c r="Q1106" s="4" t="s">
        <v>100</v>
      </c>
      <c r="R1106" s="9">
        <f t="shared" si="17"/>
        <v>6.8124226457438305E-5</v>
      </c>
    </row>
    <row r="1107" spans="1:18" hidden="1" x14ac:dyDescent="0.2">
      <c r="A1107" s="4">
        <v>1985</v>
      </c>
      <c r="B1107" s="2">
        <v>3405179</v>
      </c>
      <c r="C1107" s="2">
        <v>0</v>
      </c>
      <c r="D1107" s="4" t="s">
        <v>3922</v>
      </c>
      <c r="E1107" s="2">
        <v>3405179</v>
      </c>
      <c r="F1107" s="2">
        <v>646984.01</v>
      </c>
      <c r="G1107" s="2">
        <v>0</v>
      </c>
      <c r="H1107" s="4">
        <v>0</v>
      </c>
      <c r="I1107" s="4">
        <v>0</v>
      </c>
      <c r="J1107" s="4">
        <v>0</v>
      </c>
      <c r="K1107" s="4">
        <v>4052163.01</v>
      </c>
      <c r="L1107" s="4" t="s">
        <v>3920</v>
      </c>
      <c r="M1107" s="4" t="s">
        <v>3921</v>
      </c>
      <c r="N1107" s="4" t="s">
        <v>20</v>
      </c>
      <c r="O1107" s="4" t="s">
        <v>316</v>
      </c>
      <c r="P1107" s="4" t="s">
        <v>316</v>
      </c>
      <c r="Q1107" s="4" t="s">
        <v>100</v>
      </c>
      <c r="R1107" s="9">
        <f t="shared" si="17"/>
        <v>6.7830905582178127E-5</v>
      </c>
    </row>
    <row r="1108" spans="1:18" hidden="1" x14ac:dyDescent="0.2">
      <c r="A1108" s="4">
        <v>759</v>
      </c>
      <c r="B1108" s="2">
        <v>3402013</v>
      </c>
      <c r="C1108" s="2">
        <v>0</v>
      </c>
      <c r="D1108" s="4" t="s">
        <v>5665</v>
      </c>
      <c r="E1108" s="2">
        <v>3402013</v>
      </c>
      <c r="F1108" s="2">
        <v>646382.47</v>
      </c>
      <c r="G1108" s="2">
        <v>34256.480000000003</v>
      </c>
      <c r="H1108" s="4">
        <v>0</v>
      </c>
      <c r="I1108" s="4">
        <v>0</v>
      </c>
      <c r="J1108" s="4">
        <v>34256.480000000003</v>
      </c>
      <c r="K1108" s="4">
        <v>4014138.99</v>
      </c>
      <c r="L1108" s="4" t="s">
        <v>5663</v>
      </c>
      <c r="M1108" s="4" t="s">
        <v>5664</v>
      </c>
      <c r="N1108" s="4" t="s">
        <v>32</v>
      </c>
      <c r="O1108" s="4" t="s">
        <v>33</v>
      </c>
      <c r="P1108" s="4" t="s">
        <v>33</v>
      </c>
      <c r="Q1108" s="4" t="s">
        <v>100</v>
      </c>
      <c r="R1108" s="9">
        <f t="shared" si="17"/>
        <v>6.776783910400674E-5</v>
      </c>
    </row>
    <row r="1109" spans="1:18" hidden="1" x14ac:dyDescent="0.2">
      <c r="A1109" s="4">
        <v>1787</v>
      </c>
      <c r="B1109" s="2">
        <v>3389042</v>
      </c>
      <c r="C1109" s="2">
        <v>0</v>
      </c>
      <c r="D1109" s="4" t="s">
        <v>4389</v>
      </c>
      <c r="E1109" s="2">
        <v>3389042</v>
      </c>
      <c r="F1109" s="2">
        <v>643917.98</v>
      </c>
      <c r="G1109" s="2">
        <v>0</v>
      </c>
      <c r="H1109" s="4">
        <v>0</v>
      </c>
      <c r="I1109" s="4">
        <v>0</v>
      </c>
      <c r="J1109" s="4">
        <v>0</v>
      </c>
      <c r="K1109" s="4">
        <v>4032959.98</v>
      </c>
      <c r="L1109" s="4" t="s">
        <v>4387</v>
      </c>
      <c r="M1109" s="4" t="s">
        <v>4388</v>
      </c>
      <c r="N1109" s="4" t="s">
        <v>20</v>
      </c>
      <c r="O1109" s="4" t="s">
        <v>372</v>
      </c>
      <c r="P1109" s="4" t="s">
        <v>372</v>
      </c>
      <c r="Q1109" s="4" t="s">
        <v>100</v>
      </c>
      <c r="R1109" s="9">
        <f t="shared" si="17"/>
        <v>6.7509457774770761E-5</v>
      </c>
    </row>
    <row r="1110" spans="1:18" hidden="1" x14ac:dyDescent="0.2">
      <c r="A1110" s="4">
        <v>949</v>
      </c>
      <c r="B1110" s="2">
        <v>3387265</v>
      </c>
      <c r="C1110" s="2">
        <v>0</v>
      </c>
      <c r="D1110" s="4" t="s">
        <v>3463</v>
      </c>
      <c r="E1110" s="2">
        <v>3387265</v>
      </c>
      <c r="F1110" s="2">
        <v>643580.35</v>
      </c>
      <c r="G1110" s="2">
        <v>0</v>
      </c>
      <c r="H1110" s="4">
        <v>0</v>
      </c>
      <c r="I1110" s="4">
        <v>0</v>
      </c>
      <c r="J1110" s="4">
        <v>0</v>
      </c>
      <c r="K1110" s="4">
        <v>4030845.35</v>
      </c>
      <c r="L1110" s="4" t="s">
        <v>3461</v>
      </c>
      <c r="M1110" s="4" t="s">
        <v>3462</v>
      </c>
      <c r="N1110" s="4" t="s">
        <v>3464</v>
      </c>
      <c r="O1110" s="4" t="s">
        <v>229</v>
      </c>
      <c r="P1110" s="4" t="s">
        <v>229</v>
      </c>
      <c r="Q1110" s="4" t="s">
        <v>100</v>
      </c>
      <c r="R1110" s="9">
        <f t="shared" si="17"/>
        <v>6.7474060070503366E-5</v>
      </c>
    </row>
    <row r="1111" spans="1:18" hidden="1" x14ac:dyDescent="0.2">
      <c r="A1111" s="4">
        <v>1357</v>
      </c>
      <c r="B1111" s="2">
        <v>3379804</v>
      </c>
      <c r="C1111" s="2">
        <v>3253.2</v>
      </c>
      <c r="D1111" s="4" t="s">
        <v>4811</v>
      </c>
      <c r="E1111" s="2">
        <v>3376550.8</v>
      </c>
      <c r="F1111" s="2">
        <v>641544.65</v>
      </c>
      <c r="G1111" s="2">
        <v>0</v>
      </c>
      <c r="H1111" s="4">
        <v>0</v>
      </c>
      <c r="I1111" s="4">
        <v>0</v>
      </c>
      <c r="J1111" s="4">
        <v>0</v>
      </c>
      <c r="K1111" s="4">
        <v>4018095.45</v>
      </c>
      <c r="L1111" s="4" t="s">
        <v>4809</v>
      </c>
      <c r="M1111" s="4" t="s">
        <v>4810</v>
      </c>
      <c r="N1111" s="4" t="s">
        <v>20</v>
      </c>
      <c r="O1111" s="4" t="s">
        <v>372</v>
      </c>
      <c r="P1111" s="4" t="s">
        <v>372</v>
      </c>
      <c r="Q1111" s="4" t="s">
        <v>100</v>
      </c>
      <c r="R1111" s="9">
        <f t="shared" si="17"/>
        <v>6.7260634024886212E-5</v>
      </c>
    </row>
    <row r="1112" spans="1:18" hidden="1" x14ac:dyDescent="0.2">
      <c r="A1112" s="4">
        <v>597</v>
      </c>
      <c r="B1112" s="2">
        <v>3375264.73</v>
      </c>
      <c r="C1112" s="2">
        <v>0</v>
      </c>
      <c r="D1112" s="4" t="s">
        <v>5668</v>
      </c>
      <c r="E1112" s="2">
        <v>3375264.73</v>
      </c>
      <c r="F1112" s="2">
        <v>641300.30000000005</v>
      </c>
      <c r="G1112" s="2">
        <v>51452.21</v>
      </c>
      <c r="H1112" s="4">
        <v>0</v>
      </c>
      <c r="I1112" s="4">
        <v>0</v>
      </c>
      <c r="J1112" s="4">
        <v>51452.21</v>
      </c>
      <c r="K1112" s="4">
        <v>3965112.82</v>
      </c>
      <c r="L1112" s="4" t="s">
        <v>5666</v>
      </c>
      <c r="M1112" s="4" t="s">
        <v>5667</v>
      </c>
      <c r="N1112" s="4" t="s">
        <v>20</v>
      </c>
      <c r="O1112" s="4" t="s">
        <v>386</v>
      </c>
      <c r="P1112" s="4" t="s">
        <v>386</v>
      </c>
      <c r="Q1112" s="4" t="s">
        <v>144</v>
      </c>
      <c r="R1112" s="9">
        <f t="shared" si="17"/>
        <v>6.7235015608720116E-5</v>
      </c>
    </row>
    <row r="1113" spans="1:18" hidden="1" x14ac:dyDescent="0.2">
      <c r="A1113" s="4">
        <v>1156</v>
      </c>
      <c r="B1113" s="2">
        <v>3351041</v>
      </c>
      <c r="C1113" s="2">
        <v>0</v>
      </c>
      <c r="D1113" s="4" t="s">
        <v>3805</v>
      </c>
      <c r="E1113" s="2">
        <v>3351041</v>
      </c>
      <c r="F1113" s="2">
        <v>636697.79</v>
      </c>
      <c r="G1113" s="2">
        <v>0</v>
      </c>
      <c r="H1113" s="4">
        <v>0</v>
      </c>
      <c r="I1113" s="4">
        <v>0</v>
      </c>
      <c r="J1113" s="4">
        <v>0</v>
      </c>
      <c r="K1113" s="4">
        <v>3987738.79</v>
      </c>
      <c r="L1113" s="4" t="s">
        <v>3803</v>
      </c>
      <c r="M1113" s="4" t="s">
        <v>3804</v>
      </c>
      <c r="N1113" s="4" t="s">
        <v>20</v>
      </c>
      <c r="O1113" s="4" t="s">
        <v>316</v>
      </c>
      <c r="P1113" s="4" t="s">
        <v>316</v>
      </c>
      <c r="Q1113" s="4" t="s">
        <v>100</v>
      </c>
      <c r="R1113" s="9">
        <f t="shared" si="17"/>
        <v>6.6752480757401527E-5</v>
      </c>
    </row>
    <row r="1114" spans="1:18" hidden="1" x14ac:dyDescent="0.2">
      <c r="A1114" s="4">
        <v>1996</v>
      </c>
      <c r="B1114" s="2">
        <v>3342200</v>
      </c>
      <c r="C1114" s="2">
        <v>0</v>
      </c>
      <c r="D1114" s="4" t="s">
        <v>3012</v>
      </c>
      <c r="E1114" s="2">
        <v>3342200</v>
      </c>
      <c r="F1114" s="2">
        <v>635018</v>
      </c>
      <c r="G1114" s="2">
        <v>0</v>
      </c>
      <c r="H1114" s="4">
        <v>0</v>
      </c>
      <c r="I1114" s="4">
        <v>0</v>
      </c>
      <c r="J1114" s="4">
        <v>0</v>
      </c>
      <c r="K1114" s="4">
        <v>3977218</v>
      </c>
      <c r="L1114" s="4" t="s">
        <v>3010</v>
      </c>
      <c r="M1114" s="4" t="s">
        <v>3011</v>
      </c>
      <c r="N1114" s="4" t="s">
        <v>20</v>
      </c>
      <c r="O1114" s="4" t="s">
        <v>261</v>
      </c>
      <c r="P1114" s="4" t="s">
        <v>261</v>
      </c>
      <c r="Q1114" s="4" t="s">
        <v>100</v>
      </c>
      <c r="R1114" s="9">
        <f t="shared" si="17"/>
        <v>6.6576368712703714E-5</v>
      </c>
    </row>
    <row r="1115" spans="1:18" hidden="1" x14ac:dyDescent="0.2">
      <c r="A1115" s="4">
        <v>672</v>
      </c>
      <c r="B1115" s="2">
        <v>3334719</v>
      </c>
      <c r="C1115" s="2">
        <v>0</v>
      </c>
      <c r="D1115" s="4" t="s">
        <v>3696</v>
      </c>
      <c r="E1115" s="2">
        <v>3334719</v>
      </c>
      <c r="F1115" s="2">
        <v>633596.61</v>
      </c>
      <c r="G1115" s="2">
        <v>58163.46</v>
      </c>
      <c r="H1115" s="4">
        <v>0</v>
      </c>
      <c r="I1115" s="4">
        <v>0</v>
      </c>
      <c r="J1115" s="4">
        <v>58163.46</v>
      </c>
      <c r="K1115" s="4">
        <v>3910152.15</v>
      </c>
      <c r="L1115" s="4" t="s">
        <v>3694</v>
      </c>
      <c r="M1115" s="4" t="s">
        <v>3695</v>
      </c>
      <c r="N1115" s="4" t="s">
        <v>32</v>
      </c>
      <c r="O1115" s="4" t="s">
        <v>33</v>
      </c>
      <c r="P1115" s="4" t="s">
        <v>33</v>
      </c>
      <c r="Q1115" s="4" t="s">
        <v>100</v>
      </c>
      <c r="R1115" s="9">
        <f t="shared" si="17"/>
        <v>6.6427347764125012E-5</v>
      </c>
    </row>
    <row r="1116" spans="1:18" hidden="1" x14ac:dyDescent="0.2">
      <c r="A1116" s="4">
        <v>1579</v>
      </c>
      <c r="B1116" s="2">
        <v>3333491</v>
      </c>
      <c r="C1116" s="2">
        <v>0</v>
      </c>
      <c r="D1116" s="4" t="s">
        <v>3707</v>
      </c>
      <c r="E1116" s="2">
        <v>3333491</v>
      </c>
      <c r="F1116" s="2">
        <v>633363.29</v>
      </c>
      <c r="G1116" s="2">
        <v>83337.279999999999</v>
      </c>
      <c r="H1116" s="4">
        <v>0</v>
      </c>
      <c r="I1116" s="4">
        <v>0</v>
      </c>
      <c r="J1116" s="4">
        <v>83337.279999999999</v>
      </c>
      <c r="K1116" s="4">
        <v>3883517.01</v>
      </c>
      <c r="L1116" s="4" t="s">
        <v>3705</v>
      </c>
      <c r="M1116" s="4" t="s">
        <v>3706</v>
      </c>
      <c r="N1116" s="4" t="s">
        <v>20</v>
      </c>
      <c r="O1116" s="4" t="s">
        <v>257</v>
      </c>
      <c r="P1116" s="4" t="s">
        <v>257</v>
      </c>
      <c r="Q1116" s="4" t="s">
        <v>100</v>
      </c>
      <c r="R1116" s="9">
        <f t="shared" si="17"/>
        <v>6.6402886097923354E-5</v>
      </c>
    </row>
    <row r="1117" spans="1:18" hidden="1" x14ac:dyDescent="0.2">
      <c r="A1117" s="4">
        <v>1799</v>
      </c>
      <c r="B1117" s="2">
        <v>3323219</v>
      </c>
      <c r="C1117" s="2">
        <v>0</v>
      </c>
      <c r="D1117" s="4" t="s">
        <v>2688</v>
      </c>
      <c r="E1117" s="2">
        <v>3323219</v>
      </c>
      <c r="F1117" s="2">
        <v>631411.61</v>
      </c>
      <c r="G1117" s="2">
        <v>0</v>
      </c>
      <c r="H1117" s="4">
        <v>0</v>
      </c>
      <c r="I1117" s="4">
        <v>0</v>
      </c>
      <c r="J1117" s="4">
        <v>0</v>
      </c>
      <c r="K1117" s="4">
        <v>3954630.61</v>
      </c>
      <c r="L1117" s="4" t="s">
        <v>2686</v>
      </c>
      <c r="M1117" s="4" t="s">
        <v>2687</v>
      </c>
      <c r="N1117" s="4" t="s">
        <v>32</v>
      </c>
      <c r="O1117" s="4" t="s">
        <v>33</v>
      </c>
      <c r="P1117" s="4" t="s">
        <v>33</v>
      </c>
      <c r="Q1117" s="4" t="s">
        <v>100</v>
      </c>
      <c r="R1117" s="9">
        <f t="shared" si="17"/>
        <v>6.6198268642529627E-5</v>
      </c>
    </row>
    <row r="1118" spans="1:18" x14ac:dyDescent="0.2">
      <c r="A1118" s="4">
        <v>812</v>
      </c>
      <c r="B1118" s="2">
        <v>3315213</v>
      </c>
      <c r="C1118" s="2">
        <v>0</v>
      </c>
      <c r="D1118" s="4" t="s">
        <v>3369</v>
      </c>
      <c r="E1118" s="2">
        <v>3315213</v>
      </c>
      <c r="F1118" s="2">
        <v>629890.47</v>
      </c>
      <c r="G1118" s="2">
        <v>99762.75</v>
      </c>
      <c r="H1118" s="4">
        <v>94483.58</v>
      </c>
      <c r="I1118" s="4">
        <v>0</v>
      </c>
      <c r="J1118" s="4">
        <v>194246.33</v>
      </c>
      <c r="K1118" s="4">
        <v>3750857.14</v>
      </c>
      <c r="L1118" s="4" t="s">
        <v>3368</v>
      </c>
      <c r="M1118" s="4" t="s">
        <v>81</v>
      </c>
      <c r="N1118" s="4" t="s">
        <v>142</v>
      </c>
      <c r="O1118" s="4" t="s">
        <v>340</v>
      </c>
      <c r="P1118" s="4" t="s">
        <v>340</v>
      </c>
      <c r="Q1118" s="4" t="s">
        <v>28</v>
      </c>
      <c r="R1118" s="9">
        <f t="shared" si="17"/>
        <v>6.6038789734052019E-5</v>
      </c>
    </row>
    <row r="1119" spans="1:18" hidden="1" x14ac:dyDescent="0.2">
      <c r="A1119" s="4">
        <v>119</v>
      </c>
      <c r="B1119" s="2">
        <v>3310006</v>
      </c>
      <c r="C1119" s="2">
        <v>0</v>
      </c>
      <c r="D1119" s="4" t="s">
        <v>3919</v>
      </c>
      <c r="E1119" s="2">
        <v>3310006</v>
      </c>
      <c r="F1119" s="2">
        <v>628901.14</v>
      </c>
      <c r="G1119" s="2">
        <v>0</v>
      </c>
      <c r="H1119" s="4">
        <v>0</v>
      </c>
      <c r="I1119" s="4">
        <v>0</v>
      </c>
      <c r="J1119" s="4">
        <v>0</v>
      </c>
      <c r="K1119" s="4">
        <v>3938907.14</v>
      </c>
      <c r="L1119" s="4" t="s">
        <v>3917</v>
      </c>
      <c r="M1119" s="4" t="s">
        <v>3918</v>
      </c>
      <c r="N1119" s="4" t="s">
        <v>20</v>
      </c>
      <c r="O1119" s="4" t="s">
        <v>631</v>
      </c>
      <c r="P1119" s="4" t="s">
        <v>631</v>
      </c>
      <c r="Q1119" s="4" t="s">
        <v>100</v>
      </c>
      <c r="R1119" s="9">
        <f t="shared" si="17"/>
        <v>6.5935066691778346E-5</v>
      </c>
    </row>
    <row r="1120" spans="1:18" hidden="1" x14ac:dyDescent="0.2">
      <c r="A1120" s="4">
        <v>309</v>
      </c>
      <c r="B1120" s="2">
        <v>3309516</v>
      </c>
      <c r="C1120" s="2">
        <v>0</v>
      </c>
      <c r="D1120" s="4" t="s">
        <v>5671</v>
      </c>
      <c r="E1120" s="2">
        <v>3309516</v>
      </c>
      <c r="F1120" s="2">
        <v>628808.04</v>
      </c>
      <c r="G1120" s="2">
        <v>0</v>
      </c>
      <c r="H1120" s="4">
        <v>0</v>
      </c>
      <c r="I1120" s="4">
        <v>0</v>
      </c>
      <c r="J1120" s="4">
        <v>0</v>
      </c>
      <c r="K1120" s="4">
        <v>3938324.04</v>
      </c>
      <c r="L1120" s="4" t="s">
        <v>5669</v>
      </c>
      <c r="M1120" s="4" t="s">
        <v>5670</v>
      </c>
      <c r="N1120" s="4" t="s">
        <v>4519</v>
      </c>
      <c r="O1120" s="4" t="s">
        <v>382</v>
      </c>
      <c r="P1120" s="4" t="s">
        <v>382</v>
      </c>
      <c r="Q1120" s="4" t="s">
        <v>100</v>
      </c>
      <c r="R1120" s="9">
        <f t="shared" si="17"/>
        <v>6.5925305929206017E-5</v>
      </c>
    </row>
    <row r="1121" spans="1:18" hidden="1" x14ac:dyDescent="0.2">
      <c r="A1121" s="4">
        <v>1848</v>
      </c>
      <c r="B1121" s="2">
        <v>3305952</v>
      </c>
      <c r="C1121" s="2">
        <v>0</v>
      </c>
      <c r="D1121" s="4" t="s">
        <v>5267</v>
      </c>
      <c r="E1121" s="2">
        <v>3305952</v>
      </c>
      <c r="F1121" s="2">
        <v>628130.88</v>
      </c>
      <c r="G1121" s="2">
        <v>0</v>
      </c>
      <c r="H1121" s="4">
        <v>0</v>
      </c>
      <c r="I1121" s="4">
        <v>0</v>
      </c>
      <c r="J1121" s="4">
        <v>0</v>
      </c>
      <c r="K1121" s="4">
        <v>3934082.88</v>
      </c>
      <c r="L1121" s="4" t="s">
        <v>5265</v>
      </c>
      <c r="M1121" s="4" t="s">
        <v>5266</v>
      </c>
      <c r="N1121" s="4" t="s">
        <v>1143</v>
      </c>
      <c r="O1121" s="4" t="s">
        <v>340</v>
      </c>
      <c r="P1121" s="4" t="s">
        <v>340</v>
      </c>
      <c r="Q1121" s="4" t="s">
        <v>100</v>
      </c>
      <c r="R1121" s="9">
        <f t="shared" si="17"/>
        <v>6.5854311321435072E-5</v>
      </c>
    </row>
    <row r="1122" spans="1:18" hidden="1" x14ac:dyDescent="0.2">
      <c r="A1122" s="4">
        <v>367</v>
      </c>
      <c r="B1122" s="2">
        <v>3289973</v>
      </c>
      <c r="C1122" s="2">
        <v>0</v>
      </c>
      <c r="D1122" s="4" t="s">
        <v>5674</v>
      </c>
      <c r="E1122" s="2">
        <v>3289973</v>
      </c>
      <c r="F1122" s="2">
        <v>623194.87</v>
      </c>
      <c r="G1122" s="2">
        <v>0</v>
      </c>
      <c r="H1122" s="4">
        <v>0</v>
      </c>
      <c r="I1122" s="4">
        <v>0</v>
      </c>
      <c r="J1122" s="4">
        <v>0</v>
      </c>
      <c r="K1122" s="4">
        <v>3913167.87</v>
      </c>
      <c r="L1122" s="4" t="s">
        <v>5672</v>
      </c>
      <c r="M1122" s="4" t="s">
        <v>5673</v>
      </c>
      <c r="N1122" s="4" t="s">
        <v>20</v>
      </c>
      <c r="O1122" s="4" t="s">
        <v>900</v>
      </c>
      <c r="P1122" s="4" t="s">
        <v>900</v>
      </c>
      <c r="Q1122" s="4" t="s">
        <v>144</v>
      </c>
      <c r="R1122" s="9">
        <f t="shared" si="17"/>
        <v>6.553601086195919E-5</v>
      </c>
    </row>
    <row r="1123" spans="1:18" hidden="1" x14ac:dyDescent="0.2">
      <c r="A1123" s="4">
        <v>1466</v>
      </c>
      <c r="B1123" s="2">
        <v>3280652</v>
      </c>
      <c r="C1123" s="2">
        <v>0</v>
      </c>
      <c r="D1123" s="4" t="s">
        <v>5677</v>
      </c>
      <c r="E1123" s="2">
        <v>3280652</v>
      </c>
      <c r="F1123" s="2">
        <v>623323.88</v>
      </c>
      <c r="G1123" s="2">
        <v>0</v>
      </c>
      <c r="H1123" s="4">
        <v>0</v>
      </c>
      <c r="I1123" s="4">
        <v>0</v>
      </c>
      <c r="J1123" s="4">
        <v>0</v>
      </c>
      <c r="K1123" s="4">
        <v>3903975.88</v>
      </c>
      <c r="L1123" s="4" t="s">
        <v>5675</v>
      </c>
      <c r="M1123" s="4" t="s">
        <v>5676</v>
      </c>
      <c r="N1123" s="4" t="s">
        <v>112</v>
      </c>
      <c r="O1123" s="4" t="s">
        <v>113</v>
      </c>
      <c r="P1123" s="4" t="s">
        <v>113</v>
      </c>
      <c r="Q1123" s="4" t="s">
        <v>100</v>
      </c>
      <c r="R1123" s="9">
        <f t="shared" si="17"/>
        <v>6.5350337253925229E-5</v>
      </c>
    </row>
    <row r="1124" spans="1:18" hidden="1" x14ac:dyDescent="0.2">
      <c r="A1124" s="4">
        <v>1710</v>
      </c>
      <c r="B1124" s="2">
        <v>3278037</v>
      </c>
      <c r="C1124" s="2">
        <v>0</v>
      </c>
      <c r="D1124" s="4" t="s">
        <v>1754</v>
      </c>
      <c r="E1124" s="2">
        <v>3278037</v>
      </c>
      <c r="F1124" s="2">
        <v>622827.03</v>
      </c>
      <c r="G1124" s="2">
        <v>0</v>
      </c>
      <c r="H1124" s="4">
        <v>0</v>
      </c>
      <c r="I1124" s="4">
        <v>0</v>
      </c>
      <c r="J1124" s="4">
        <v>0</v>
      </c>
      <c r="K1124" s="4">
        <v>3900864.03</v>
      </c>
      <c r="L1124" s="4" t="s">
        <v>1752</v>
      </c>
      <c r="M1124" s="4" t="s">
        <v>1753</v>
      </c>
      <c r="N1124" s="4" t="s">
        <v>20</v>
      </c>
      <c r="O1124" s="4" t="s">
        <v>316</v>
      </c>
      <c r="P1124" s="4" t="s">
        <v>316</v>
      </c>
      <c r="Q1124" s="4" t="s">
        <v>100</v>
      </c>
      <c r="R1124" s="9">
        <f t="shared" si="17"/>
        <v>6.5298246653666794E-5</v>
      </c>
    </row>
    <row r="1125" spans="1:18" hidden="1" x14ac:dyDescent="0.2">
      <c r="A1125" s="4">
        <v>41</v>
      </c>
      <c r="B1125" s="2">
        <v>3273564</v>
      </c>
      <c r="C1125" s="2">
        <v>0</v>
      </c>
      <c r="D1125" s="4" t="s">
        <v>1545</v>
      </c>
      <c r="E1125" s="2">
        <v>3273564</v>
      </c>
      <c r="F1125" s="2">
        <v>621977.16</v>
      </c>
      <c r="G1125" s="2">
        <v>38451.9</v>
      </c>
      <c r="H1125" s="4">
        <v>43835.17</v>
      </c>
      <c r="I1125" s="4">
        <v>0</v>
      </c>
      <c r="J1125" s="4">
        <v>82287.070000000007</v>
      </c>
      <c r="K1125" s="4">
        <v>3813254.09</v>
      </c>
      <c r="L1125" s="4" t="s">
        <v>1544</v>
      </c>
      <c r="M1125" s="4" t="s">
        <v>146</v>
      </c>
      <c r="N1125" s="4" t="s">
        <v>20</v>
      </c>
      <c r="O1125" s="4" t="s">
        <v>71</v>
      </c>
      <c r="P1125" s="4" t="s">
        <v>71</v>
      </c>
      <c r="Q1125" s="4" t="s">
        <v>28</v>
      </c>
      <c r="R1125" s="9">
        <f t="shared" si="17"/>
        <v>6.5209144835327995E-5</v>
      </c>
    </row>
    <row r="1126" spans="1:18" hidden="1" x14ac:dyDescent="0.2">
      <c r="A1126" s="4">
        <v>418</v>
      </c>
      <c r="B1126" s="2">
        <v>3258124</v>
      </c>
      <c r="C1126" s="2">
        <v>0</v>
      </c>
      <c r="D1126" s="4" t="s">
        <v>2893</v>
      </c>
      <c r="E1126" s="2">
        <v>3258124</v>
      </c>
      <c r="F1126" s="2">
        <v>619043.56000000006</v>
      </c>
      <c r="G1126" s="2">
        <v>0</v>
      </c>
      <c r="H1126" s="4">
        <v>0</v>
      </c>
      <c r="I1126" s="4">
        <v>0</v>
      </c>
      <c r="J1126" s="4">
        <v>0</v>
      </c>
      <c r="K1126" s="4">
        <v>3877167.56</v>
      </c>
      <c r="L1126" s="4" t="s">
        <v>2891</v>
      </c>
      <c r="M1126" s="4" t="s">
        <v>2892</v>
      </c>
      <c r="N1126" s="4" t="s">
        <v>20</v>
      </c>
      <c r="O1126" s="4" t="s">
        <v>1517</v>
      </c>
      <c r="P1126" s="4" t="s">
        <v>1517</v>
      </c>
      <c r="Q1126" s="4" t="s">
        <v>100</v>
      </c>
      <c r="R1126" s="9">
        <f t="shared" si="17"/>
        <v>6.490158121468167E-5</v>
      </c>
    </row>
    <row r="1127" spans="1:18" hidden="1" x14ac:dyDescent="0.2">
      <c r="A1127" s="4">
        <v>847</v>
      </c>
      <c r="B1127" s="2">
        <v>3236780</v>
      </c>
      <c r="C1127" s="2">
        <v>0</v>
      </c>
      <c r="D1127" s="4" t="s">
        <v>5680</v>
      </c>
      <c r="E1127" s="2">
        <v>3236780</v>
      </c>
      <c r="F1127" s="2">
        <v>614988.19999999995</v>
      </c>
      <c r="G1127" s="2">
        <v>0</v>
      </c>
      <c r="H1127" s="4">
        <v>0</v>
      </c>
      <c r="I1127" s="4">
        <v>0</v>
      </c>
      <c r="J1127" s="4">
        <v>0</v>
      </c>
      <c r="K1127" s="4">
        <v>3851768.2</v>
      </c>
      <c r="L1127" s="4" t="s">
        <v>5678</v>
      </c>
      <c r="M1127" s="4" t="s">
        <v>5679</v>
      </c>
      <c r="N1127" s="4" t="s">
        <v>695</v>
      </c>
      <c r="O1127" s="4" t="s">
        <v>67</v>
      </c>
      <c r="P1127" s="4" t="s">
        <v>67</v>
      </c>
      <c r="Q1127" s="4" t="s">
        <v>100</v>
      </c>
      <c r="R1127" s="9">
        <f t="shared" si="17"/>
        <v>6.4476410365000645E-5</v>
      </c>
    </row>
    <row r="1128" spans="1:18" hidden="1" x14ac:dyDescent="0.2">
      <c r="A1128" s="4">
        <v>190</v>
      </c>
      <c r="B1128" s="2">
        <v>3223959</v>
      </c>
      <c r="C1128" s="2">
        <v>0</v>
      </c>
      <c r="D1128" s="4" t="s">
        <v>2487</v>
      </c>
      <c r="E1128" s="2">
        <v>3223959</v>
      </c>
      <c r="F1128" s="2">
        <v>612552.21</v>
      </c>
      <c r="G1128" s="2">
        <v>0</v>
      </c>
      <c r="H1128" s="4">
        <v>0</v>
      </c>
      <c r="I1128" s="4">
        <v>0</v>
      </c>
      <c r="J1128" s="4">
        <v>0</v>
      </c>
      <c r="K1128" s="4">
        <v>3836511.21</v>
      </c>
      <c r="L1128" s="4" t="s">
        <v>2485</v>
      </c>
      <c r="M1128" s="4" t="s">
        <v>2486</v>
      </c>
      <c r="N1128" s="4" t="s">
        <v>20</v>
      </c>
      <c r="O1128" s="4" t="s">
        <v>540</v>
      </c>
      <c r="P1128" s="4" t="s">
        <v>540</v>
      </c>
      <c r="Q1128" s="4" t="s">
        <v>100</v>
      </c>
      <c r="R1128" s="9">
        <f t="shared" si="17"/>
        <v>6.422101702430721E-5</v>
      </c>
    </row>
    <row r="1129" spans="1:18" hidden="1" x14ac:dyDescent="0.2">
      <c r="A1129" s="4">
        <v>1980</v>
      </c>
      <c r="B1129" s="2">
        <v>3218234</v>
      </c>
      <c r="C1129" s="2">
        <v>0</v>
      </c>
      <c r="D1129" s="4" t="s">
        <v>3678</v>
      </c>
      <c r="E1129" s="2">
        <v>3218234</v>
      </c>
      <c r="F1129" s="2">
        <v>611464.46</v>
      </c>
      <c r="G1129" s="2">
        <v>0</v>
      </c>
      <c r="H1129" s="4">
        <v>0</v>
      </c>
      <c r="I1129" s="4">
        <v>0</v>
      </c>
      <c r="J1129" s="4">
        <v>0</v>
      </c>
      <c r="K1129" s="4">
        <v>3829698.46</v>
      </c>
      <c r="L1129" s="4" t="s">
        <v>3676</v>
      </c>
      <c r="M1129" s="4" t="s">
        <v>3677</v>
      </c>
      <c r="N1129" s="4" t="s">
        <v>272</v>
      </c>
      <c r="O1129" s="4" t="s">
        <v>89</v>
      </c>
      <c r="P1129" s="4" t="s">
        <v>89</v>
      </c>
      <c r="Q1129" s="4" t="s">
        <v>100</v>
      </c>
      <c r="R1129" s="9">
        <f t="shared" si="17"/>
        <v>6.4106975461599949E-5</v>
      </c>
    </row>
    <row r="1130" spans="1:18" hidden="1" x14ac:dyDescent="0.2">
      <c r="A1130" s="4">
        <v>916</v>
      </c>
      <c r="B1130" s="2">
        <v>3216266</v>
      </c>
      <c r="C1130" s="2">
        <v>0</v>
      </c>
      <c r="D1130" s="4" t="s">
        <v>5683</v>
      </c>
      <c r="E1130" s="2">
        <v>3216266</v>
      </c>
      <c r="F1130" s="2">
        <v>611090.54</v>
      </c>
      <c r="G1130" s="2">
        <v>0</v>
      </c>
      <c r="H1130" s="4">
        <v>0</v>
      </c>
      <c r="I1130" s="4">
        <v>0</v>
      </c>
      <c r="J1130" s="4">
        <v>0</v>
      </c>
      <c r="K1130" s="4">
        <v>3827356.54</v>
      </c>
      <c r="L1130" s="4" t="s">
        <v>5681</v>
      </c>
      <c r="M1130" s="4" t="s">
        <v>5682</v>
      </c>
      <c r="N1130" s="4" t="s">
        <v>20</v>
      </c>
      <c r="O1130" s="4" t="s">
        <v>316</v>
      </c>
      <c r="P1130" s="4" t="s">
        <v>316</v>
      </c>
      <c r="Q1130" s="4" t="s">
        <v>100</v>
      </c>
      <c r="R1130" s="9">
        <f t="shared" si="17"/>
        <v>6.4067773051921706E-5</v>
      </c>
    </row>
    <row r="1131" spans="1:18" hidden="1" x14ac:dyDescent="0.2">
      <c r="A1131" s="4">
        <v>1448</v>
      </c>
      <c r="B1131" s="2">
        <v>3211297</v>
      </c>
      <c r="C1131" s="2">
        <v>0</v>
      </c>
      <c r="D1131" s="4" t="s">
        <v>3347</v>
      </c>
      <c r="E1131" s="2">
        <v>3211297</v>
      </c>
      <c r="F1131" s="2">
        <v>610146.43000000005</v>
      </c>
      <c r="G1131" s="2">
        <v>80282.429999999993</v>
      </c>
      <c r="H1131" s="4">
        <v>0</v>
      </c>
      <c r="I1131" s="4">
        <v>0</v>
      </c>
      <c r="J1131" s="4">
        <v>80282.429999999993</v>
      </c>
      <c r="K1131" s="4">
        <v>3741161</v>
      </c>
      <c r="L1131" s="4" t="s">
        <v>3346</v>
      </c>
      <c r="M1131" s="4" t="s">
        <v>3034</v>
      </c>
      <c r="N1131" s="4" t="s">
        <v>20</v>
      </c>
      <c r="O1131" s="4" t="s">
        <v>76</v>
      </c>
      <c r="P1131" s="4" t="s">
        <v>76</v>
      </c>
      <c r="Q1131" s="4" t="s">
        <v>585</v>
      </c>
      <c r="R1131" s="9">
        <f t="shared" si="17"/>
        <v>6.3968790951468893E-5</v>
      </c>
    </row>
    <row r="1132" spans="1:18" hidden="1" x14ac:dyDescent="0.2">
      <c r="A1132" s="4">
        <v>1570</v>
      </c>
      <c r="B1132" s="2">
        <v>3210042</v>
      </c>
      <c r="C1132" s="2">
        <v>0</v>
      </c>
      <c r="D1132" s="4" t="s">
        <v>3439</v>
      </c>
      <c r="E1132" s="2">
        <v>3210042</v>
      </c>
      <c r="F1132" s="2">
        <v>609907.98</v>
      </c>
      <c r="G1132" s="2">
        <v>0</v>
      </c>
      <c r="H1132" s="4">
        <v>0</v>
      </c>
      <c r="I1132" s="4">
        <v>0</v>
      </c>
      <c r="J1132" s="4">
        <v>0</v>
      </c>
      <c r="K1132" s="4">
        <v>3819949.98</v>
      </c>
      <c r="L1132" s="4" t="s">
        <v>3437</v>
      </c>
      <c r="M1132" s="4" t="s">
        <v>3438</v>
      </c>
      <c r="N1132" s="4" t="s">
        <v>272</v>
      </c>
      <c r="O1132" s="4" t="s">
        <v>89</v>
      </c>
      <c r="P1132" s="4" t="s">
        <v>89</v>
      </c>
      <c r="Q1132" s="4" t="s">
        <v>100</v>
      </c>
      <c r="R1132" s="9">
        <f t="shared" si="17"/>
        <v>6.394379144732957E-5</v>
      </c>
    </row>
    <row r="1133" spans="1:18" hidden="1" x14ac:dyDescent="0.2">
      <c r="A1133" s="4">
        <v>1447</v>
      </c>
      <c r="B1133" s="2">
        <v>3209911</v>
      </c>
      <c r="C1133" s="2">
        <v>0</v>
      </c>
      <c r="D1133" s="4" t="s">
        <v>3035</v>
      </c>
      <c r="E1133" s="2">
        <v>3209911</v>
      </c>
      <c r="F1133" s="2">
        <v>609883.09</v>
      </c>
      <c r="G1133" s="2">
        <v>0</v>
      </c>
      <c r="H1133" s="4">
        <v>0</v>
      </c>
      <c r="I1133" s="4">
        <v>0</v>
      </c>
      <c r="J1133" s="4">
        <v>0</v>
      </c>
      <c r="K1133" s="4">
        <v>3819794.09</v>
      </c>
      <c r="L1133" s="4" t="s">
        <v>3033</v>
      </c>
      <c r="M1133" s="4" t="s">
        <v>3034</v>
      </c>
      <c r="N1133" s="4" t="s">
        <v>20</v>
      </c>
      <c r="O1133" s="4" t="s">
        <v>76</v>
      </c>
      <c r="P1133" s="4" t="s">
        <v>76</v>
      </c>
      <c r="Q1133" s="4" t="s">
        <v>585</v>
      </c>
      <c r="R1133" s="9">
        <f t="shared" si="17"/>
        <v>6.3941181937335738E-5</v>
      </c>
    </row>
    <row r="1134" spans="1:18" hidden="1" x14ac:dyDescent="0.2">
      <c r="A1134" s="4">
        <v>1493</v>
      </c>
      <c r="B1134" s="2">
        <v>3205440</v>
      </c>
      <c r="C1134" s="2">
        <v>0</v>
      </c>
      <c r="D1134" s="4" t="s">
        <v>3228</v>
      </c>
      <c r="E1134" s="2">
        <v>3205440</v>
      </c>
      <c r="F1134" s="2">
        <v>609033.6</v>
      </c>
      <c r="G1134" s="2">
        <v>0</v>
      </c>
      <c r="H1134" s="4">
        <v>0</v>
      </c>
      <c r="I1134" s="4">
        <v>0</v>
      </c>
      <c r="J1134" s="4">
        <v>0</v>
      </c>
      <c r="K1134" s="4">
        <v>3814473.6</v>
      </c>
      <c r="L1134" s="4" t="s">
        <v>3226</v>
      </c>
      <c r="M1134" s="4" t="s">
        <v>3227</v>
      </c>
      <c r="N1134" s="4" t="s">
        <v>3229</v>
      </c>
      <c r="O1134" s="4" t="s">
        <v>940</v>
      </c>
      <c r="P1134" s="4" t="s">
        <v>940</v>
      </c>
      <c r="Q1134" s="4" t="s">
        <v>100</v>
      </c>
      <c r="R1134" s="9">
        <f t="shared" si="17"/>
        <v>6.385211995884418E-5</v>
      </c>
    </row>
    <row r="1135" spans="1:18" hidden="1" x14ac:dyDescent="0.2">
      <c r="A1135" s="4">
        <v>778</v>
      </c>
      <c r="B1135" s="2">
        <v>3200886</v>
      </c>
      <c r="C1135" s="2">
        <v>0</v>
      </c>
      <c r="D1135" s="4" t="s">
        <v>3767</v>
      </c>
      <c r="E1135" s="2">
        <v>3200886</v>
      </c>
      <c r="F1135" s="2">
        <v>608168.34</v>
      </c>
      <c r="G1135" s="2">
        <v>0</v>
      </c>
      <c r="H1135" s="4">
        <v>0</v>
      </c>
      <c r="I1135" s="4">
        <v>0</v>
      </c>
      <c r="J1135" s="4">
        <v>0</v>
      </c>
      <c r="K1135" s="4">
        <v>3809054.34</v>
      </c>
      <c r="L1135" s="4" t="s">
        <v>3765</v>
      </c>
      <c r="M1135" s="4" t="s">
        <v>3766</v>
      </c>
      <c r="N1135" s="4" t="s">
        <v>20</v>
      </c>
      <c r="O1135" s="4" t="s">
        <v>1562</v>
      </c>
      <c r="P1135" s="4" t="s">
        <v>1562</v>
      </c>
      <c r="Q1135" s="4" t="s">
        <v>100</v>
      </c>
      <c r="R1135" s="9">
        <f t="shared" si="17"/>
        <v>6.376140462669241E-5</v>
      </c>
    </row>
    <row r="1136" spans="1:18" hidden="1" x14ac:dyDescent="0.2">
      <c r="A1136" s="4">
        <v>52</v>
      </c>
      <c r="B1136" s="2">
        <v>3198050</v>
      </c>
      <c r="C1136" s="2">
        <v>0</v>
      </c>
      <c r="D1136" s="4" t="s">
        <v>3934</v>
      </c>
      <c r="E1136" s="2">
        <v>3198050</v>
      </c>
      <c r="F1136" s="2">
        <v>607629.5</v>
      </c>
      <c r="G1136" s="2">
        <v>0</v>
      </c>
      <c r="H1136" s="4">
        <v>0</v>
      </c>
      <c r="I1136" s="4">
        <v>0</v>
      </c>
      <c r="J1136" s="4">
        <v>0</v>
      </c>
      <c r="K1136" s="4">
        <v>3805679.5</v>
      </c>
      <c r="L1136" s="4" t="s">
        <v>3932</v>
      </c>
      <c r="M1136" s="4" t="s">
        <v>3933</v>
      </c>
      <c r="N1136" s="4" t="s">
        <v>975</v>
      </c>
      <c r="O1136" s="4" t="s">
        <v>89</v>
      </c>
      <c r="P1136" s="4" t="s">
        <v>89</v>
      </c>
      <c r="Q1136" s="4" t="s">
        <v>100</v>
      </c>
      <c r="R1136" s="9">
        <f t="shared" si="17"/>
        <v>6.3704911723314628E-5</v>
      </c>
    </row>
    <row r="1137" spans="1:18" hidden="1" x14ac:dyDescent="0.2">
      <c r="A1137" s="4">
        <v>1038</v>
      </c>
      <c r="B1137" s="2">
        <v>3193760</v>
      </c>
      <c r="C1137" s="2">
        <v>0</v>
      </c>
      <c r="D1137" s="4" t="s">
        <v>3457</v>
      </c>
      <c r="E1137" s="2">
        <v>3193760</v>
      </c>
      <c r="F1137" s="2">
        <v>606814.4</v>
      </c>
      <c r="G1137" s="2">
        <v>0</v>
      </c>
      <c r="H1137" s="4">
        <v>0</v>
      </c>
      <c r="I1137" s="4">
        <v>0</v>
      </c>
      <c r="J1137" s="4">
        <v>0</v>
      </c>
      <c r="K1137" s="4">
        <v>3800574.4</v>
      </c>
      <c r="L1137" s="4" t="s">
        <v>3455</v>
      </c>
      <c r="M1137" s="4" t="s">
        <v>3456</v>
      </c>
      <c r="N1137" s="4" t="s">
        <v>332</v>
      </c>
      <c r="O1137" s="4" t="s">
        <v>1127</v>
      </c>
      <c r="P1137" s="4" t="s">
        <v>1127</v>
      </c>
      <c r="Q1137" s="4" t="s">
        <v>100</v>
      </c>
      <c r="R1137" s="9">
        <f t="shared" si="17"/>
        <v>6.3619455250997736E-5</v>
      </c>
    </row>
    <row r="1138" spans="1:18" hidden="1" x14ac:dyDescent="0.2">
      <c r="A1138" s="4">
        <v>1606</v>
      </c>
      <c r="B1138" s="2">
        <v>3192575</v>
      </c>
      <c r="C1138" s="2">
        <v>0</v>
      </c>
      <c r="D1138" s="4" t="s">
        <v>3764</v>
      </c>
      <c r="E1138" s="2">
        <v>3192575</v>
      </c>
      <c r="F1138" s="2">
        <v>606589.25</v>
      </c>
      <c r="G1138" s="2">
        <v>76181.98</v>
      </c>
      <c r="H1138" s="4">
        <v>0</v>
      </c>
      <c r="I1138" s="4">
        <v>0</v>
      </c>
      <c r="J1138" s="4">
        <v>76181.98</v>
      </c>
      <c r="K1138" s="4">
        <v>3722982.27</v>
      </c>
      <c r="L1138" s="4" t="s">
        <v>3762</v>
      </c>
      <c r="M1138" s="4" t="s">
        <v>3763</v>
      </c>
      <c r="N1138" s="4" t="s">
        <v>20</v>
      </c>
      <c r="O1138" s="4" t="s">
        <v>1043</v>
      </c>
      <c r="P1138" s="4" t="s">
        <v>1043</v>
      </c>
      <c r="Q1138" s="4" t="s">
        <v>100</v>
      </c>
      <c r="R1138" s="9">
        <f t="shared" si="17"/>
        <v>6.3595850141511608E-5</v>
      </c>
    </row>
    <row r="1139" spans="1:18" hidden="1" x14ac:dyDescent="0.2">
      <c r="A1139" s="4">
        <v>490</v>
      </c>
      <c r="B1139" s="2">
        <v>3183821</v>
      </c>
      <c r="C1139" s="2">
        <v>0</v>
      </c>
      <c r="D1139" s="4" t="s">
        <v>3133</v>
      </c>
      <c r="E1139" s="2">
        <v>3183821</v>
      </c>
      <c r="F1139" s="2">
        <v>604925.99</v>
      </c>
      <c r="G1139" s="2">
        <v>0</v>
      </c>
      <c r="H1139" s="4">
        <v>0</v>
      </c>
      <c r="I1139" s="4">
        <v>0</v>
      </c>
      <c r="J1139" s="4">
        <v>0</v>
      </c>
      <c r="K1139" s="4">
        <v>3788746.99</v>
      </c>
      <c r="L1139" s="4" t="s">
        <v>3131</v>
      </c>
      <c r="M1139" s="4" t="s">
        <v>3132</v>
      </c>
      <c r="N1139" s="4" t="s">
        <v>20</v>
      </c>
      <c r="O1139" s="4" t="s">
        <v>1549</v>
      </c>
      <c r="P1139" s="4" t="s">
        <v>1549</v>
      </c>
      <c r="Q1139" s="4" t="s">
        <v>100</v>
      </c>
      <c r="R1139" s="9">
        <f t="shared" si="17"/>
        <v>6.3421471130168476E-5</v>
      </c>
    </row>
    <row r="1140" spans="1:18" hidden="1" x14ac:dyDescent="0.2">
      <c r="A1140" s="4">
        <v>1219</v>
      </c>
      <c r="B1140" s="2">
        <v>3178765</v>
      </c>
      <c r="C1140" s="2">
        <v>0</v>
      </c>
      <c r="D1140" s="4" t="s">
        <v>5686</v>
      </c>
      <c r="E1140" s="2">
        <v>3178765</v>
      </c>
      <c r="F1140" s="2">
        <v>603965.35</v>
      </c>
      <c r="G1140" s="2">
        <v>40126.5</v>
      </c>
      <c r="H1140" s="4">
        <v>0</v>
      </c>
      <c r="I1140" s="4">
        <v>0</v>
      </c>
      <c r="J1140" s="4">
        <v>40126.5</v>
      </c>
      <c r="K1140" s="4">
        <v>3742603.85</v>
      </c>
      <c r="L1140" s="4" t="s">
        <v>5684</v>
      </c>
      <c r="M1140" s="4" t="s">
        <v>5685</v>
      </c>
      <c r="N1140" s="4" t="s">
        <v>20</v>
      </c>
      <c r="O1140" s="4" t="s">
        <v>631</v>
      </c>
      <c r="P1140" s="4" t="s">
        <v>631</v>
      </c>
      <c r="Q1140" s="4" t="s">
        <v>100</v>
      </c>
      <c r="R1140" s="9">
        <f t="shared" si="17"/>
        <v>6.3320755996360969E-5</v>
      </c>
    </row>
    <row r="1141" spans="1:18" hidden="1" x14ac:dyDescent="0.2">
      <c r="A1141" s="4">
        <v>516</v>
      </c>
      <c r="B1141" s="2">
        <v>3157956</v>
      </c>
      <c r="C1141" s="2">
        <v>0</v>
      </c>
      <c r="D1141" s="4" t="s">
        <v>2665</v>
      </c>
      <c r="E1141" s="2">
        <v>3157956</v>
      </c>
      <c r="F1141" s="2">
        <v>600011.64</v>
      </c>
      <c r="G1141" s="2">
        <v>0</v>
      </c>
      <c r="H1141" s="4">
        <v>0</v>
      </c>
      <c r="I1141" s="4">
        <v>0</v>
      </c>
      <c r="J1141" s="4">
        <v>0</v>
      </c>
      <c r="K1141" s="4">
        <v>3757967.64</v>
      </c>
      <c r="L1141" s="4" t="s">
        <v>2663</v>
      </c>
      <c r="M1141" s="4" t="s">
        <v>2664</v>
      </c>
      <c r="N1141" s="4" t="s">
        <v>20</v>
      </c>
      <c r="O1141" s="4" t="s">
        <v>631</v>
      </c>
      <c r="P1141" s="4" t="s">
        <v>631</v>
      </c>
      <c r="Q1141" s="4" t="s">
        <v>100</v>
      </c>
      <c r="R1141" s="9">
        <f t="shared" si="17"/>
        <v>6.2906242305815031E-5</v>
      </c>
    </row>
    <row r="1142" spans="1:18" hidden="1" x14ac:dyDescent="0.2">
      <c r="A1142" s="4">
        <v>1981</v>
      </c>
      <c r="B1142" s="2">
        <v>3147229</v>
      </c>
      <c r="C1142" s="2">
        <v>0</v>
      </c>
      <c r="D1142" s="4" t="s">
        <v>3069</v>
      </c>
      <c r="E1142" s="2">
        <v>3147229</v>
      </c>
      <c r="F1142" s="2">
        <v>597973.51</v>
      </c>
      <c r="G1142" s="2">
        <v>0</v>
      </c>
      <c r="H1142" s="4">
        <v>0</v>
      </c>
      <c r="I1142" s="4">
        <v>0</v>
      </c>
      <c r="J1142" s="4">
        <v>0</v>
      </c>
      <c r="K1142" s="4">
        <v>3745202.51</v>
      </c>
      <c r="L1142" s="4" t="s">
        <v>3067</v>
      </c>
      <c r="M1142" s="4" t="s">
        <v>3068</v>
      </c>
      <c r="N1142" s="4" t="s">
        <v>20</v>
      </c>
      <c r="O1142" s="4" t="s">
        <v>316</v>
      </c>
      <c r="P1142" s="4" t="s">
        <v>316</v>
      </c>
      <c r="Q1142" s="4" t="s">
        <v>100</v>
      </c>
      <c r="R1142" s="9">
        <f t="shared" si="17"/>
        <v>6.269256128517558E-5</v>
      </c>
    </row>
    <row r="1143" spans="1:18" hidden="1" x14ac:dyDescent="0.2">
      <c r="A1143" s="4">
        <v>63</v>
      </c>
      <c r="B1143" s="2">
        <v>3138241</v>
      </c>
      <c r="C1143" s="2">
        <v>0</v>
      </c>
      <c r="D1143" s="4" t="s">
        <v>3318</v>
      </c>
      <c r="E1143" s="2">
        <v>3138241</v>
      </c>
      <c r="F1143" s="2">
        <v>596265.79</v>
      </c>
      <c r="G1143" s="2">
        <v>0</v>
      </c>
      <c r="H1143" s="4">
        <v>0</v>
      </c>
      <c r="I1143" s="4">
        <v>0</v>
      </c>
      <c r="J1143" s="4">
        <v>0</v>
      </c>
      <c r="K1143" s="4">
        <v>3734506.79</v>
      </c>
      <c r="L1143" s="4" t="s">
        <v>3316</v>
      </c>
      <c r="M1143" s="4" t="s">
        <v>3317</v>
      </c>
      <c r="N1143" s="4" t="s">
        <v>20</v>
      </c>
      <c r="O1143" s="4" t="s">
        <v>631</v>
      </c>
      <c r="P1143" s="4" t="s">
        <v>631</v>
      </c>
      <c r="Q1143" s="4" t="s">
        <v>100</v>
      </c>
      <c r="R1143" s="9">
        <f t="shared" si="17"/>
        <v>6.2513521011706071E-5</v>
      </c>
    </row>
    <row r="1144" spans="1:18" hidden="1" x14ac:dyDescent="0.2">
      <c r="A1144" s="4">
        <v>412</v>
      </c>
      <c r="B1144" s="2">
        <v>3132126</v>
      </c>
      <c r="C1144" s="2">
        <v>0</v>
      </c>
      <c r="D1144" s="4" t="s">
        <v>3644</v>
      </c>
      <c r="E1144" s="2">
        <v>3132126</v>
      </c>
      <c r="F1144" s="2">
        <v>595103.93999999994</v>
      </c>
      <c r="G1144" s="2">
        <v>0</v>
      </c>
      <c r="H1144" s="4">
        <v>0</v>
      </c>
      <c r="I1144" s="4">
        <v>0</v>
      </c>
      <c r="J1144" s="4">
        <v>0</v>
      </c>
      <c r="K1144" s="4">
        <v>3727229.94</v>
      </c>
      <c r="L1144" s="4" t="s">
        <v>3642</v>
      </c>
      <c r="M1144" s="4" t="s">
        <v>3643</v>
      </c>
      <c r="N1144" s="4" t="s">
        <v>20</v>
      </c>
      <c r="O1144" s="4" t="s">
        <v>316</v>
      </c>
      <c r="P1144" s="4" t="s">
        <v>316</v>
      </c>
      <c r="Q1144" s="4" t="s">
        <v>100</v>
      </c>
      <c r="R1144" s="9">
        <f t="shared" si="17"/>
        <v>6.2391710678788177E-5</v>
      </c>
    </row>
    <row r="1145" spans="1:18" hidden="1" x14ac:dyDescent="0.2">
      <c r="A1145" s="4">
        <v>399</v>
      </c>
      <c r="B1145" s="2">
        <v>3118484</v>
      </c>
      <c r="C1145" s="2">
        <v>0</v>
      </c>
      <c r="D1145" s="4" t="s">
        <v>3557</v>
      </c>
      <c r="E1145" s="2">
        <v>3118484</v>
      </c>
      <c r="F1145" s="2">
        <v>592511.96</v>
      </c>
      <c r="G1145" s="2">
        <v>74473.41</v>
      </c>
      <c r="H1145" s="4">
        <v>0</v>
      </c>
      <c r="I1145" s="4">
        <v>0</v>
      </c>
      <c r="J1145" s="4">
        <v>74473.41</v>
      </c>
      <c r="K1145" s="4">
        <v>3636522.55</v>
      </c>
      <c r="L1145" s="4" t="s">
        <v>3555</v>
      </c>
      <c r="M1145" s="4" t="s">
        <v>3556</v>
      </c>
      <c r="N1145" s="4" t="s">
        <v>20</v>
      </c>
      <c r="O1145" s="4" t="s">
        <v>540</v>
      </c>
      <c r="P1145" s="4" t="s">
        <v>540</v>
      </c>
      <c r="Q1145" s="4" t="s">
        <v>100</v>
      </c>
      <c r="R1145" s="9">
        <f t="shared" si="17"/>
        <v>6.2119963080805202E-5</v>
      </c>
    </row>
    <row r="1146" spans="1:18" hidden="1" x14ac:dyDescent="0.2">
      <c r="A1146" s="4">
        <v>87</v>
      </c>
      <c r="B1146" s="2">
        <v>3104662</v>
      </c>
      <c r="C1146" s="2">
        <v>0</v>
      </c>
      <c r="D1146" s="4" t="s">
        <v>4398</v>
      </c>
      <c r="E1146" s="2">
        <v>3104662</v>
      </c>
      <c r="F1146" s="2">
        <v>589885.78</v>
      </c>
      <c r="G1146" s="2">
        <v>0</v>
      </c>
      <c r="H1146" s="4">
        <v>0</v>
      </c>
      <c r="I1146" s="4">
        <v>0</v>
      </c>
      <c r="J1146" s="4">
        <v>0</v>
      </c>
      <c r="K1146" s="4">
        <v>3694547.78</v>
      </c>
      <c r="L1146" s="4" t="s">
        <v>4396</v>
      </c>
      <c r="M1146" s="4" t="s">
        <v>4397</v>
      </c>
      <c r="N1146" s="4" t="s">
        <v>20</v>
      </c>
      <c r="O1146" s="4" t="s">
        <v>257</v>
      </c>
      <c r="P1146" s="4" t="s">
        <v>257</v>
      </c>
      <c r="Q1146" s="4" t="s">
        <v>100</v>
      </c>
      <c r="R1146" s="9">
        <f t="shared" si="17"/>
        <v>6.1844629896571168E-5</v>
      </c>
    </row>
    <row r="1147" spans="1:18" hidden="1" x14ac:dyDescent="0.2">
      <c r="A1147" s="4">
        <v>191</v>
      </c>
      <c r="B1147" s="2">
        <v>3092736</v>
      </c>
      <c r="C1147" s="2">
        <v>0</v>
      </c>
      <c r="D1147" s="4" t="s">
        <v>3488</v>
      </c>
      <c r="E1147" s="2">
        <v>3092736</v>
      </c>
      <c r="F1147" s="2">
        <v>587619.83999999997</v>
      </c>
      <c r="G1147" s="2">
        <v>0</v>
      </c>
      <c r="H1147" s="4">
        <v>0</v>
      </c>
      <c r="I1147" s="4">
        <v>0</v>
      </c>
      <c r="J1147" s="4">
        <v>0</v>
      </c>
      <c r="K1147" s="4">
        <v>3680355.84</v>
      </c>
      <c r="L1147" s="4" t="s">
        <v>3486</v>
      </c>
      <c r="M1147" s="4" t="s">
        <v>3487</v>
      </c>
      <c r="N1147" s="4" t="s">
        <v>746</v>
      </c>
      <c r="O1147" s="4" t="s">
        <v>747</v>
      </c>
      <c r="P1147" s="4" t="s">
        <v>747</v>
      </c>
      <c r="Q1147" s="4" t="s">
        <v>100</v>
      </c>
      <c r="R1147" s="9">
        <f t="shared" si="17"/>
        <v>6.1607064887514939E-5</v>
      </c>
    </row>
    <row r="1148" spans="1:18" hidden="1" x14ac:dyDescent="0.2">
      <c r="A1148" s="4">
        <v>611</v>
      </c>
      <c r="B1148" s="2">
        <v>3081194</v>
      </c>
      <c r="C1148" s="2">
        <v>0</v>
      </c>
      <c r="D1148" s="4" t="s">
        <v>3309</v>
      </c>
      <c r="E1148" s="2">
        <v>3081194</v>
      </c>
      <c r="F1148" s="2">
        <v>585426.86</v>
      </c>
      <c r="G1148" s="2">
        <v>0</v>
      </c>
      <c r="H1148" s="4">
        <v>0</v>
      </c>
      <c r="I1148" s="4">
        <v>0</v>
      </c>
      <c r="J1148" s="4">
        <v>0</v>
      </c>
      <c r="K1148" s="4">
        <v>3666620.86</v>
      </c>
      <c r="L1148" s="4" t="s">
        <v>3307</v>
      </c>
      <c r="M1148" s="4" t="s">
        <v>3308</v>
      </c>
      <c r="N1148" s="4" t="s">
        <v>368</v>
      </c>
      <c r="O1148" s="4" t="s">
        <v>76</v>
      </c>
      <c r="P1148" s="4" t="s">
        <v>76</v>
      </c>
      <c r="Q1148" s="4" t="s">
        <v>408</v>
      </c>
      <c r="R1148" s="9">
        <f t="shared" si="17"/>
        <v>6.1377149129127645E-5</v>
      </c>
    </row>
    <row r="1149" spans="1:18" hidden="1" x14ac:dyDescent="0.2">
      <c r="A1149" s="4">
        <v>1213</v>
      </c>
      <c r="B1149" s="2">
        <v>3069583</v>
      </c>
      <c r="C1149" s="2">
        <v>0</v>
      </c>
      <c r="D1149" s="4" t="s">
        <v>3297</v>
      </c>
      <c r="E1149" s="2">
        <v>3069583</v>
      </c>
      <c r="F1149" s="2">
        <v>583220.77</v>
      </c>
      <c r="G1149" s="2">
        <v>0</v>
      </c>
      <c r="H1149" s="4">
        <v>0</v>
      </c>
      <c r="I1149" s="4">
        <v>0</v>
      </c>
      <c r="J1149" s="4">
        <v>0</v>
      </c>
      <c r="K1149" s="4">
        <v>3652803.77</v>
      </c>
      <c r="L1149" s="4" t="s">
        <v>3295</v>
      </c>
      <c r="M1149" s="4" t="s">
        <v>3296</v>
      </c>
      <c r="N1149" s="4" t="s">
        <v>20</v>
      </c>
      <c r="O1149" s="4" t="s">
        <v>257</v>
      </c>
      <c r="P1149" s="4" t="s">
        <v>257</v>
      </c>
      <c r="Q1149" s="4" t="s">
        <v>100</v>
      </c>
      <c r="R1149" s="9">
        <f t="shared" si="17"/>
        <v>6.1145858896010776E-5</v>
      </c>
    </row>
    <row r="1150" spans="1:18" hidden="1" x14ac:dyDescent="0.2">
      <c r="A1150" s="4">
        <v>1017</v>
      </c>
      <c r="B1150" s="2">
        <v>3069119</v>
      </c>
      <c r="C1150" s="2">
        <v>0</v>
      </c>
      <c r="D1150" s="4" t="s">
        <v>3096</v>
      </c>
      <c r="E1150" s="2">
        <v>3069119</v>
      </c>
      <c r="F1150" s="2">
        <v>583132.61</v>
      </c>
      <c r="G1150" s="2">
        <v>0</v>
      </c>
      <c r="H1150" s="4">
        <v>0</v>
      </c>
      <c r="I1150" s="4">
        <v>0</v>
      </c>
      <c r="J1150" s="4">
        <v>0</v>
      </c>
      <c r="K1150" s="4">
        <v>3652251.61</v>
      </c>
      <c r="L1150" s="4" t="s">
        <v>3094</v>
      </c>
      <c r="M1150" s="4" t="s">
        <v>3095</v>
      </c>
      <c r="N1150" s="4" t="s">
        <v>20</v>
      </c>
      <c r="O1150" s="4" t="s">
        <v>316</v>
      </c>
      <c r="P1150" s="4" t="s">
        <v>316</v>
      </c>
      <c r="Q1150" s="4" t="s">
        <v>100</v>
      </c>
      <c r="R1150" s="9">
        <f t="shared" si="17"/>
        <v>6.1136616051452492E-5</v>
      </c>
    </row>
    <row r="1151" spans="1:18" hidden="1" x14ac:dyDescent="0.2">
      <c r="A1151" s="4">
        <v>1479</v>
      </c>
      <c r="B1151" s="2">
        <v>3058992</v>
      </c>
      <c r="C1151" s="2">
        <v>0</v>
      </c>
      <c r="D1151" s="4" t="s">
        <v>4161</v>
      </c>
      <c r="E1151" s="2">
        <v>3058992</v>
      </c>
      <c r="F1151" s="2">
        <v>581208.48</v>
      </c>
      <c r="G1151" s="2">
        <v>0</v>
      </c>
      <c r="H1151" s="4">
        <v>0</v>
      </c>
      <c r="I1151" s="4">
        <v>0</v>
      </c>
      <c r="J1151" s="4">
        <v>0</v>
      </c>
      <c r="K1151" s="4">
        <v>3640200.48</v>
      </c>
      <c r="L1151" s="4" t="s">
        <v>4159</v>
      </c>
      <c r="M1151" s="4" t="s">
        <v>4160</v>
      </c>
      <c r="N1151" s="4" t="s">
        <v>293</v>
      </c>
      <c r="O1151" s="4" t="s">
        <v>229</v>
      </c>
      <c r="P1151" s="4" t="s">
        <v>229</v>
      </c>
      <c r="Q1151" s="4" t="s">
        <v>100</v>
      </c>
      <c r="R1151" s="9">
        <f t="shared" si="17"/>
        <v>6.093488698498324E-5</v>
      </c>
    </row>
    <row r="1152" spans="1:18" hidden="1" x14ac:dyDescent="0.2">
      <c r="A1152" s="4">
        <v>325</v>
      </c>
      <c r="B1152" s="2">
        <v>3044052</v>
      </c>
      <c r="C1152" s="2">
        <v>0</v>
      </c>
      <c r="D1152" s="4" t="s">
        <v>5689</v>
      </c>
      <c r="E1152" s="2">
        <v>3044052</v>
      </c>
      <c r="F1152" s="2">
        <v>578369.88</v>
      </c>
      <c r="G1152" s="2">
        <v>0</v>
      </c>
      <c r="H1152" s="4">
        <v>0</v>
      </c>
      <c r="I1152" s="4">
        <v>0</v>
      </c>
      <c r="J1152" s="4">
        <v>0</v>
      </c>
      <c r="K1152" s="4">
        <v>3622421.88</v>
      </c>
      <c r="L1152" s="4" t="s">
        <v>5687</v>
      </c>
      <c r="M1152" s="4" t="s">
        <v>5688</v>
      </c>
      <c r="N1152" s="4" t="s">
        <v>142</v>
      </c>
      <c r="O1152" s="4" t="s">
        <v>340</v>
      </c>
      <c r="P1152" s="4" t="s">
        <v>340</v>
      </c>
      <c r="Q1152" s="4" t="s">
        <v>100</v>
      </c>
      <c r="R1152" s="9">
        <f t="shared" si="17"/>
        <v>6.0637283326145405E-5</v>
      </c>
    </row>
    <row r="1153" spans="1:18" hidden="1" x14ac:dyDescent="0.2">
      <c r="A1153" s="4">
        <v>565</v>
      </c>
      <c r="B1153" s="2">
        <v>3042848</v>
      </c>
      <c r="C1153" s="2">
        <v>0</v>
      </c>
      <c r="D1153" s="4" t="s">
        <v>4101</v>
      </c>
      <c r="E1153" s="2">
        <v>3042848</v>
      </c>
      <c r="F1153" s="2">
        <v>578141.12</v>
      </c>
      <c r="G1153" s="2">
        <v>0</v>
      </c>
      <c r="H1153" s="4">
        <v>0</v>
      </c>
      <c r="I1153" s="4">
        <v>0</v>
      </c>
      <c r="J1153" s="4">
        <v>0</v>
      </c>
      <c r="K1153" s="4">
        <v>3620989.12</v>
      </c>
      <c r="L1153" s="4" t="s">
        <v>4099</v>
      </c>
      <c r="M1153" s="4" t="s">
        <v>4100</v>
      </c>
      <c r="N1153" s="4" t="s">
        <v>20</v>
      </c>
      <c r="O1153" s="4" t="s">
        <v>71</v>
      </c>
      <c r="P1153" s="4" t="s">
        <v>71</v>
      </c>
      <c r="Q1153" s="4" t="s">
        <v>100</v>
      </c>
      <c r="R1153" s="9">
        <f t="shared" si="17"/>
        <v>6.061329973811055E-5</v>
      </c>
    </row>
    <row r="1154" spans="1:18" hidden="1" x14ac:dyDescent="0.2">
      <c r="A1154" s="4">
        <v>1481</v>
      </c>
      <c r="B1154" s="2">
        <v>3009062</v>
      </c>
      <c r="C1154" s="2">
        <v>0</v>
      </c>
      <c r="D1154" s="4" t="s">
        <v>4110</v>
      </c>
      <c r="E1154" s="2">
        <v>3009062</v>
      </c>
      <c r="F1154" s="2">
        <v>571721.78</v>
      </c>
      <c r="G1154" s="2">
        <v>0</v>
      </c>
      <c r="H1154" s="4">
        <v>0</v>
      </c>
      <c r="I1154" s="4">
        <v>0</v>
      </c>
      <c r="J1154" s="4">
        <v>0</v>
      </c>
      <c r="K1154" s="4">
        <v>3580783.78</v>
      </c>
      <c r="L1154" s="4" t="s">
        <v>4108</v>
      </c>
      <c r="M1154" s="4" t="s">
        <v>4109</v>
      </c>
      <c r="N1154" s="4" t="s">
        <v>20</v>
      </c>
      <c r="O1154" s="4" t="s">
        <v>257</v>
      </c>
      <c r="P1154" s="4" t="s">
        <v>257</v>
      </c>
      <c r="Q1154" s="4" t="s">
        <v>100</v>
      </c>
      <c r="R1154" s="9">
        <f t="shared" si="17"/>
        <v>5.9940285198786928E-5</v>
      </c>
    </row>
    <row r="1155" spans="1:18" hidden="1" x14ac:dyDescent="0.2">
      <c r="A1155" s="4">
        <v>1946</v>
      </c>
      <c r="B1155" s="2">
        <v>3005647</v>
      </c>
      <c r="C1155" s="2">
        <v>0</v>
      </c>
      <c r="D1155" s="4" t="s">
        <v>3516</v>
      </c>
      <c r="E1155" s="2">
        <v>3005647</v>
      </c>
      <c r="F1155" s="2">
        <v>571072.93000000005</v>
      </c>
      <c r="G1155" s="2">
        <v>0</v>
      </c>
      <c r="H1155" s="4">
        <v>0</v>
      </c>
      <c r="I1155" s="4">
        <v>0</v>
      </c>
      <c r="J1155" s="4">
        <v>0</v>
      </c>
      <c r="K1155" s="4">
        <v>3576719.93</v>
      </c>
      <c r="L1155" s="4" t="s">
        <v>3514</v>
      </c>
      <c r="M1155" s="4" t="s">
        <v>3515</v>
      </c>
      <c r="N1155" s="4" t="s">
        <v>20</v>
      </c>
      <c r="O1155" s="4" t="s">
        <v>316</v>
      </c>
      <c r="P1155" s="4" t="s">
        <v>316</v>
      </c>
      <c r="Q1155" s="4" t="s">
        <v>100</v>
      </c>
      <c r="R1155" s="9">
        <f t="shared" ref="R1155:R1218" si="18">E1155/$E$2034</f>
        <v>5.9872258659634908E-5</v>
      </c>
    </row>
    <row r="1156" spans="1:18" hidden="1" x14ac:dyDescent="0.2">
      <c r="A1156" s="4">
        <v>1779</v>
      </c>
      <c r="B1156" s="2">
        <v>3003472</v>
      </c>
      <c r="C1156" s="2">
        <v>11437.68</v>
      </c>
      <c r="D1156" s="4" t="s">
        <v>4431</v>
      </c>
      <c r="E1156" s="2">
        <v>2992034.32</v>
      </c>
      <c r="F1156" s="2">
        <v>568486.52</v>
      </c>
      <c r="G1156" s="2">
        <v>0</v>
      </c>
      <c r="H1156" s="4">
        <v>0</v>
      </c>
      <c r="I1156" s="4">
        <v>0</v>
      </c>
      <c r="J1156" s="4">
        <v>0</v>
      </c>
      <c r="K1156" s="4">
        <v>3560520.84</v>
      </c>
      <c r="L1156" s="4" t="s">
        <v>4429</v>
      </c>
      <c r="M1156" s="4" t="s">
        <v>4430</v>
      </c>
      <c r="N1156" s="4" t="s">
        <v>20</v>
      </c>
      <c r="O1156" s="4" t="s">
        <v>2863</v>
      </c>
      <c r="P1156" s="4" t="s">
        <v>2863</v>
      </c>
      <c r="Q1156" s="4" t="s">
        <v>100</v>
      </c>
      <c r="R1156" s="9">
        <f t="shared" si="18"/>
        <v>5.9601095113812382E-5</v>
      </c>
    </row>
    <row r="1157" spans="1:18" hidden="1" x14ac:dyDescent="0.2">
      <c r="A1157" s="4">
        <v>1477</v>
      </c>
      <c r="B1157" s="2">
        <v>2944867</v>
      </c>
      <c r="C1157" s="2">
        <v>0</v>
      </c>
      <c r="D1157" s="4" t="s">
        <v>3617</v>
      </c>
      <c r="E1157" s="2">
        <v>2944867</v>
      </c>
      <c r="F1157" s="2">
        <v>559524.73</v>
      </c>
      <c r="G1157" s="2">
        <v>0</v>
      </c>
      <c r="H1157" s="4">
        <v>0</v>
      </c>
      <c r="I1157" s="4">
        <v>0</v>
      </c>
      <c r="J1157" s="4">
        <v>0</v>
      </c>
      <c r="K1157" s="4">
        <v>3504391.73</v>
      </c>
      <c r="L1157" s="4" t="s">
        <v>3615</v>
      </c>
      <c r="M1157" s="4" t="s">
        <v>3616</v>
      </c>
      <c r="N1157" s="4" t="s">
        <v>20</v>
      </c>
      <c r="O1157" s="4" t="s">
        <v>316</v>
      </c>
      <c r="P1157" s="4" t="s">
        <v>316</v>
      </c>
      <c r="Q1157" s="4" t="s">
        <v>100</v>
      </c>
      <c r="R1157" s="9">
        <f t="shared" si="18"/>
        <v>5.866152570219426E-5</v>
      </c>
    </row>
    <row r="1158" spans="1:18" hidden="1" x14ac:dyDescent="0.2">
      <c r="A1158" s="4">
        <v>899</v>
      </c>
      <c r="B1158" s="2">
        <v>2924806</v>
      </c>
      <c r="C1158" s="2">
        <v>0</v>
      </c>
      <c r="D1158" s="4" t="s">
        <v>3509</v>
      </c>
      <c r="E1158" s="2">
        <v>2924806</v>
      </c>
      <c r="F1158" s="2">
        <v>555713.14</v>
      </c>
      <c r="G1158" s="2">
        <v>0</v>
      </c>
      <c r="H1158" s="4">
        <v>0</v>
      </c>
      <c r="I1158" s="4">
        <v>0</v>
      </c>
      <c r="J1158" s="4">
        <v>0</v>
      </c>
      <c r="K1158" s="4">
        <v>3480519.14</v>
      </c>
      <c r="L1158" s="4" t="s">
        <v>3507</v>
      </c>
      <c r="M1158" s="4" t="s">
        <v>3508</v>
      </c>
      <c r="N1158" s="4" t="s">
        <v>20</v>
      </c>
      <c r="O1158" s="4" t="s">
        <v>372</v>
      </c>
      <c r="P1158" s="4" t="s">
        <v>540</v>
      </c>
      <c r="Q1158" s="4" t="s">
        <v>100</v>
      </c>
      <c r="R1158" s="9">
        <f t="shared" si="18"/>
        <v>5.8261912114513825E-5</v>
      </c>
    </row>
    <row r="1159" spans="1:18" hidden="1" x14ac:dyDescent="0.2">
      <c r="A1159" s="4">
        <v>1780</v>
      </c>
      <c r="B1159" s="2">
        <v>2924310</v>
      </c>
      <c r="C1159" s="2">
        <v>0</v>
      </c>
      <c r="D1159" s="4" t="s">
        <v>2520</v>
      </c>
      <c r="E1159" s="2">
        <v>2924310</v>
      </c>
      <c r="F1159" s="2">
        <v>555618.9</v>
      </c>
      <c r="G1159" s="2">
        <v>0</v>
      </c>
      <c r="H1159" s="4">
        <v>0</v>
      </c>
      <c r="I1159" s="4">
        <v>0</v>
      </c>
      <c r="J1159" s="4">
        <v>0</v>
      </c>
      <c r="K1159" s="4">
        <v>3479928.9</v>
      </c>
      <c r="L1159" s="4" t="s">
        <v>2518</v>
      </c>
      <c r="M1159" s="4" t="s">
        <v>2519</v>
      </c>
      <c r="N1159" s="4" t="s">
        <v>20</v>
      </c>
      <c r="O1159" s="4" t="s">
        <v>631</v>
      </c>
      <c r="P1159" s="4" t="s">
        <v>631</v>
      </c>
      <c r="Q1159" s="4" t="s">
        <v>100</v>
      </c>
      <c r="R1159" s="9">
        <f t="shared" si="18"/>
        <v>5.8252031832399798E-5</v>
      </c>
    </row>
    <row r="1160" spans="1:18" hidden="1" x14ac:dyDescent="0.2">
      <c r="A1160" s="4">
        <v>1858</v>
      </c>
      <c r="B1160" s="2">
        <v>2902594</v>
      </c>
      <c r="C1160" s="2">
        <v>0</v>
      </c>
      <c r="D1160" s="4" t="s">
        <v>5692</v>
      </c>
      <c r="E1160" s="2">
        <v>2902594</v>
      </c>
      <c r="F1160" s="2">
        <v>551492.86</v>
      </c>
      <c r="G1160" s="2">
        <v>0</v>
      </c>
      <c r="H1160" s="4">
        <v>0</v>
      </c>
      <c r="I1160" s="4">
        <v>0</v>
      </c>
      <c r="J1160" s="4">
        <v>0</v>
      </c>
      <c r="K1160" s="4">
        <v>3454086.86</v>
      </c>
      <c r="L1160" s="4" t="s">
        <v>5690</v>
      </c>
      <c r="M1160" s="4" t="s">
        <v>5691</v>
      </c>
      <c r="N1160" s="4" t="s">
        <v>302</v>
      </c>
      <c r="O1160" s="4" t="s">
        <v>1277</v>
      </c>
      <c r="P1160" s="4" t="s">
        <v>1277</v>
      </c>
      <c r="Q1160" s="4" t="s">
        <v>100</v>
      </c>
      <c r="R1160" s="9">
        <f t="shared" si="18"/>
        <v>5.7819450771133246E-5</v>
      </c>
    </row>
    <row r="1161" spans="1:18" hidden="1" x14ac:dyDescent="0.2">
      <c r="A1161" s="4">
        <v>246</v>
      </c>
      <c r="B1161" s="2">
        <v>2876537</v>
      </c>
      <c r="C1161" s="2">
        <v>0</v>
      </c>
      <c r="D1161" s="4" t="s">
        <v>4712</v>
      </c>
      <c r="E1161" s="2">
        <v>2876537</v>
      </c>
      <c r="F1161" s="2">
        <v>546542.03</v>
      </c>
      <c r="G1161" s="2">
        <v>0</v>
      </c>
      <c r="H1161" s="4">
        <v>0</v>
      </c>
      <c r="I1161" s="4">
        <v>0</v>
      </c>
      <c r="J1161" s="4">
        <v>0</v>
      </c>
      <c r="K1161" s="4">
        <v>3423079.03</v>
      </c>
      <c r="L1161" s="4" t="s">
        <v>4710</v>
      </c>
      <c r="M1161" s="4" t="s">
        <v>4711</v>
      </c>
      <c r="N1161" s="4" t="s">
        <v>20</v>
      </c>
      <c r="O1161" s="4" t="s">
        <v>1549</v>
      </c>
      <c r="P1161" s="4" t="s">
        <v>1549</v>
      </c>
      <c r="Q1161" s="4" t="s">
        <v>100</v>
      </c>
      <c r="R1161" s="9">
        <f t="shared" si="18"/>
        <v>5.730039732144534E-5</v>
      </c>
    </row>
    <row r="1162" spans="1:18" hidden="1" x14ac:dyDescent="0.2">
      <c r="A1162" s="4">
        <v>332</v>
      </c>
      <c r="B1162" s="2">
        <v>2873764</v>
      </c>
      <c r="C1162" s="2">
        <v>0</v>
      </c>
      <c r="D1162" s="4" t="s">
        <v>4340</v>
      </c>
      <c r="E1162" s="2">
        <v>2873764</v>
      </c>
      <c r="F1162" s="2">
        <v>546015.16</v>
      </c>
      <c r="G1162" s="2">
        <v>0</v>
      </c>
      <c r="H1162" s="4">
        <v>0</v>
      </c>
      <c r="I1162" s="4">
        <v>0</v>
      </c>
      <c r="J1162" s="4">
        <v>0</v>
      </c>
      <c r="K1162" s="4">
        <v>3419779.16</v>
      </c>
      <c r="L1162" s="4" t="s">
        <v>4338</v>
      </c>
      <c r="M1162" s="4" t="s">
        <v>4339</v>
      </c>
      <c r="N1162" s="4" t="s">
        <v>322</v>
      </c>
      <c r="O1162" s="4" t="s">
        <v>229</v>
      </c>
      <c r="P1162" s="4" t="s">
        <v>229</v>
      </c>
      <c r="Q1162" s="4" t="s">
        <v>100</v>
      </c>
      <c r="R1162" s="9">
        <f t="shared" si="18"/>
        <v>5.7245159373255429E-5</v>
      </c>
    </row>
    <row r="1163" spans="1:18" hidden="1" x14ac:dyDescent="0.2">
      <c r="A1163" s="4">
        <v>461</v>
      </c>
      <c r="B1163" s="2">
        <v>2869620</v>
      </c>
      <c r="C1163" s="2">
        <v>0</v>
      </c>
      <c r="D1163" s="4" t="s">
        <v>3237</v>
      </c>
      <c r="E1163" s="2">
        <v>2869620</v>
      </c>
      <c r="F1163" s="2">
        <v>545227.80000000005</v>
      </c>
      <c r="G1163" s="2">
        <v>0</v>
      </c>
      <c r="H1163" s="4">
        <v>0</v>
      </c>
      <c r="I1163" s="4">
        <v>0</v>
      </c>
      <c r="J1163" s="4">
        <v>0</v>
      </c>
      <c r="K1163" s="4">
        <v>3414847.8</v>
      </c>
      <c r="L1163" s="4" t="s">
        <v>3235</v>
      </c>
      <c r="M1163" s="4" t="s">
        <v>3236</v>
      </c>
      <c r="N1163" s="4" t="s">
        <v>20</v>
      </c>
      <c r="O1163" s="4" t="s">
        <v>1043</v>
      </c>
      <c r="P1163" s="4" t="s">
        <v>1043</v>
      </c>
      <c r="Q1163" s="4" t="s">
        <v>100</v>
      </c>
      <c r="R1163" s="9">
        <f t="shared" si="18"/>
        <v>5.7162611209786619E-5</v>
      </c>
    </row>
    <row r="1164" spans="1:18" hidden="1" x14ac:dyDescent="0.2">
      <c r="A1164" s="4">
        <v>1645</v>
      </c>
      <c r="B1164" s="2">
        <v>2865004</v>
      </c>
      <c r="C1164" s="2">
        <v>0</v>
      </c>
      <c r="D1164" s="4" t="s">
        <v>3142</v>
      </c>
      <c r="E1164" s="2">
        <v>2865004</v>
      </c>
      <c r="F1164" s="2">
        <v>544350.76</v>
      </c>
      <c r="G1164" s="2">
        <v>0</v>
      </c>
      <c r="H1164" s="4">
        <v>0</v>
      </c>
      <c r="I1164" s="4">
        <v>0</v>
      </c>
      <c r="J1164" s="4">
        <v>0</v>
      </c>
      <c r="K1164" s="4">
        <v>3409354.76</v>
      </c>
      <c r="L1164" s="4" t="s">
        <v>3140</v>
      </c>
      <c r="M1164" s="4" t="s">
        <v>3141</v>
      </c>
      <c r="N1164" s="4" t="s">
        <v>20</v>
      </c>
      <c r="O1164" s="4" t="s">
        <v>316</v>
      </c>
      <c r="P1164" s="4" t="s">
        <v>316</v>
      </c>
      <c r="Q1164" s="4" t="s">
        <v>100</v>
      </c>
      <c r="R1164" s="9">
        <f t="shared" si="18"/>
        <v>5.7070660842370593E-5</v>
      </c>
    </row>
    <row r="1165" spans="1:18" hidden="1" x14ac:dyDescent="0.2">
      <c r="A1165" s="4">
        <v>578</v>
      </c>
      <c r="B1165" s="2">
        <v>2870584</v>
      </c>
      <c r="C1165" s="2">
        <v>26965.5</v>
      </c>
      <c r="D1165" s="4" t="s">
        <v>5695</v>
      </c>
      <c r="E1165" s="2">
        <v>2843618.5</v>
      </c>
      <c r="F1165" s="2">
        <v>540287.52</v>
      </c>
      <c r="G1165" s="2">
        <v>49293.35</v>
      </c>
      <c r="H1165" s="4">
        <v>0</v>
      </c>
      <c r="I1165" s="4">
        <v>0</v>
      </c>
      <c r="J1165" s="4">
        <v>49293.35</v>
      </c>
      <c r="K1165" s="4">
        <v>3334612.67</v>
      </c>
      <c r="L1165" s="4" t="s">
        <v>5693</v>
      </c>
      <c r="M1165" s="4" t="s">
        <v>5694</v>
      </c>
      <c r="N1165" s="4" t="s">
        <v>20</v>
      </c>
      <c r="O1165" s="4" t="s">
        <v>900</v>
      </c>
      <c r="P1165" s="4" t="s">
        <v>900</v>
      </c>
      <c r="Q1165" s="4" t="s">
        <v>408</v>
      </c>
      <c r="R1165" s="9">
        <f t="shared" si="18"/>
        <v>5.6644663315859455E-5</v>
      </c>
    </row>
    <row r="1166" spans="1:18" hidden="1" x14ac:dyDescent="0.2">
      <c r="A1166" s="4">
        <v>1682</v>
      </c>
      <c r="B1166" s="2">
        <v>2840380</v>
      </c>
      <c r="C1166" s="2">
        <v>0</v>
      </c>
      <c r="D1166" s="4" t="s">
        <v>1558</v>
      </c>
      <c r="E1166" s="2">
        <v>2840380</v>
      </c>
      <c r="F1166" s="2">
        <v>539672.19999999995</v>
      </c>
      <c r="G1166" s="2">
        <v>0</v>
      </c>
      <c r="H1166" s="4">
        <v>0</v>
      </c>
      <c r="I1166" s="4">
        <v>0</v>
      </c>
      <c r="J1166" s="4">
        <v>0</v>
      </c>
      <c r="K1166" s="4">
        <v>3380052.2</v>
      </c>
      <c r="L1166" s="4" t="s">
        <v>1556</v>
      </c>
      <c r="M1166" s="4" t="s">
        <v>1557</v>
      </c>
      <c r="N1166" s="4" t="s">
        <v>20</v>
      </c>
      <c r="O1166" s="4" t="s">
        <v>316</v>
      </c>
      <c r="P1166" s="4" t="s">
        <v>316</v>
      </c>
      <c r="Q1166" s="4" t="s">
        <v>100</v>
      </c>
      <c r="R1166" s="9">
        <f t="shared" si="18"/>
        <v>5.6580152643225835E-5</v>
      </c>
    </row>
    <row r="1167" spans="1:18" hidden="1" x14ac:dyDescent="0.2">
      <c r="A1167" s="4">
        <v>1584</v>
      </c>
      <c r="B1167" s="2">
        <v>2816140</v>
      </c>
      <c r="C1167" s="2">
        <v>0</v>
      </c>
      <c r="D1167" s="4" t="s">
        <v>3596</v>
      </c>
      <c r="E1167" s="2">
        <v>2816140</v>
      </c>
      <c r="F1167" s="2">
        <v>535066.6</v>
      </c>
      <c r="G1167" s="2">
        <v>70403.490000000005</v>
      </c>
      <c r="H1167" s="4">
        <v>0</v>
      </c>
      <c r="I1167" s="4">
        <v>0</v>
      </c>
      <c r="J1167" s="4">
        <v>70403.490000000005</v>
      </c>
      <c r="K1167" s="4">
        <v>3280803.11</v>
      </c>
      <c r="L1167" s="4" t="s">
        <v>3594</v>
      </c>
      <c r="M1167" s="4" t="s">
        <v>3595</v>
      </c>
      <c r="N1167" s="4" t="s">
        <v>20</v>
      </c>
      <c r="O1167" s="4" t="s">
        <v>257</v>
      </c>
      <c r="P1167" s="4" t="s">
        <v>257</v>
      </c>
      <c r="Q1167" s="4" t="s">
        <v>100</v>
      </c>
      <c r="R1167" s="9">
        <f t="shared" si="18"/>
        <v>5.609729369475E-5</v>
      </c>
    </row>
    <row r="1168" spans="1:18" hidden="1" x14ac:dyDescent="0.2">
      <c r="A1168" s="4">
        <v>275</v>
      </c>
      <c r="B1168" s="2">
        <v>2815143</v>
      </c>
      <c r="C1168" s="2">
        <v>0</v>
      </c>
      <c r="D1168" s="4" t="s">
        <v>3910</v>
      </c>
      <c r="E1168" s="2">
        <v>2815143</v>
      </c>
      <c r="F1168" s="2">
        <v>534877.17000000004</v>
      </c>
      <c r="G1168" s="2">
        <v>0</v>
      </c>
      <c r="H1168" s="4">
        <v>0</v>
      </c>
      <c r="I1168" s="4">
        <v>0</v>
      </c>
      <c r="J1168" s="4">
        <v>0</v>
      </c>
      <c r="K1168" s="4">
        <v>3350020.17</v>
      </c>
      <c r="L1168" s="4" t="s">
        <v>3908</v>
      </c>
      <c r="M1168" s="4" t="s">
        <v>3909</v>
      </c>
      <c r="N1168" s="4" t="s">
        <v>272</v>
      </c>
      <c r="O1168" s="4" t="s">
        <v>89</v>
      </c>
      <c r="P1168" s="4" t="s">
        <v>89</v>
      </c>
      <c r="Q1168" s="4" t="s">
        <v>100</v>
      </c>
      <c r="R1168" s="9">
        <f t="shared" si="18"/>
        <v>5.6077433530903863E-5</v>
      </c>
    </row>
    <row r="1169" spans="1:18" hidden="1" x14ac:dyDescent="0.2">
      <c r="A1169" s="4">
        <v>1306</v>
      </c>
      <c r="B1169" s="2">
        <v>2815061</v>
      </c>
      <c r="C1169" s="2">
        <v>0</v>
      </c>
      <c r="D1169" s="4" t="s">
        <v>3608</v>
      </c>
      <c r="E1169" s="2">
        <v>2815061</v>
      </c>
      <c r="F1169" s="2">
        <v>534861.59</v>
      </c>
      <c r="G1169" s="2">
        <v>0</v>
      </c>
      <c r="H1169" s="4">
        <v>0</v>
      </c>
      <c r="I1169" s="4">
        <v>0</v>
      </c>
      <c r="J1169" s="4">
        <v>0</v>
      </c>
      <c r="K1169" s="4">
        <v>3349922.59</v>
      </c>
      <c r="L1169" s="4" t="s">
        <v>3606</v>
      </c>
      <c r="M1169" s="4" t="s">
        <v>3607</v>
      </c>
      <c r="N1169" s="4" t="s">
        <v>20</v>
      </c>
      <c r="O1169" s="4" t="s">
        <v>1517</v>
      </c>
      <c r="P1169" s="4" t="s">
        <v>1517</v>
      </c>
      <c r="Q1169" s="4" t="s">
        <v>100</v>
      </c>
      <c r="R1169" s="9">
        <f t="shared" si="18"/>
        <v>5.6075800097167265E-5</v>
      </c>
    </row>
    <row r="1170" spans="1:18" hidden="1" x14ac:dyDescent="0.2">
      <c r="A1170" s="4">
        <v>306</v>
      </c>
      <c r="B1170" s="2">
        <v>2809920</v>
      </c>
      <c r="C1170" s="2">
        <v>0</v>
      </c>
      <c r="D1170" s="4" t="s">
        <v>5697</v>
      </c>
      <c r="E1170" s="2">
        <v>2809920</v>
      </c>
      <c r="F1170" s="2">
        <v>533884.80000000005</v>
      </c>
      <c r="G1170" s="2">
        <v>70248</v>
      </c>
      <c r="H1170" s="4">
        <v>0</v>
      </c>
      <c r="I1170" s="4">
        <v>0</v>
      </c>
      <c r="J1170" s="4">
        <v>70248</v>
      </c>
      <c r="K1170" s="4">
        <v>3273556.8</v>
      </c>
      <c r="L1170" s="4" t="s">
        <v>5696</v>
      </c>
      <c r="M1170" s="4" t="s">
        <v>344</v>
      </c>
      <c r="N1170" s="4" t="s">
        <v>20</v>
      </c>
      <c r="O1170" s="4" t="s">
        <v>71</v>
      </c>
      <c r="P1170" s="4" t="s">
        <v>71</v>
      </c>
      <c r="Q1170" s="4" t="s">
        <v>100</v>
      </c>
      <c r="R1170" s="9">
        <f t="shared" si="18"/>
        <v>5.5973391769852325E-5</v>
      </c>
    </row>
    <row r="1171" spans="1:18" hidden="1" x14ac:dyDescent="0.2">
      <c r="A1171" s="4">
        <v>448</v>
      </c>
      <c r="B1171" s="2">
        <v>2799817</v>
      </c>
      <c r="C1171" s="2">
        <v>0</v>
      </c>
      <c r="D1171" s="4" t="s">
        <v>3177</v>
      </c>
      <c r="E1171" s="2">
        <v>2799817</v>
      </c>
      <c r="F1171" s="2">
        <v>531965.23</v>
      </c>
      <c r="G1171" s="2">
        <v>0</v>
      </c>
      <c r="H1171" s="4">
        <v>0</v>
      </c>
      <c r="I1171" s="4">
        <v>0</v>
      </c>
      <c r="J1171" s="4">
        <v>0</v>
      </c>
      <c r="K1171" s="4">
        <v>3331782.23</v>
      </c>
      <c r="L1171" s="4" t="s">
        <v>3175</v>
      </c>
      <c r="M1171" s="4" t="s">
        <v>3176</v>
      </c>
      <c r="N1171" s="4" t="s">
        <v>20</v>
      </c>
      <c r="O1171" s="4" t="s">
        <v>1157</v>
      </c>
      <c r="P1171" s="4" t="s">
        <v>1157</v>
      </c>
      <c r="Q1171" s="4" t="s">
        <v>100</v>
      </c>
      <c r="R1171" s="9">
        <f t="shared" si="18"/>
        <v>5.5772140781549877E-5</v>
      </c>
    </row>
    <row r="1172" spans="1:18" hidden="1" x14ac:dyDescent="0.2">
      <c r="A1172" s="4">
        <v>1190</v>
      </c>
      <c r="B1172" s="2">
        <v>2782417</v>
      </c>
      <c r="C1172" s="2">
        <v>0</v>
      </c>
      <c r="D1172" s="4" t="s">
        <v>3636</v>
      </c>
      <c r="E1172" s="2">
        <v>2782417</v>
      </c>
      <c r="F1172" s="2">
        <v>528659.23</v>
      </c>
      <c r="G1172" s="2">
        <v>67090.78</v>
      </c>
      <c r="H1172" s="4">
        <v>0</v>
      </c>
      <c r="I1172" s="4">
        <v>0</v>
      </c>
      <c r="J1172" s="4">
        <v>67090.78</v>
      </c>
      <c r="K1172" s="4">
        <v>3243985.45</v>
      </c>
      <c r="L1172" s="4" t="s">
        <v>3634</v>
      </c>
      <c r="M1172" s="4" t="s">
        <v>3635</v>
      </c>
      <c r="N1172" s="4" t="s">
        <v>20</v>
      </c>
      <c r="O1172" s="4" t="s">
        <v>76</v>
      </c>
      <c r="P1172" s="4" t="s">
        <v>76</v>
      </c>
      <c r="Q1172" s="4" t="s">
        <v>1378</v>
      </c>
      <c r="R1172" s="9">
        <f t="shared" si="18"/>
        <v>5.5425534110614249E-5</v>
      </c>
    </row>
    <row r="1173" spans="1:18" hidden="1" x14ac:dyDescent="0.2">
      <c r="A1173" s="4">
        <v>859</v>
      </c>
      <c r="B1173" s="2">
        <v>2778037</v>
      </c>
      <c r="C1173" s="2">
        <v>0</v>
      </c>
      <c r="D1173" s="4" t="s">
        <v>4232</v>
      </c>
      <c r="E1173" s="2">
        <v>2778037</v>
      </c>
      <c r="F1173" s="2">
        <v>527827.03</v>
      </c>
      <c r="G1173" s="2">
        <v>0</v>
      </c>
      <c r="H1173" s="4">
        <v>0</v>
      </c>
      <c r="I1173" s="4">
        <v>0</v>
      </c>
      <c r="J1173" s="4">
        <v>0</v>
      </c>
      <c r="K1173" s="4">
        <v>3305864.03</v>
      </c>
      <c r="L1173" s="4" t="s">
        <v>4230</v>
      </c>
      <c r="M1173" s="4" t="s">
        <v>4231</v>
      </c>
      <c r="N1173" s="4" t="s">
        <v>20</v>
      </c>
      <c r="O1173" s="4" t="s">
        <v>372</v>
      </c>
      <c r="P1173" s="4" t="s">
        <v>372</v>
      </c>
      <c r="Q1173" s="4" t="s">
        <v>100</v>
      </c>
      <c r="R1173" s="9">
        <f t="shared" si="18"/>
        <v>5.5338284845171834E-5</v>
      </c>
    </row>
    <row r="1174" spans="1:18" hidden="1" x14ac:dyDescent="0.2">
      <c r="A1174" s="4">
        <v>779</v>
      </c>
      <c r="B1174" s="2">
        <v>2773034</v>
      </c>
      <c r="C1174" s="2">
        <v>0</v>
      </c>
      <c r="D1174" s="4" t="s">
        <v>4642</v>
      </c>
      <c r="E1174" s="2">
        <v>2773034</v>
      </c>
      <c r="F1174" s="2">
        <v>526876.46</v>
      </c>
      <c r="G1174" s="2">
        <v>0</v>
      </c>
      <c r="H1174" s="4">
        <v>0</v>
      </c>
      <c r="I1174" s="4">
        <v>0</v>
      </c>
      <c r="J1174" s="4">
        <v>0</v>
      </c>
      <c r="K1174" s="4">
        <v>3299910.46</v>
      </c>
      <c r="L1174" s="4" t="s">
        <v>4640</v>
      </c>
      <c r="M1174" s="4" t="s">
        <v>4641</v>
      </c>
      <c r="N1174" s="4" t="s">
        <v>20</v>
      </c>
      <c r="O1174" s="4" t="s">
        <v>1562</v>
      </c>
      <c r="P1174" s="4" t="s">
        <v>1562</v>
      </c>
      <c r="Q1174" s="4" t="s">
        <v>100</v>
      </c>
      <c r="R1174" s="9">
        <f t="shared" si="18"/>
        <v>5.5238625467316031E-5</v>
      </c>
    </row>
    <row r="1175" spans="1:18" hidden="1" x14ac:dyDescent="0.2">
      <c r="A1175" s="4">
        <v>152</v>
      </c>
      <c r="B1175" s="2">
        <v>2764860</v>
      </c>
      <c r="C1175" s="2">
        <v>0</v>
      </c>
      <c r="D1175" s="4" t="s">
        <v>5700</v>
      </c>
      <c r="E1175" s="2">
        <v>2764860</v>
      </c>
      <c r="F1175" s="2">
        <v>525323.4</v>
      </c>
      <c r="G1175" s="2">
        <v>0</v>
      </c>
      <c r="H1175" s="4">
        <v>0</v>
      </c>
      <c r="I1175" s="4">
        <v>0</v>
      </c>
      <c r="J1175" s="4">
        <v>0</v>
      </c>
      <c r="K1175" s="4">
        <v>3290183.4</v>
      </c>
      <c r="L1175" s="4" t="s">
        <v>5698</v>
      </c>
      <c r="M1175" s="4" t="s">
        <v>5699</v>
      </c>
      <c r="N1175" s="4" t="s">
        <v>124</v>
      </c>
      <c r="O1175" s="4" t="s">
        <v>33</v>
      </c>
      <c r="P1175" s="4" t="s">
        <v>33</v>
      </c>
      <c r="Q1175" s="4" t="s">
        <v>100</v>
      </c>
      <c r="R1175" s="9">
        <f t="shared" si="18"/>
        <v>5.5075800011670758E-5</v>
      </c>
    </row>
    <row r="1176" spans="1:18" hidden="1" x14ac:dyDescent="0.2">
      <c r="A1176" s="4">
        <v>1258</v>
      </c>
      <c r="B1176" s="2">
        <v>2733288</v>
      </c>
      <c r="C1176" s="2">
        <v>0</v>
      </c>
      <c r="D1176" s="4" t="s">
        <v>5703</v>
      </c>
      <c r="E1176" s="2">
        <v>2733288</v>
      </c>
      <c r="F1176" s="2">
        <v>519324.72</v>
      </c>
      <c r="G1176" s="2">
        <v>39754.35</v>
      </c>
      <c r="H1176" s="4">
        <v>0</v>
      </c>
      <c r="I1176" s="4">
        <v>0</v>
      </c>
      <c r="J1176" s="4">
        <v>39754.35</v>
      </c>
      <c r="K1176" s="4">
        <v>3212858.37</v>
      </c>
      <c r="L1176" s="4" t="s">
        <v>5701</v>
      </c>
      <c r="M1176" s="4" t="s">
        <v>5702</v>
      </c>
      <c r="N1176" s="4" t="s">
        <v>20</v>
      </c>
      <c r="O1176" s="4" t="s">
        <v>257</v>
      </c>
      <c r="P1176" s="4" t="s">
        <v>257</v>
      </c>
      <c r="Q1176" s="4" t="s">
        <v>100</v>
      </c>
      <c r="R1176" s="9">
        <f t="shared" si="18"/>
        <v>5.444688818323515E-5</v>
      </c>
    </row>
    <row r="1177" spans="1:18" hidden="1" x14ac:dyDescent="0.2">
      <c r="A1177" s="4">
        <v>734</v>
      </c>
      <c r="B1177" s="2">
        <v>2731424</v>
      </c>
      <c r="C1177" s="2">
        <v>0</v>
      </c>
      <c r="D1177" s="4" t="s">
        <v>5705</v>
      </c>
      <c r="E1177" s="2">
        <v>2731424</v>
      </c>
      <c r="F1177" s="2">
        <v>518970.56</v>
      </c>
      <c r="G1177" s="2">
        <v>0</v>
      </c>
      <c r="H1177" s="4">
        <v>0</v>
      </c>
      <c r="I1177" s="4">
        <v>0</v>
      </c>
      <c r="J1177" s="4">
        <v>0</v>
      </c>
      <c r="K1177" s="4">
        <v>3250394.56</v>
      </c>
      <c r="L1177" s="4" t="s">
        <v>5704</v>
      </c>
      <c r="M1177" s="4" t="s">
        <v>1930</v>
      </c>
      <c r="N1177" s="4" t="s">
        <v>1107</v>
      </c>
      <c r="O1177" s="4" t="s">
        <v>89</v>
      </c>
      <c r="P1177" s="4" t="s">
        <v>89</v>
      </c>
      <c r="Q1177" s="4" t="s">
        <v>28</v>
      </c>
      <c r="R1177" s="9">
        <f t="shared" si="18"/>
        <v>5.4409757445613081E-5</v>
      </c>
    </row>
    <row r="1178" spans="1:18" hidden="1" x14ac:dyDescent="0.2">
      <c r="A1178" s="4">
        <v>1638</v>
      </c>
      <c r="B1178" s="2">
        <v>2721872</v>
      </c>
      <c r="C1178" s="2">
        <v>0</v>
      </c>
      <c r="D1178" s="4" t="s">
        <v>2713</v>
      </c>
      <c r="E1178" s="2">
        <v>2721872</v>
      </c>
      <c r="F1178" s="2">
        <v>517155.68</v>
      </c>
      <c r="G1178" s="2">
        <v>44052.7</v>
      </c>
      <c r="H1178" s="4">
        <v>0</v>
      </c>
      <c r="I1178" s="4">
        <v>0</v>
      </c>
      <c r="J1178" s="4">
        <v>44052.7</v>
      </c>
      <c r="K1178" s="4">
        <v>3194974.98</v>
      </c>
      <c r="L1178" s="4" t="s">
        <v>2711</v>
      </c>
      <c r="M1178" s="4" t="s">
        <v>2712</v>
      </c>
      <c r="N1178" s="4" t="s">
        <v>20</v>
      </c>
      <c r="O1178" s="4" t="s">
        <v>71</v>
      </c>
      <c r="P1178" s="4" t="s">
        <v>71</v>
      </c>
      <c r="Q1178" s="4" t="s">
        <v>100</v>
      </c>
      <c r="R1178" s="9">
        <f t="shared" si="18"/>
        <v>5.4219482335223591E-5</v>
      </c>
    </row>
    <row r="1179" spans="1:18" hidden="1" x14ac:dyDescent="0.2">
      <c r="A1179" s="4">
        <v>1741</v>
      </c>
      <c r="B1179" s="2">
        <v>2719706</v>
      </c>
      <c r="C1179" s="2">
        <v>0</v>
      </c>
      <c r="D1179" s="4" t="s">
        <v>5708</v>
      </c>
      <c r="E1179" s="2">
        <v>2719706</v>
      </c>
      <c r="F1179" s="2">
        <v>516744.14</v>
      </c>
      <c r="G1179" s="2">
        <v>0</v>
      </c>
      <c r="H1179" s="4">
        <v>0</v>
      </c>
      <c r="I1179" s="4">
        <v>0</v>
      </c>
      <c r="J1179" s="4">
        <v>0</v>
      </c>
      <c r="K1179" s="4">
        <v>3236450.14</v>
      </c>
      <c r="L1179" s="4" t="s">
        <v>5706</v>
      </c>
      <c r="M1179" s="4" t="s">
        <v>5707</v>
      </c>
      <c r="N1179" s="4" t="s">
        <v>20</v>
      </c>
      <c r="O1179" s="4" t="s">
        <v>1549</v>
      </c>
      <c r="P1179" s="4" t="s">
        <v>1549</v>
      </c>
      <c r="Q1179" s="4" t="s">
        <v>100</v>
      </c>
      <c r="R1179" s="9">
        <f t="shared" si="18"/>
        <v>5.4176335780669197E-5</v>
      </c>
    </row>
    <row r="1180" spans="1:18" hidden="1" x14ac:dyDescent="0.2">
      <c r="A1180" s="4">
        <v>1678</v>
      </c>
      <c r="B1180" s="2">
        <v>2678810</v>
      </c>
      <c r="C1180" s="2">
        <v>0</v>
      </c>
      <c r="D1180" s="4" t="s">
        <v>3575</v>
      </c>
      <c r="E1180" s="2">
        <v>2678810</v>
      </c>
      <c r="F1180" s="2">
        <v>508973.9</v>
      </c>
      <c r="G1180" s="2">
        <v>0</v>
      </c>
      <c r="H1180" s="4">
        <v>0</v>
      </c>
      <c r="I1180" s="4">
        <v>0</v>
      </c>
      <c r="J1180" s="4">
        <v>0</v>
      </c>
      <c r="K1180" s="4">
        <v>3187783.9</v>
      </c>
      <c r="L1180" s="4" t="s">
        <v>3573</v>
      </c>
      <c r="M1180" s="4" t="s">
        <v>3574</v>
      </c>
      <c r="N1180" s="4" t="s">
        <v>20</v>
      </c>
      <c r="O1180" s="4" t="s">
        <v>692</v>
      </c>
      <c r="P1180" s="4" t="s">
        <v>692</v>
      </c>
      <c r="Q1180" s="4" t="s">
        <v>100</v>
      </c>
      <c r="R1180" s="9">
        <f t="shared" si="18"/>
        <v>5.3361690584428773E-5</v>
      </c>
    </row>
    <row r="1181" spans="1:18" hidden="1" x14ac:dyDescent="0.2">
      <c r="A1181" s="4">
        <v>1718</v>
      </c>
      <c r="B1181" s="2">
        <v>2681835</v>
      </c>
      <c r="C1181" s="2">
        <v>13136.58</v>
      </c>
      <c r="D1181" s="4" t="s">
        <v>5711</v>
      </c>
      <c r="E1181" s="2">
        <v>2668698.42</v>
      </c>
      <c r="F1181" s="2">
        <v>507052.7</v>
      </c>
      <c r="G1181" s="2">
        <v>0</v>
      </c>
      <c r="H1181" s="4">
        <v>0</v>
      </c>
      <c r="I1181" s="4">
        <v>0</v>
      </c>
      <c r="J1181" s="4">
        <v>0</v>
      </c>
      <c r="K1181" s="4">
        <v>3175751.12</v>
      </c>
      <c r="L1181" s="4" t="s">
        <v>5709</v>
      </c>
      <c r="M1181" s="4" t="s">
        <v>5710</v>
      </c>
      <c r="N1181" s="4" t="s">
        <v>20</v>
      </c>
      <c r="O1181" s="4" t="s">
        <v>1517</v>
      </c>
      <c r="P1181" s="4" t="s">
        <v>603</v>
      </c>
      <c r="Q1181" s="4" t="s">
        <v>100</v>
      </c>
      <c r="R1181" s="9">
        <f t="shared" si="18"/>
        <v>5.3160268683181687E-5</v>
      </c>
    </row>
    <row r="1182" spans="1:18" hidden="1" x14ac:dyDescent="0.2">
      <c r="A1182" s="4">
        <v>371</v>
      </c>
      <c r="B1182" s="2">
        <v>2661900</v>
      </c>
      <c r="C1182" s="2">
        <v>0</v>
      </c>
      <c r="D1182" s="4" t="s">
        <v>5714</v>
      </c>
      <c r="E1182" s="2">
        <v>2661900</v>
      </c>
      <c r="F1182" s="2">
        <v>505761</v>
      </c>
      <c r="G1182" s="2">
        <v>0</v>
      </c>
      <c r="H1182" s="4">
        <v>0</v>
      </c>
      <c r="I1182" s="4">
        <v>0</v>
      </c>
      <c r="J1182" s="4">
        <v>0</v>
      </c>
      <c r="K1182" s="4">
        <v>3167661</v>
      </c>
      <c r="L1182" s="4" t="s">
        <v>5712</v>
      </c>
      <c r="M1182" s="4" t="s">
        <v>5713</v>
      </c>
      <c r="N1182" s="4" t="s">
        <v>20</v>
      </c>
      <c r="O1182" s="4" t="s">
        <v>359</v>
      </c>
      <c r="P1182" s="4" t="s">
        <v>359</v>
      </c>
      <c r="Q1182" s="4" t="s">
        <v>100</v>
      </c>
      <c r="R1182" s="9">
        <f t="shared" si="18"/>
        <v>5.3024844676065474E-5</v>
      </c>
    </row>
    <row r="1183" spans="1:18" hidden="1" x14ac:dyDescent="0.2">
      <c r="A1183" s="4">
        <v>721</v>
      </c>
      <c r="B1183" s="2">
        <v>2669293</v>
      </c>
      <c r="C1183" s="2">
        <v>8828.64</v>
      </c>
      <c r="D1183" s="4" t="s">
        <v>3578</v>
      </c>
      <c r="E1183" s="2">
        <v>2660464.36</v>
      </c>
      <c r="F1183" s="2">
        <v>505488.23</v>
      </c>
      <c r="G1183" s="2">
        <v>0</v>
      </c>
      <c r="H1183" s="4">
        <v>0</v>
      </c>
      <c r="I1183" s="4">
        <v>0</v>
      </c>
      <c r="J1183" s="4">
        <v>0</v>
      </c>
      <c r="K1183" s="4">
        <v>3165952.59</v>
      </c>
      <c r="L1183" s="4" t="s">
        <v>3576</v>
      </c>
      <c r="M1183" s="4" t="s">
        <v>3577</v>
      </c>
      <c r="N1183" s="4" t="s">
        <v>20</v>
      </c>
      <c r="O1183" s="4" t="s">
        <v>359</v>
      </c>
      <c r="P1183" s="4" t="s">
        <v>359</v>
      </c>
      <c r="Q1183" s="4" t="s">
        <v>100</v>
      </c>
      <c r="R1183" s="9">
        <f t="shared" si="18"/>
        <v>5.299624683692398E-5</v>
      </c>
    </row>
    <row r="1184" spans="1:18" hidden="1" x14ac:dyDescent="0.2">
      <c r="A1184" s="4">
        <v>1561</v>
      </c>
      <c r="B1184" s="2">
        <v>2654767</v>
      </c>
      <c r="C1184" s="2">
        <v>0</v>
      </c>
      <c r="D1184" s="4" t="s">
        <v>3336</v>
      </c>
      <c r="E1184" s="2">
        <v>2654767</v>
      </c>
      <c r="F1184" s="2">
        <v>504405.73</v>
      </c>
      <c r="G1184" s="2">
        <v>0</v>
      </c>
      <c r="H1184" s="4">
        <v>0</v>
      </c>
      <c r="I1184" s="4">
        <v>0</v>
      </c>
      <c r="J1184" s="4">
        <v>0</v>
      </c>
      <c r="K1184" s="4">
        <v>3159172.73</v>
      </c>
      <c r="L1184" s="4" t="s">
        <v>3334</v>
      </c>
      <c r="M1184" s="4" t="s">
        <v>3335</v>
      </c>
      <c r="N1184" s="4" t="s">
        <v>20</v>
      </c>
      <c r="O1184" s="4" t="s">
        <v>1356</v>
      </c>
      <c r="P1184" s="4" t="s">
        <v>1356</v>
      </c>
      <c r="Q1184" s="4" t="s">
        <v>100</v>
      </c>
      <c r="R1184" s="9">
        <f t="shared" si="18"/>
        <v>5.2882755860905488E-5</v>
      </c>
    </row>
    <row r="1185" spans="1:18" hidden="1" x14ac:dyDescent="0.2">
      <c r="A1185" s="4">
        <v>1063</v>
      </c>
      <c r="B1185" s="2">
        <v>2645261</v>
      </c>
      <c r="C1185" s="2">
        <v>9083.1</v>
      </c>
      <c r="D1185" s="4" t="s">
        <v>3139</v>
      </c>
      <c r="E1185" s="2">
        <v>2636177.9</v>
      </c>
      <c r="F1185" s="2">
        <v>500873.8</v>
      </c>
      <c r="G1185" s="2">
        <v>0</v>
      </c>
      <c r="H1185" s="4">
        <v>0</v>
      </c>
      <c r="I1185" s="4">
        <v>0</v>
      </c>
      <c r="J1185" s="4">
        <v>0</v>
      </c>
      <c r="K1185" s="4">
        <v>3137051.7</v>
      </c>
      <c r="L1185" s="4" t="s">
        <v>3137</v>
      </c>
      <c r="M1185" s="4" t="s">
        <v>3138</v>
      </c>
      <c r="N1185" s="4" t="s">
        <v>20</v>
      </c>
      <c r="O1185" s="4" t="s">
        <v>372</v>
      </c>
      <c r="P1185" s="4" t="s">
        <v>372</v>
      </c>
      <c r="Q1185" s="4" t="s">
        <v>100</v>
      </c>
      <c r="R1185" s="9">
        <f t="shared" si="18"/>
        <v>5.2512462408796896E-5</v>
      </c>
    </row>
    <row r="1186" spans="1:18" hidden="1" x14ac:dyDescent="0.2">
      <c r="A1186" s="4">
        <v>1478</v>
      </c>
      <c r="B1186" s="2">
        <v>2623600</v>
      </c>
      <c r="C1186" s="2">
        <v>0</v>
      </c>
      <c r="D1186" s="4" t="s">
        <v>5717</v>
      </c>
      <c r="E1186" s="2">
        <v>2623600</v>
      </c>
      <c r="F1186" s="2">
        <v>498484</v>
      </c>
      <c r="G1186" s="2">
        <v>0</v>
      </c>
      <c r="H1186" s="4">
        <v>0</v>
      </c>
      <c r="I1186" s="4">
        <v>0</v>
      </c>
      <c r="J1186" s="4">
        <v>0</v>
      </c>
      <c r="K1186" s="4">
        <v>3122084</v>
      </c>
      <c r="L1186" s="4" t="s">
        <v>5715</v>
      </c>
      <c r="M1186" s="4" t="s">
        <v>5716</v>
      </c>
      <c r="N1186" s="4" t="s">
        <v>20</v>
      </c>
      <c r="O1186" s="4" t="s">
        <v>316</v>
      </c>
      <c r="P1186" s="4" t="s">
        <v>316</v>
      </c>
      <c r="Q1186" s="4" t="s">
        <v>100</v>
      </c>
      <c r="R1186" s="9">
        <f t="shared" si="18"/>
        <v>5.2261911601534758E-5</v>
      </c>
    </row>
    <row r="1187" spans="1:18" hidden="1" x14ac:dyDescent="0.2">
      <c r="A1187" s="4">
        <v>1523</v>
      </c>
      <c r="B1187" s="2">
        <v>2604150</v>
      </c>
      <c r="C1187" s="2">
        <v>0</v>
      </c>
      <c r="D1187" s="4" t="s">
        <v>5720</v>
      </c>
      <c r="E1187" s="2">
        <v>2604150</v>
      </c>
      <c r="F1187" s="2">
        <v>494788.5</v>
      </c>
      <c r="G1187" s="2">
        <v>0</v>
      </c>
      <c r="H1187" s="4">
        <v>0</v>
      </c>
      <c r="I1187" s="4">
        <v>0</v>
      </c>
      <c r="J1187" s="4">
        <v>0</v>
      </c>
      <c r="K1187" s="4">
        <v>3098938.5</v>
      </c>
      <c r="L1187" s="4" t="s">
        <v>5718</v>
      </c>
      <c r="M1187" s="4" t="s">
        <v>5719</v>
      </c>
      <c r="N1187" s="4" t="s">
        <v>20</v>
      </c>
      <c r="O1187" s="4" t="s">
        <v>540</v>
      </c>
      <c r="P1187" s="4" t="s">
        <v>540</v>
      </c>
      <c r="Q1187" s="4" t="s">
        <v>100</v>
      </c>
      <c r="R1187" s="9">
        <f t="shared" si="18"/>
        <v>5.187446908718431E-5</v>
      </c>
    </row>
    <row r="1188" spans="1:18" x14ac:dyDescent="0.2">
      <c r="A1188" s="4">
        <v>808</v>
      </c>
      <c r="B1188" s="2">
        <v>2662956</v>
      </c>
      <c r="C1188" s="2">
        <v>67713.3</v>
      </c>
      <c r="D1188" s="4" t="s">
        <v>5722</v>
      </c>
      <c r="E1188" s="2">
        <v>2595242.7000000002</v>
      </c>
      <c r="F1188" s="2">
        <v>493096.11</v>
      </c>
      <c r="G1188" s="2">
        <v>64881.07</v>
      </c>
      <c r="H1188" s="4">
        <v>73964.42</v>
      </c>
      <c r="I1188" s="4">
        <v>0</v>
      </c>
      <c r="J1188" s="4">
        <v>138845.49</v>
      </c>
      <c r="K1188" s="4">
        <v>2949493.32</v>
      </c>
      <c r="L1188" s="4" t="s">
        <v>5721</v>
      </c>
      <c r="M1188" s="4" t="s">
        <v>81</v>
      </c>
      <c r="N1188" s="4" t="s">
        <v>20</v>
      </c>
      <c r="O1188" s="4" t="s">
        <v>359</v>
      </c>
      <c r="P1188" s="4" t="s">
        <v>359</v>
      </c>
      <c r="Q1188" s="4" t="s">
        <v>28</v>
      </c>
      <c r="R1188" s="9">
        <f t="shared" si="18"/>
        <v>5.1697036351550699E-5</v>
      </c>
    </row>
    <row r="1189" spans="1:18" x14ac:dyDescent="0.2">
      <c r="A1189" s="4">
        <v>811</v>
      </c>
      <c r="B1189" s="2">
        <v>2636540</v>
      </c>
      <c r="C1189" s="2">
        <v>46648.11</v>
      </c>
      <c r="D1189" s="4" t="s">
        <v>3698</v>
      </c>
      <c r="E1189" s="2">
        <v>2589891.89</v>
      </c>
      <c r="F1189" s="2">
        <v>492079.46</v>
      </c>
      <c r="G1189" s="2">
        <v>37707.22</v>
      </c>
      <c r="H1189" s="4">
        <v>42986.23</v>
      </c>
      <c r="I1189" s="4">
        <v>0</v>
      </c>
      <c r="J1189" s="4">
        <v>80693.45</v>
      </c>
      <c r="K1189" s="4">
        <v>3001277.9</v>
      </c>
      <c r="L1189" s="4" t="s">
        <v>3697</v>
      </c>
      <c r="M1189" s="4" t="s">
        <v>81</v>
      </c>
      <c r="N1189" s="4" t="s">
        <v>2803</v>
      </c>
      <c r="O1189" s="4" t="s">
        <v>59</v>
      </c>
      <c r="P1189" s="4" t="s">
        <v>59</v>
      </c>
      <c r="Q1189" s="4" t="s">
        <v>28</v>
      </c>
      <c r="R1189" s="9">
        <f t="shared" si="18"/>
        <v>5.1590448625061666E-5</v>
      </c>
    </row>
    <row r="1190" spans="1:18" hidden="1" x14ac:dyDescent="0.2">
      <c r="A1190" s="4">
        <v>1631</v>
      </c>
      <c r="B1190" s="2">
        <v>2589813</v>
      </c>
      <c r="C1190" s="2">
        <v>0</v>
      </c>
      <c r="D1190" s="4" t="s">
        <v>2333</v>
      </c>
      <c r="E1190" s="2">
        <v>2589813</v>
      </c>
      <c r="F1190" s="2">
        <v>492064.47</v>
      </c>
      <c r="G1190" s="2">
        <v>0</v>
      </c>
      <c r="H1190" s="4">
        <v>0</v>
      </c>
      <c r="I1190" s="4">
        <v>0</v>
      </c>
      <c r="J1190" s="4">
        <v>0</v>
      </c>
      <c r="K1190" s="4">
        <v>3081877.47</v>
      </c>
      <c r="L1190" s="4" t="s">
        <v>2331</v>
      </c>
      <c r="M1190" s="4" t="s">
        <v>2332</v>
      </c>
      <c r="N1190" s="4" t="s">
        <v>58</v>
      </c>
      <c r="O1190" s="4" t="s">
        <v>59</v>
      </c>
      <c r="P1190" s="4" t="s">
        <v>59</v>
      </c>
      <c r="Q1190" s="4" t="s">
        <v>100</v>
      </c>
      <c r="R1190" s="9">
        <f t="shared" si="18"/>
        <v>5.1588877142287522E-5</v>
      </c>
    </row>
    <row r="1191" spans="1:18" hidden="1" x14ac:dyDescent="0.2">
      <c r="A1191" s="4">
        <v>651</v>
      </c>
      <c r="B1191" s="2">
        <v>2586804</v>
      </c>
      <c r="C1191" s="2">
        <v>0</v>
      </c>
      <c r="D1191" s="4" t="s">
        <v>3467</v>
      </c>
      <c r="E1191" s="2">
        <v>2586804</v>
      </c>
      <c r="F1191" s="2">
        <v>491492.76</v>
      </c>
      <c r="G1191" s="2">
        <v>0</v>
      </c>
      <c r="H1191" s="4">
        <v>0</v>
      </c>
      <c r="I1191" s="4">
        <v>0</v>
      </c>
      <c r="J1191" s="4">
        <v>0</v>
      </c>
      <c r="K1191" s="4">
        <v>3078296.76</v>
      </c>
      <c r="L1191" s="4" t="s">
        <v>3465</v>
      </c>
      <c r="M1191" s="4" t="s">
        <v>3466</v>
      </c>
      <c r="N1191" s="4" t="s">
        <v>142</v>
      </c>
      <c r="O1191" s="4" t="s">
        <v>340</v>
      </c>
      <c r="P1191" s="4" t="s">
        <v>340</v>
      </c>
      <c r="Q1191" s="4" t="s">
        <v>100</v>
      </c>
      <c r="R1191" s="9">
        <f t="shared" si="18"/>
        <v>5.1528938092123999E-5</v>
      </c>
    </row>
    <row r="1192" spans="1:18" hidden="1" x14ac:dyDescent="0.2">
      <c r="A1192" s="4">
        <v>156</v>
      </c>
      <c r="B1192" s="2">
        <v>2568990</v>
      </c>
      <c r="C1192" s="2">
        <v>0</v>
      </c>
      <c r="D1192" s="4" t="s">
        <v>4120</v>
      </c>
      <c r="E1192" s="2">
        <v>2568990</v>
      </c>
      <c r="F1192" s="2">
        <v>488108.1</v>
      </c>
      <c r="G1192" s="2">
        <v>0</v>
      </c>
      <c r="H1192" s="4">
        <v>0</v>
      </c>
      <c r="I1192" s="4">
        <v>0</v>
      </c>
      <c r="J1192" s="4">
        <v>0</v>
      </c>
      <c r="K1192" s="4">
        <v>3057098.1</v>
      </c>
      <c r="L1192" s="4" t="s">
        <v>4118</v>
      </c>
      <c r="M1192" s="4" t="s">
        <v>4119</v>
      </c>
      <c r="N1192" s="4" t="s">
        <v>142</v>
      </c>
      <c r="O1192" s="4" t="s">
        <v>340</v>
      </c>
      <c r="P1192" s="4" t="s">
        <v>340</v>
      </c>
      <c r="Q1192" s="4" t="s">
        <v>100</v>
      </c>
      <c r="R1192" s="9">
        <f t="shared" si="18"/>
        <v>5.1174084572810941E-5</v>
      </c>
    </row>
    <row r="1193" spans="1:18" hidden="1" x14ac:dyDescent="0.2">
      <c r="A1193" s="4">
        <v>268</v>
      </c>
      <c r="B1193" s="2">
        <v>2566584</v>
      </c>
      <c r="C1193" s="2">
        <v>0</v>
      </c>
      <c r="D1193" s="4" t="s">
        <v>2558</v>
      </c>
      <c r="E1193" s="2">
        <v>2566584</v>
      </c>
      <c r="F1193" s="2">
        <v>487650.96</v>
      </c>
      <c r="G1193" s="2">
        <v>0</v>
      </c>
      <c r="H1193" s="4">
        <v>0</v>
      </c>
      <c r="I1193" s="4">
        <v>0</v>
      </c>
      <c r="J1193" s="4">
        <v>0</v>
      </c>
      <c r="K1193" s="4">
        <v>3054234.96</v>
      </c>
      <c r="L1193" s="4" t="s">
        <v>2556</v>
      </c>
      <c r="M1193" s="4" t="s">
        <v>2557</v>
      </c>
      <c r="N1193" s="4" t="s">
        <v>233</v>
      </c>
      <c r="O1193" s="4" t="s">
        <v>229</v>
      </c>
      <c r="P1193" s="4" t="s">
        <v>229</v>
      </c>
      <c r="Q1193" s="4" t="s">
        <v>100</v>
      </c>
      <c r="R1193" s="9">
        <f t="shared" si="18"/>
        <v>5.1126157236588466E-5</v>
      </c>
    </row>
    <row r="1194" spans="1:18" hidden="1" x14ac:dyDescent="0.2">
      <c r="A1194" s="4">
        <v>1984</v>
      </c>
      <c r="B1194" s="2">
        <v>2543760</v>
      </c>
      <c r="C1194" s="2">
        <v>0</v>
      </c>
      <c r="D1194" s="4" t="s">
        <v>3770</v>
      </c>
      <c r="E1194" s="2">
        <v>2543760</v>
      </c>
      <c r="F1194" s="2">
        <v>483314.4</v>
      </c>
      <c r="G1194" s="2">
        <v>0</v>
      </c>
      <c r="H1194" s="4">
        <v>0</v>
      </c>
      <c r="I1194" s="4">
        <v>0</v>
      </c>
      <c r="J1194" s="4">
        <v>0</v>
      </c>
      <c r="K1194" s="4">
        <v>3027074.4</v>
      </c>
      <c r="L1194" s="4" t="s">
        <v>3768</v>
      </c>
      <c r="M1194" s="4" t="s">
        <v>3769</v>
      </c>
      <c r="N1194" s="4" t="s">
        <v>648</v>
      </c>
      <c r="O1194" s="4" t="s">
        <v>340</v>
      </c>
      <c r="P1194" s="4" t="s">
        <v>340</v>
      </c>
      <c r="Q1194" s="4" t="s">
        <v>100</v>
      </c>
      <c r="R1194" s="9">
        <f t="shared" si="18"/>
        <v>5.0671504899954287E-5</v>
      </c>
    </row>
    <row r="1195" spans="1:18" hidden="1" x14ac:dyDescent="0.2">
      <c r="A1195" s="4">
        <v>337</v>
      </c>
      <c r="B1195" s="2">
        <v>2537685</v>
      </c>
      <c r="C1195" s="2">
        <v>0</v>
      </c>
      <c r="D1195" s="4" t="s">
        <v>3819</v>
      </c>
      <c r="E1195" s="2">
        <v>2537685</v>
      </c>
      <c r="F1195" s="2">
        <v>482160.15</v>
      </c>
      <c r="G1195" s="2">
        <v>32751.43</v>
      </c>
      <c r="H1195" s="4">
        <v>0</v>
      </c>
      <c r="I1195" s="4">
        <v>0</v>
      </c>
      <c r="J1195" s="4">
        <v>32751.43</v>
      </c>
      <c r="K1195" s="4">
        <v>2987093.72</v>
      </c>
      <c r="L1195" s="4" t="s">
        <v>3818</v>
      </c>
      <c r="M1195" s="4" t="s">
        <v>2323</v>
      </c>
      <c r="N1195" s="4" t="s">
        <v>20</v>
      </c>
      <c r="O1195" s="4" t="s">
        <v>631</v>
      </c>
      <c r="P1195" s="4" t="s">
        <v>631</v>
      </c>
      <c r="Q1195" s="4" t="s">
        <v>100</v>
      </c>
      <c r="R1195" s="9">
        <f t="shared" si="18"/>
        <v>5.0550491363981074E-5</v>
      </c>
    </row>
    <row r="1196" spans="1:18" hidden="1" x14ac:dyDescent="0.2">
      <c r="A1196" s="4">
        <v>260</v>
      </c>
      <c r="B1196" s="2">
        <v>2529925</v>
      </c>
      <c r="C1196" s="2">
        <v>0</v>
      </c>
      <c r="D1196" s="4" t="s">
        <v>4053</v>
      </c>
      <c r="E1196" s="2">
        <v>2529925</v>
      </c>
      <c r="F1196" s="2">
        <v>480685.75</v>
      </c>
      <c r="G1196" s="2">
        <v>33009.019999999997</v>
      </c>
      <c r="H1196" s="4">
        <v>0</v>
      </c>
      <c r="I1196" s="4">
        <v>0</v>
      </c>
      <c r="J1196" s="4">
        <v>33009.019999999997</v>
      </c>
      <c r="K1196" s="4">
        <v>2977601.73</v>
      </c>
      <c r="L1196" s="4" t="s">
        <v>4051</v>
      </c>
      <c r="M1196" s="4" t="s">
        <v>4052</v>
      </c>
      <c r="N1196" s="4" t="s">
        <v>20</v>
      </c>
      <c r="O1196" s="4" t="s">
        <v>257</v>
      </c>
      <c r="P1196" s="4" t="s">
        <v>257</v>
      </c>
      <c r="Q1196" s="4" t="s">
        <v>100</v>
      </c>
      <c r="R1196" s="9">
        <f t="shared" si="18"/>
        <v>5.039591275671323E-5</v>
      </c>
    </row>
    <row r="1197" spans="1:18" hidden="1" x14ac:dyDescent="0.2">
      <c r="A1197" s="4">
        <v>1031</v>
      </c>
      <c r="B1197" s="2">
        <v>2513124</v>
      </c>
      <c r="C1197" s="2">
        <v>0</v>
      </c>
      <c r="D1197" s="4" t="s">
        <v>2258</v>
      </c>
      <c r="E1197" s="2">
        <v>2513124</v>
      </c>
      <c r="F1197" s="2">
        <v>477493.56</v>
      </c>
      <c r="G1197" s="2">
        <v>0</v>
      </c>
      <c r="H1197" s="4">
        <v>0</v>
      </c>
      <c r="I1197" s="4">
        <v>0</v>
      </c>
      <c r="J1197" s="4">
        <v>0</v>
      </c>
      <c r="K1197" s="4">
        <v>2990617.56</v>
      </c>
      <c r="L1197" s="4" t="s">
        <v>2256</v>
      </c>
      <c r="M1197" s="4" t="s">
        <v>2257</v>
      </c>
      <c r="N1197" s="4" t="s">
        <v>20</v>
      </c>
      <c r="O1197" s="4" t="s">
        <v>1517</v>
      </c>
      <c r="P1197" s="4" t="s">
        <v>603</v>
      </c>
      <c r="Q1197" s="4" t="s">
        <v>100</v>
      </c>
      <c r="R1197" s="9">
        <f t="shared" si="18"/>
        <v>5.0061238120024181E-5</v>
      </c>
    </row>
    <row r="1198" spans="1:18" hidden="1" x14ac:dyDescent="0.2">
      <c r="A1198" s="4">
        <v>150</v>
      </c>
      <c r="B1198" s="2">
        <v>2512920</v>
      </c>
      <c r="C1198" s="2">
        <v>0</v>
      </c>
      <c r="D1198" s="4" t="s">
        <v>5725</v>
      </c>
      <c r="E1198" s="2">
        <v>2512920</v>
      </c>
      <c r="F1198" s="2">
        <v>477454.8</v>
      </c>
      <c r="G1198" s="2">
        <v>0</v>
      </c>
      <c r="H1198" s="4">
        <v>0</v>
      </c>
      <c r="I1198" s="4">
        <v>0</v>
      </c>
      <c r="J1198" s="4">
        <v>0</v>
      </c>
      <c r="K1198" s="4">
        <v>2990374.8</v>
      </c>
      <c r="L1198" s="4" t="s">
        <v>5723</v>
      </c>
      <c r="M1198" s="4" t="s">
        <v>5724</v>
      </c>
      <c r="N1198" s="4" t="s">
        <v>5726</v>
      </c>
      <c r="O1198" s="4" t="s">
        <v>229</v>
      </c>
      <c r="P1198" s="4" t="s">
        <v>229</v>
      </c>
      <c r="Q1198" s="4" t="s">
        <v>100</v>
      </c>
      <c r="R1198" s="9">
        <f t="shared" si="18"/>
        <v>5.0057174455606318E-5</v>
      </c>
    </row>
    <row r="1199" spans="1:18" hidden="1" x14ac:dyDescent="0.2">
      <c r="A1199" s="4">
        <v>960</v>
      </c>
      <c r="B1199" s="2">
        <v>2506569</v>
      </c>
      <c r="C1199" s="2">
        <v>0</v>
      </c>
      <c r="D1199" s="4" t="s">
        <v>4473</v>
      </c>
      <c r="E1199" s="2">
        <v>2506569</v>
      </c>
      <c r="F1199" s="2">
        <v>476248.11</v>
      </c>
      <c r="G1199" s="2">
        <v>0</v>
      </c>
      <c r="H1199" s="4">
        <v>0</v>
      </c>
      <c r="I1199" s="4">
        <v>0</v>
      </c>
      <c r="J1199" s="4">
        <v>0</v>
      </c>
      <c r="K1199" s="4">
        <v>2982817.11</v>
      </c>
      <c r="L1199" s="4" t="s">
        <v>4471</v>
      </c>
      <c r="M1199" s="4" t="s">
        <v>4472</v>
      </c>
      <c r="N1199" s="4" t="s">
        <v>1421</v>
      </c>
      <c r="O1199" s="4" t="s">
        <v>340</v>
      </c>
      <c r="P1199" s="4" t="s">
        <v>340</v>
      </c>
      <c r="Q1199" s="4" t="s">
        <v>100</v>
      </c>
      <c r="R1199" s="9">
        <f t="shared" si="18"/>
        <v>4.9930663020714812E-5</v>
      </c>
    </row>
    <row r="1200" spans="1:18" hidden="1" x14ac:dyDescent="0.2">
      <c r="A1200" s="4">
        <v>944</v>
      </c>
      <c r="B1200" s="2">
        <v>2504696</v>
      </c>
      <c r="C1200" s="2">
        <v>0</v>
      </c>
      <c r="D1200" s="4" t="s">
        <v>5729</v>
      </c>
      <c r="E1200" s="2">
        <v>2504696</v>
      </c>
      <c r="F1200" s="2">
        <v>475892.24</v>
      </c>
      <c r="G1200" s="2">
        <v>0</v>
      </c>
      <c r="H1200" s="4">
        <v>0</v>
      </c>
      <c r="I1200" s="4">
        <v>0</v>
      </c>
      <c r="J1200" s="4">
        <v>0</v>
      </c>
      <c r="K1200" s="4">
        <v>2980588.24</v>
      </c>
      <c r="L1200" s="4" t="s">
        <v>5727</v>
      </c>
      <c r="M1200" s="4" t="s">
        <v>5728</v>
      </c>
      <c r="N1200" s="4" t="s">
        <v>92</v>
      </c>
      <c r="O1200" s="4" t="s">
        <v>93</v>
      </c>
      <c r="P1200" s="4" t="s">
        <v>93</v>
      </c>
      <c r="Q1200" s="4" t="s">
        <v>100</v>
      </c>
      <c r="R1200" s="9">
        <f t="shared" si="18"/>
        <v>4.989335300378019E-5</v>
      </c>
    </row>
    <row r="1201" spans="1:18" hidden="1" x14ac:dyDescent="0.2">
      <c r="A1201" s="4">
        <v>1461</v>
      </c>
      <c r="B1201" s="2">
        <v>2491752</v>
      </c>
      <c r="C1201" s="2">
        <v>0</v>
      </c>
      <c r="D1201" s="4" t="s">
        <v>5732</v>
      </c>
      <c r="E1201" s="2">
        <v>2491752</v>
      </c>
      <c r="F1201" s="2">
        <v>473432.88</v>
      </c>
      <c r="G1201" s="2">
        <v>0</v>
      </c>
      <c r="H1201" s="4">
        <v>0</v>
      </c>
      <c r="I1201" s="4">
        <v>0</v>
      </c>
      <c r="J1201" s="4">
        <v>0</v>
      </c>
      <c r="K1201" s="4">
        <v>2965184.88</v>
      </c>
      <c r="L1201" s="4" t="s">
        <v>5730</v>
      </c>
      <c r="M1201" s="4" t="s">
        <v>5731</v>
      </c>
      <c r="N1201" s="4" t="s">
        <v>92</v>
      </c>
      <c r="O1201" s="4" t="s">
        <v>93</v>
      </c>
      <c r="P1201" s="4" t="s">
        <v>93</v>
      </c>
      <c r="Q1201" s="4" t="s">
        <v>100</v>
      </c>
      <c r="R1201" s="9">
        <f t="shared" si="18"/>
        <v>4.9635509512481876E-5</v>
      </c>
    </row>
    <row r="1202" spans="1:18" hidden="1" x14ac:dyDescent="0.2">
      <c r="A1202" s="4">
        <v>404</v>
      </c>
      <c r="B1202" s="2">
        <v>2483841</v>
      </c>
      <c r="C1202" s="2">
        <v>0</v>
      </c>
      <c r="D1202" s="4" t="s">
        <v>3248</v>
      </c>
      <c r="E1202" s="2">
        <v>2483841</v>
      </c>
      <c r="F1202" s="2">
        <v>471929.79</v>
      </c>
      <c r="G1202" s="2">
        <v>0</v>
      </c>
      <c r="H1202" s="4">
        <v>0</v>
      </c>
      <c r="I1202" s="4">
        <v>0</v>
      </c>
      <c r="J1202" s="4">
        <v>0</v>
      </c>
      <c r="K1202" s="4">
        <v>2955770.79</v>
      </c>
      <c r="L1202" s="4" t="s">
        <v>3246</v>
      </c>
      <c r="M1202" s="4" t="s">
        <v>3247</v>
      </c>
      <c r="N1202" s="4" t="s">
        <v>20</v>
      </c>
      <c r="O1202" s="4" t="s">
        <v>1517</v>
      </c>
      <c r="P1202" s="4" t="s">
        <v>1517</v>
      </c>
      <c r="Q1202" s="4" t="s">
        <v>100</v>
      </c>
      <c r="R1202" s="9">
        <f t="shared" si="18"/>
        <v>4.9477922996747867E-5</v>
      </c>
    </row>
    <row r="1203" spans="1:18" hidden="1" x14ac:dyDescent="0.2">
      <c r="A1203" s="4">
        <v>19</v>
      </c>
      <c r="B1203" s="2">
        <v>2469720</v>
      </c>
      <c r="C1203" s="2">
        <v>0</v>
      </c>
      <c r="D1203" s="4" t="s">
        <v>4285</v>
      </c>
      <c r="E1203" s="2">
        <v>2469720</v>
      </c>
      <c r="F1203" s="2">
        <v>469246.8</v>
      </c>
      <c r="G1203" s="2">
        <v>61743</v>
      </c>
      <c r="H1203" s="4">
        <v>70387.02</v>
      </c>
      <c r="I1203" s="4">
        <v>0</v>
      </c>
      <c r="J1203" s="4">
        <v>132130.01999999999</v>
      </c>
      <c r="K1203" s="4">
        <v>2806836.78</v>
      </c>
      <c r="L1203" s="4" t="s">
        <v>4284</v>
      </c>
      <c r="M1203" s="4" t="s">
        <v>146</v>
      </c>
      <c r="N1203" s="4" t="s">
        <v>4286</v>
      </c>
      <c r="O1203" s="4" t="s">
        <v>237</v>
      </c>
      <c r="P1203" s="4" t="s">
        <v>237</v>
      </c>
      <c r="Q1203" s="4" t="s">
        <v>28</v>
      </c>
      <c r="R1203" s="9">
        <f t="shared" si="18"/>
        <v>4.919663375535235E-5</v>
      </c>
    </row>
    <row r="1204" spans="1:18" hidden="1" x14ac:dyDescent="0.2">
      <c r="A1204" s="4">
        <v>1066</v>
      </c>
      <c r="B1204" s="2">
        <v>2459501</v>
      </c>
      <c r="C1204" s="2">
        <v>0</v>
      </c>
      <c r="D1204" s="4" t="s">
        <v>5735</v>
      </c>
      <c r="E1204" s="2">
        <v>2459501</v>
      </c>
      <c r="F1204" s="2">
        <v>467305.19</v>
      </c>
      <c r="G1204" s="2">
        <v>61487.519999999997</v>
      </c>
      <c r="H1204" s="4">
        <v>0</v>
      </c>
      <c r="I1204" s="4">
        <v>0</v>
      </c>
      <c r="J1204" s="4">
        <v>61487.519999999997</v>
      </c>
      <c r="K1204" s="4">
        <v>2865318.67</v>
      </c>
      <c r="L1204" s="4" t="s">
        <v>5733</v>
      </c>
      <c r="M1204" s="4" t="s">
        <v>5734</v>
      </c>
      <c r="N1204" s="4" t="s">
        <v>127</v>
      </c>
      <c r="O1204" s="4" t="s">
        <v>76</v>
      </c>
      <c r="P1204" s="4" t="s">
        <v>76</v>
      </c>
      <c r="Q1204" s="4" t="s">
        <v>585</v>
      </c>
      <c r="R1204" s="9">
        <f t="shared" si="18"/>
        <v>4.8993072055910334E-5</v>
      </c>
    </row>
    <row r="1205" spans="1:18" hidden="1" x14ac:dyDescent="0.2">
      <c r="A1205" s="4">
        <v>938</v>
      </c>
      <c r="B1205" s="2">
        <v>2458680</v>
      </c>
      <c r="C1205" s="2">
        <v>0</v>
      </c>
      <c r="D1205" s="4" t="s">
        <v>5738</v>
      </c>
      <c r="E1205" s="2">
        <v>2458680</v>
      </c>
      <c r="F1205" s="2">
        <v>0</v>
      </c>
      <c r="G1205" s="2">
        <v>0</v>
      </c>
      <c r="H1205" s="4">
        <v>0</v>
      </c>
      <c r="I1205" s="4">
        <v>0</v>
      </c>
      <c r="J1205" s="4">
        <v>0</v>
      </c>
      <c r="K1205" s="4">
        <v>2458680</v>
      </c>
      <c r="L1205" s="4" t="s">
        <v>5736</v>
      </c>
      <c r="M1205" s="4" t="s">
        <v>5737</v>
      </c>
      <c r="N1205" s="4" t="s">
        <v>205</v>
      </c>
      <c r="O1205" s="4" t="s">
        <v>206</v>
      </c>
      <c r="P1205" s="4" t="s">
        <v>206</v>
      </c>
      <c r="Q1205" s="4" t="s">
        <v>100</v>
      </c>
      <c r="R1205" s="9">
        <f t="shared" si="18"/>
        <v>4.8976717798620781E-5</v>
      </c>
    </row>
    <row r="1206" spans="1:18" hidden="1" x14ac:dyDescent="0.2">
      <c r="A1206" s="4">
        <v>1647</v>
      </c>
      <c r="B1206" s="2">
        <v>2455226</v>
      </c>
      <c r="C1206" s="2">
        <v>0</v>
      </c>
      <c r="D1206" s="4" t="s">
        <v>4086</v>
      </c>
      <c r="E1206" s="2">
        <v>2455226</v>
      </c>
      <c r="F1206" s="2">
        <v>466492.94</v>
      </c>
      <c r="G1206" s="2">
        <v>0</v>
      </c>
      <c r="H1206" s="4">
        <v>0</v>
      </c>
      <c r="I1206" s="4">
        <v>0</v>
      </c>
      <c r="J1206" s="4">
        <v>0</v>
      </c>
      <c r="K1206" s="4">
        <v>2921718.94</v>
      </c>
      <c r="L1206" s="4" t="s">
        <v>4084</v>
      </c>
      <c r="M1206" s="4" t="s">
        <v>4085</v>
      </c>
      <c r="N1206" s="4" t="s">
        <v>20</v>
      </c>
      <c r="O1206" s="4" t="s">
        <v>1549</v>
      </c>
      <c r="P1206" s="4" t="s">
        <v>1549</v>
      </c>
      <c r="Q1206" s="4" t="s">
        <v>100</v>
      </c>
      <c r="R1206" s="9">
        <f t="shared" si="18"/>
        <v>4.89079143824477E-5</v>
      </c>
    </row>
    <row r="1207" spans="1:18" hidden="1" x14ac:dyDescent="0.2">
      <c r="A1207" s="4">
        <v>1408</v>
      </c>
      <c r="B1207" s="2">
        <v>2441760</v>
      </c>
      <c r="C1207" s="2">
        <v>0</v>
      </c>
      <c r="D1207" s="4" t="s">
        <v>5741</v>
      </c>
      <c r="E1207" s="2">
        <v>2441760</v>
      </c>
      <c r="F1207" s="2">
        <v>463934.4</v>
      </c>
      <c r="G1207" s="2">
        <v>0</v>
      </c>
      <c r="H1207" s="4">
        <v>0</v>
      </c>
      <c r="I1207" s="4">
        <v>0</v>
      </c>
      <c r="J1207" s="4">
        <v>0</v>
      </c>
      <c r="K1207" s="4">
        <v>2905694.4</v>
      </c>
      <c r="L1207" s="4" t="s">
        <v>5739</v>
      </c>
      <c r="M1207" s="4" t="s">
        <v>5740</v>
      </c>
      <c r="N1207" s="4" t="s">
        <v>5742</v>
      </c>
      <c r="O1207" s="4" t="s">
        <v>59</v>
      </c>
      <c r="P1207" s="4" t="s">
        <v>59</v>
      </c>
      <c r="Q1207" s="4" t="s">
        <v>100</v>
      </c>
      <c r="R1207" s="9">
        <f t="shared" si="18"/>
        <v>4.8639672691021314E-5</v>
      </c>
    </row>
    <row r="1208" spans="1:18" hidden="1" x14ac:dyDescent="0.2">
      <c r="A1208" s="4">
        <v>1467</v>
      </c>
      <c r="B1208" s="2">
        <v>2440060</v>
      </c>
      <c r="C1208" s="2">
        <v>0</v>
      </c>
      <c r="D1208" s="4" t="s">
        <v>5745</v>
      </c>
      <c r="E1208" s="2">
        <v>2440060</v>
      </c>
      <c r="F1208" s="2">
        <v>463611.4</v>
      </c>
      <c r="G1208" s="2">
        <v>0</v>
      </c>
      <c r="H1208" s="4">
        <v>0</v>
      </c>
      <c r="I1208" s="4">
        <v>0</v>
      </c>
      <c r="J1208" s="4">
        <v>0</v>
      </c>
      <c r="K1208" s="4">
        <v>2903671.4</v>
      </c>
      <c r="L1208" s="4" t="s">
        <v>5743</v>
      </c>
      <c r="M1208" s="4" t="s">
        <v>5744</v>
      </c>
      <c r="N1208" s="4" t="s">
        <v>322</v>
      </c>
      <c r="O1208" s="4" t="s">
        <v>229</v>
      </c>
      <c r="P1208" s="4" t="s">
        <v>229</v>
      </c>
      <c r="Q1208" s="4" t="s">
        <v>100</v>
      </c>
      <c r="R1208" s="9">
        <f t="shared" si="18"/>
        <v>4.8605808820872433E-5</v>
      </c>
    </row>
    <row r="1209" spans="1:18" hidden="1" x14ac:dyDescent="0.2">
      <c r="A1209" s="4">
        <v>1345</v>
      </c>
      <c r="B1209" s="2">
        <v>2429321</v>
      </c>
      <c r="C1209" s="2">
        <v>0</v>
      </c>
      <c r="D1209" s="4" t="s">
        <v>4032</v>
      </c>
      <c r="E1209" s="2">
        <v>2429321</v>
      </c>
      <c r="F1209" s="2">
        <v>461570.99</v>
      </c>
      <c r="G1209" s="2">
        <v>0</v>
      </c>
      <c r="H1209" s="4">
        <v>0</v>
      </c>
      <c r="I1209" s="4">
        <v>0</v>
      </c>
      <c r="J1209" s="4">
        <v>0</v>
      </c>
      <c r="K1209" s="4">
        <v>2890891.99</v>
      </c>
      <c r="L1209" s="4" t="s">
        <v>4030</v>
      </c>
      <c r="M1209" s="4" t="s">
        <v>4031</v>
      </c>
      <c r="N1209" s="4" t="s">
        <v>20</v>
      </c>
      <c r="O1209" s="4" t="s">
        <v>1356</v>
      </c>
      <c r="P1209" s="4" t="s">
        <v>1356</v>
      </c>
      <c r="Q1209" s="4" t="s">
        <v>100</v>
      </c>
      <c r="R1209" s="9">
        <f t="shared" si="18"/>
        <v>4.8391888761149573E-5</v>
      </c>
    </row>
    <row r="1210" spans="1:18" hidden="1" x14ac:dyDescent="0.2">
      <c r="A1210" s="4">
        <v>1267</v>
      </c>
      <c r="B1210" s="2">
        <v>2427349</v>
      </c>
      <c r="C1210" s="2">
        <v>0</v>
      </c>
      <c r="D1210" s="4" t="s">
        <v>3941</v>
      </c>
      <c r="E1210" s="2">
        <v>2427349</v>
      </c>
      <c r="F1210" s="2">
        <v>461196.31</v>
      </c>
      <c r="G1210" s="2">
        <v>0</v>
      </c>
      <c r="H1210" s="4">
        <v>0</v>
      </c>
      <c r="I1210" s="4">
        <v>0</v>
      </c>
      <c r="J1210" s="4">
        <v>0</v>
      </c>
      <c r="K1210" s="4">
        <v>2888545.31</v>
      </c>
      <c r="L1210" s="4" t="s">
        <v>3939</v>
      </c>
      <c r="M1210" s="4" t="s">
        <v>3940</v>
      </c>
      <c r="N1210" s="4" t="s">
        <v>20</v>
      </c>
      <c r="O1210" s="4" t="s">
        <v>316</v>
      </c>
      <c r="P1210" s="4" t="s">
        <v>316</v>
      </c>
      <c r="Q1210" s="4" t="s">
        <v>100</v>
      </c>
      <c r="R1210" s="9">
        <f t="shared" si="18"/>
        <v>4.8352606671776868E-5</v>
      </c>
    </row>
    <row r="1211" spans="1:18" hidden="1" x14ac:dyDescent="0.2">
      <c r="A1211" s="4">
        <v>75</v>
      </c>
      <c r="B1211" s="2">
        <v>2426837</v>
      </c>
      <c r="C1211" s="2">
        <v>0</v>
      </c>
      <c r="D1211" s="4" t="s">
        <v>2490</v>
      </c>
      <c r="E1211" s="2">
        <v>2426837</v>
      </c>
      <c r="F1211" s="2">
        <v>461099.03</v>
      </c>
      <c r="G1211" s="2">
        <v>0</v>
      </c>
      <c r="H1211" s="4">
        <v>0</v>
      </c>
      <c r="I1211" s="4">
        <v>0</v>
      </c>
      <c r="J1211" s="4">
        <v>0</v>
      </c>
      <c r="K1211" s="4">
        <v>2887936.03</v>
      </c>
      <c r="L1211" s="4" t="s">
        <v>2488</v>
      </c>
      <c r="M1211" s="4" t="s">
        <v>2489</v>
      </c>
      <c r="N1211" s="4" t="s">
        <v>20</v>
      </c>
      <c r="O1211" s="4" t="s">
        <v>257</v>
      </c>
      <c r="P1211" s="4" t="s">
        <v>257</v>
      </c>
      <c r="Q1211" s="4" t="s">
        <v>100</v>
      </c>
      <c r="R1211" s="9">
        <f t="shared" si="18"/>
        <v>4.8342407670884971E-5</v>
      </c>
    </row>
    <row r="1212" spans="1:18" hidden="1" x14ac:dyDescent="0.2">
      <c r="A1212" s="4">
        <v>784</v>
      </c>
      <c r="B1212" s="2">
        <v>2411218</v>
      </c>
      <c r="C1212" s="2">
        <v>0</v>
      </c>
      <c r="D1212" s="4" t="s">
        <v>4185</v>
      </c>
      <c r="E1212" s="2">
        <v>2411218</v>
      </c>
      <c r="F1212" s="2">
        <v>458131.42</v>
      </c>
      <c r="G1212" s="2">
        <v>0</v>
      </c>
      <c r="H1212" s="4">
        <v>0</v>
      </c>
      <c r="I1212" s="4">
        <v>0</v>
      </c>
      <c r="J1212" s="4">
        <v>0</v>
      </c>
      <c r="K1212" s="4">
        <v>2869349.42</v>
      </c>
      <c r="L1212" s="4" t="s">
        <v>4183</v>
      </c>
      <c r="M1212" s="4" t="s">
        <v>4184</v>
      </c>
      <c r="N1212" s="4" t="s">
        <v>142</v>
      </c>
      <c r="O1212" s="4" t="s">
        <v>340</v>
      </c>
      <c r="P1212" s="4" t="s">
        <v>340</v>
      </c>
      <c r="Q1212" s="4" t="s">
        <v>100</v>
      </c>
      <c r="R1212" s="9">
        <f t="shared" si="18"/>
        <v>4.8031278383911207E-5</v>
      </c>
    </row>
    <row r="1213" spans="1:18" hidden="1" x14ac:dyDescent="0.2">
      <c r="A1213" s="4">
        <v>228</v>
      </c>
      <c r="B1213" s="2">
        <v>2404220</v>
      </c>
      <c r="C1213" s="2">
        <v>0</v>
      </c>
      <c r="D1213" s="4" t="s">
        <v>3727</v>
      </c>
      <c r="E1213" s="2">
        <v>2404220</v>
      </c>
      <c r="F1213" s="2">
        <v>456801.8</v>
      </c>
      <c r="G1213" s="2">
        <v>0</v>
      </c>
      <c r="H1213" s="4">
        <v>0</v>
      </c>
      <c r="I1213" s="4">
        <v>0</v>
      </c>
      <c r="J1213" s="4">
        <v>0</v>
      </c>
      <c r="K1213" s="4">
        <v>2861021.8</v>
      </c>
      <c r="L1213" s="4" t="s">
        <v>3725</v>
      </c>
      <c r="M1213" s="4" t="s">
        <v>3726</v>
      </c>
      <c r="N1213" s="4" t="s">
        <v>468</v>
      </c>
      <c r="O1213" s="4" t="s">
        <v>105</v>
      </c>
      <c r="P1213" s="4" t="s">
        <v>105</v>
      </c>
      <c r="Q1213" s="4" t="s">
        <v>100</v>
      </c>
      <c r="R1213" s="9">
        <f t="shared" si="18"/>
        <v>4.7891878758439509E-5</v>
      </c>
    </row>
    <row r="1214" spans="1:18" hidden="1" x14ac:dyDescent="0.2">
      <c r="A1214" s="4">
        <v>536</v>
      </c>
      <c r="B1214" s="2">
        <v>2393873</v>
      </c>
      <c r="C1214" s="2">
        <v>0</v>
      </c>
      <c r="D1214" s="4" t="s">
        <v>4331</v>
      </c>
      <c r="E1214" s="2">
        <v>2393873</v>
      </c>
      <c r="F1214" s="2">
        <v>454835.87</v>
      </c>
      <c r="G1214" s="2">
        <v>0</v>
      </c>
      <c r="H1214" s="4">
        <v>0</v>
      </c>
      <c r="I1214" s="4">
        <v>0</v>
      </c>
      <c r="J1214" s="4">
        <v>0</v>
      </c>
      <c r="K1214" s="4">
        <v>2848708.87</v>
      </c>
      <c r="L1214" s="4" t="s">
        <v>4329</v>
      </c>
      <c r="M1214" s="4" t="s">
        <v>4330</v>
      </c>
      <c r="N1214" s="4" t="s">
        <v>20</v>
      </c>
      <c r="O1214" s="4" t="s">
        <v>631</v>
      </c>
      <c r="P1214" s="4" t="s">
        <v>631</v>
      </c>
      <c r="Q1214" s="4" t="s">
        <v>100</v>
      </c>
      <c r="R1214" s="9">
        <f t="shared" si="18"/>
        <v>4.7685767308774517E-5</v>
      </c>
    </row>
    <row r="1215" spans="1:18" hidden="1" x14ac:dyDescent="0.2">
      <c r="A1215" s="4">
        <v>279</v>
      </c>
      <c r="B1215" s="2">
        <v>2390604</v>
      </c>
      <c r="C1215" s="2">
        <v>0</v>
      </c>
      <c r="D1215" s="4" t="s">
        <v>3733</v>
      </c>
      <c r="E1215" s="2">
        <v>2390604</v>
      </c>
      <c r="F1215" s="2">
        <v>454214.76</v>
      </c>
      <c r="G1215" s="2">
        <v>0</v>
      </c>
      <c r="H1215" s="4">
        <v>0</v>
      </c>
      <c r="I1215" s="4">
        <v>0</v>
      </c>
      <c r="J1215" s="4">
        <v>0</v>
      </c>
      <c r="K1215" s="4">
        <v>2844818.76</v>
      </c>
      <c r="L1215" s="4" t="s">
        <v>3731</v>
      </c>
      <c r="M1215" s="4" t="s">
        <v>3732</v>
      </c>
      <c r="N1215" s="4" t="s">
        <v>233</v>
      </c>
      <c r="O1215" s="4" t="s">
        <v>229</v>
      </c>
      <c r="P1215" s="4" t="s">
        <v>229</v>
      </c>
      <c r="Q1215" s="4" t="s">
        <v>100</v>
      </c>
      <c r="R1215" s="9">
        <f t="shared" si="18"/>
        <v>4.7620649078470579E-5</v>
      </c>
    </row>
    <row r="1216" spans="1:18" hidden="1" x14ac:dyDescent="0.2">
      <c r="A1216" s="4">
        <v>79</v>
      </c>
      <c r="B1216" s="2">
        <v>2389335</v>
      </c>
      <c r="C1216" s="2">
        <v>0</v>
      </c>
      <c r="D1216" s="4" t="s">
        <v>3974</v>
      </c>
      <c r="E1216" s="2">
        <v>2389335</v>
      </c>
      <c r="F1216" s="2">
        <v>453973.65</v>
      </c>
      <c r="G1216" s="2">
        <v>0</v>
      </c>
      <c r="H1216" s="4">
        <v>0</v>
      </c>
      <c r="I1216" s="4">
        <v>0</v>
      </c>
      <c r="J1216" s="4">
        <v>0</v>
      </c>
      <c r="K1216" s="4">
        <v>2843308.65</v>
      </c>
      <c r="L1216" s="4" t="s">
        <v>3972</v>
      </c>
      <c r="M1216" s="4" t="s">
        <v>3973</v>
      </c>
      <c r="N1216" s="4" t="s">
        <v>674</v>
      </c>
      <c r="O1216" s="4" t="s">
        <v>89</v>
      </c>
      <c r="P1216" s="4" t="s">
        <v>89</v>
      </c>
      <c r="Q1216" s="4" t="s">
        <v>100</v>
      </c>
      <c r="R1216" s="9">
        <f t="shared" si="18"/>
        <v>4.7595370695400619E-5</v>
      </c>
    </row>
    <row r="1217" spans="1:18" hidden="1" x14ac:dyDescent="0.2">
      <c r="A1217" s="4">
        <v>215</v>
      </c>
      <c r="B1217" s="2">
        <v>2394179</v>
      </c>
      <c r="C1217" s="2">
        <v>6410.88</v>
      </c>
      <c r="D1217" s="4" t="s">
        <v>4020</v>
      </c>
      <c r="E1217" s="2">
        <v>2387768.12</v>
      </c>
      <c r="F1217" s="2">
        <v>453675.94</v>
      </c>
      <c r="G1217" s="2">
        <v>0</v>
      </c>
      <c r="H1217" s="4">
        <v>0</v>
      </c>
      <c r="I1217" s="4">
        <v>0</v>
      </c>
      <c r="J1217" s="4">
        <v>0</v>
      </c>
      <c r="K1217" s="4">
        <v>2841444.06</v>
      </c>
      <c r="L1217" s="4" t="s">
        <v>4018</v>
      </c>
      <c r="M1217" s="4" t="s">
        <v>4019</v>
      </c>
      <c r="N1217" s="4" t="s">
        <v>332</v>
      </c>
      <c r="O1217" s="4" t="s">
        <v>1127</v>
      </c>
      <c r="P1217" s="4" t="s">
        <v>1127</v>
      </c>
      <c r="Q1217" s="4" t="s">
        <v>100</v>
      </c>
      <c r="R1217" s="9">
        <f t="shared" si="18"/>
        <v>4.7564158565483627E-5</v>
      </c>
    </row>
    <row r="1218" spans="1:18" hidden="1" x14ac:dyDescent="0.2">
      <c r="A1218" s="4">
        <v>1793</v>
      </c>
      <c r="B1218" s="2">
        <v>2384105</v>
      </c>
      <c r="C1218" s="2">
        <v>0</v>
      </c>
      <c r="D1218" s="4" t="s">
        <v>3755</v>
      </c>
      <c r="E1218" s="2">
        <v>2384105</v>
      </c>
      <c r="F1218" s="2">
        <v>452979.95</v>
      </c>
      <c r="G1218" s="2">
        <v>0</v>
      </c>
      <c r="H1218" s="4">
        <v>0</v>
      </c>
      <c r="I1218" s="4">
        <v>0</v>
      </c>
      <c r="J1218" s="4">
        <v>0</v>
      </c>
      <c r="K1218" s="4">
        <v>2837084.95</v>
      </c>
      <c r="L1218" s="4" t="s">
        <v>3753</v>
      </c>
      <c r="M1218" s="4" t="s">
        <v>3754</v>
      </c>
      <c r="N1218" s="4" t="s">
        <v>20</v>
      </c>
      <c r="O1218" s="4" t="s">
        <v>257</v>
      </c>
      <c r="P1218" s="4" t="s">
        <v>257</v>
      </c>
      <c r="Q1218" s="4" t="s">
        <v>100</v>
      </c>
      <c r="R1218" s="9">
        <f t="shared" si="18"/>
        <v>4.7491189494883757E-5</v>
      </c>
    </row>
    <row r="1219" spans="1:18" hidden="1" x14ac:dyDescent="0.2">
      <c r="A1219" s="4">
        <v>797</v>
      </c>
      <c r="B1219" s="2">
        <v>2372506</v>
      </c>
      <c r="C1219" s="2">
        <v>0</v>
      </c>
      <c r="D1219" s="4" t="s">
        <v>3342</v>
      </c>
      <c r="E1219" s="2">
        <v>2372506</v>
      </c>
      <c r="F1219" s="2">
        <v>450776.14</v>
      </c>
      <c r="G1219" s="2">
        <v>0</v>
      </c>
      <c r="H1219" s="4">
        <v>0</v>
      </c>
      <c r="I1219" s="4">
        <v>0</v>
      </c>
      <c r="J1219" s="4">
        <v>0</v>
      </c>
      <c r="K1219" s="4">
        <v>2823282.14</v>
      </c>
      <c r="L1219" s="4" t="s">
        <v>3340</v>
      </c>
      <c r="M1219" s="4" t="s">
        <v>3341</v>
      </c>
      <c r="N1219" s="4" t="s">
        <v>20</v>
      </c>
      <c r="O1219" s="4" t="s">
        <v>692</v>
      </c>
      <c r="P1219" s="4" t="s">
        <v>603</v>
      </c>
      <c r="Q1219" s="4" t="s">
        <v>100</v>
      </c>
      <c r="R1219" s="9">
        <f t="shared" ref="R1219:R1282" si="19">E1219/$E$2034</f>
        <v>4.7260138300850296E-5</v>
      </c>
    </row>
    <row r="1220" spans="1:18" hidden="1" x14ac:dyDescent="0.2">
      <c r="A1220" s="4">
        <v>1088</v>
      </c>
      <c r="B1220" s="2">
        <v>2369957</v>
      </c>
      <c r="C1220" s="2">
        <v>0</v>
      </c>
      <c r="D1220" s="4" t="s">
        <v>5748</v>
      </c>
      <c r="E1220" s="2">
        <v>2369957</v>
      </c>
      <c r="F1220" s="2">
        <v>450291.83</v>
      </c>
      <c r="G1220" s="2">
        <v>59248.92</v>
      </c>
      <c r="H1220" s="4">
        <v>0</v>
      </c>
      <c r="I1220" s="4">
        <v>0</v>
      </c>
      <c r="J1220" s="4">
        <v>59248.92</v>
      </c>
      <c r="K1220" s="4">
        <v>2760999.91</v>
      </c>
      <c r="L1220" s="4" t="s">
        <v>5746</v>
      </c>
      <c r="M1220" s="4" t="s">
        <v>5747</v>
      </c>
      <c r="N1220" s="4" t="s">
        <v>397</v>
      </c>
      <c r="O1220" s="4" t="s">
        <v>89</v>
      </c>
      <c r="P1220" s="4" t="s">
        <v>89</v>
      </c>
      <c r="Q1220" s="4" t="s">
        <v>100</v>
      </c>
      <c r="R1220" s="9">
        <f t="shared" si="19"/>
        <v>4.7209362415550588E-5</v>
      </c>
    </row>
    <row r="1221" spans="1:18" hidden="1" x14ac:dyDescent="0.2">
      <c r="A1221" s="4">
        <v>1919</v>
      </c>
      <c r="B1221" s="2">
        <v>2367632</v>
      </c>
      <c r="C1221" s="2">
        <v>0</v>
      </c>
      <c r="D1221" s="4" t="s">
        <v>4860</v>
      </c>
      <c r="E1221" s="2">
        <v>2367632</v>
      </c>
      <c r="F1221" s="2">
        <v>449850.08</v>
      </c>
      <c r="G1221" s="2">
        <v>0</v>
      </c>
      <c r="H1221" s="4">
        <v>0</v>
      </c>
      <c r="I1221" s="4">
        <v>0</v>
      </c>
      <c r="J1221" s="4">
        <v>0</v>
      </c>
      <c r="K1221" s="4">
        <v>2817482.08</v>
      </c>
      <c r="L1221" s="4" t="s">
        <v>4858</v>
      </c>
      <c r="M1221" s="4" t="s">
        <v>4859</v>
      </c>
      <c r="N1221" s="4" t="s">
        <v>648</v>
      </c>
      <c r="O1221" s="4" t="s">
        <v>340</v>
      </c>
      <c r="P1221" s="4" t="s">
        <v>340</v>
      </c>
      <c r="Q1221" s="4" t="s">
        <v>100</v>
      </c>
      <c r="R1221" s="9">
        <f t="shared" si="19"/>
        <v>4.7163048593141083E-5</v>
      </c>
    </row>
    <row r="1222" spans="1:18" hidden="1" x14ac:dyDescent="0.2">
      <c r="A1222" s="4">
        <v>1640</v>
      </c>
      <c r="B1222" s="2">
        <v>2365052</v>
      </c>
      <c r="C1222" s="2">
        <v>0</v>
      </c>
      <c r="D1222" s="4" t="s">
        <v>4428</v>
      </c>
      <c r="E1222" s="2">
        <v>2365052</v>
      </c>
      <c r="F1222" s="2">
        <v>449359.88</v>
      </c>
      <c r="G1222" s="2">
        <v>0</v>
      </c>
      <c r="H1222" s="4">
        <v>0</v>
      </c>
      <c r="I1222" s="4">
        <v>0</v>
      </c>
      <c r="J1222" s="4">
        <v>0</v>
      </c>
      <c r="K1222" s="4">
        <v>2814411.88</v>
      </c>
      <c r="L1222" s="4" t="s">
        <v>4426</v>
      </c>
      <c r="M1222" s="4" t="s">
        <v>4427</v>
      </c>
      <c r="N1222" s="4" t="s">
        <v>2167</v>
      </c>
      <c r="O1222" s="4" t="s">
        <v>105</v>
      </c>
      <c r="P1222" s="4" t="s">
        <v>105</v>
      </c>
      <c r="Q1222" s="4" t="s">
        <v>100</v>
      </c>
      <c r="R1222" s="9">
        <f t="shared" si="19"/>
        <v>4.7111655190209253E-5</v>
      </c>
    </row>
    <row r="1223" spans="1:18" hidden="1" x14ac:dyDescent="0.2">
      <c r="A1223" s="4">
        <v>1910</v>
      </c>
      <c r="B1223" s="2">
        <v>2364089</v>
      </c>
      <c r="C1223" s="2">
        <v>0</v>
      </c>
      <c r="D1223" s="4" t="s">
        <v>5751</v>
      </c>
      <c r="E1223" s="2">
        <v>2364089</v>
      </c>
      <c r="F1223" s="2">
        <v>449176.91</v>
      </c>
      <c r="G1223" s="2">
        <v>0</v>
      </c>
      <c r="H1223" s="4">
        <v>0</v>
      </c>
      <c r="I1223" s="4">
        <v>0</v>
      </c>
      <c r="J1223" s="4">
        <v>0</v>
      </c>
      <c r="K1223" s="4">
        <v>2813265.91</v>
      </c>
      <c r="L1223" s="4" t="s">
        <v>5749</v>
      </c>
      <c r="M1223" s="4" t="s">
        <v>5750</v>
      </c>
      <c r="N1223" s="4" t="s">
        <v>368</v>
      </c>
      <c r="O1223" s="4" t="s">
        <v>76</v>
      </c>
      <c r="P1223" s="4" t="s">
        <v>76</v>
      </c>
      <c r="Q1223" s="4" t="s">
        <v>1378</v>
      </c>
      <c r="R1223" s="9">
        <f t="shared" si="19"/>
        <v>4.7092472303766086E-5</v>
      </c>
    </row>
    <row r="1224" spans="1:18" hidden="1" x14ac:dyDescent="0.2">
      <c r="A1224" s="4">
        <v>1563</v>
      </c>
      <c r="B1224" s="2">
        <v>2357544</v>
      </c>
      <c r="C1224" s="2">
        <v>0</v>
      </c>
      <c r="D1224" s="4" t="s">
        <v>4155</v>
      </c>
      <c r="E1224" s="2">
        <v>2357544</v>
      </c>
      <c r="F1224" s="2">
        <v>447933.36</v>
      </c>
      <c r="G1224" s="2">
        <v>0</v>
      </c>
      <c r="H1224" s="4">
        <v>0</v>
      </c>
      <c r="I1224" s="4">
        <v>0</v>
      </c>
      <c r="J1224" s="4">
        <v>0</v>
      </c>
      <c r="K1224" s="4">
        <v>2805477.36</v>
      </c>
      <c r="L1224" s="4" t="s">
        <v>4153</v>
      </c>
      <c r="M1224" s="4" t="s">
        <v>4154</v>
      </c>
      <c r="N1224" s="4" t="s">
        <v>20</v>
      </c>
      <c r="O1224" s="4" t="s">
        <v>372</v>
      </c>
      <c r="P1224" s="4" t="s">
        <v>372</v>
      </c>
      <c r="Q1224" s="4" t="s">
        <v>100</v>
      </c>
      <c r="R1224" s="9">
        <f t="shared" si="19"/>
        <v>4.6962096403692892E-5</v>
      </c>
    </row>
    <row r="1225" spans="1:18" hidden="1" x14ac:dyDescent="0.2">
      <c r="A1225" s="4">
        <v>663</v>
      </c>
      <c r="B1225" s="2">
        <v>2355754</v>
      </c>
      <c r="C1225" s="2">
        <v>0</v>
      </c>
      <c r="D1225" s="4" t="s">
        <v>2523</v>
      </c>
      <c r="E1225" s="2">
        <v>2355754</v>
      </c>
      <c r="F1225" s="2">
        <v>447593.26</v>
      </c>
      <c r="G1225" s="2">
        <v>48370.05</v>
      </c>
      <c r="H1225" s="4">
        <v>0</v>
      </c>
      <c r="I1225" s="4">
        <v>0</v>
      </c>
      <c r="J1225" s="4">
        <v>48370.05</v>
      </c>
      <c r="K1225" s="4">
        <v>2754977.21</v>
      </c>
      <c r="L1225" s="4" t="s">
        <v>2521</v>
      </c>
      <c r="M1225" s="4" t="s">
        <v>2522</v>
      </c>
      <c r="N1225" s="4" t="s">
        <v>20</v>
      </c>
      <c r="O1225" s="4" t="s">
        <v>71</v>
      </c>
      <c r="P1225" s="4" t="s">
        <v>71</v>
      </c>
      <c r="Q1225" s="4" t="s">
        <v>100</v>
      </c>
      <c r="R1225" s="9">
        <f t="shared" si="19"/>
        <v>4.6926439740418481E-5</v>
      </c>
    </row>
    <row r="1226" spans="1:18" hidden="1" x14ac:dyDescent="0.2">
      <c r="A1226" s="4">
        <v>1053</v>
      </c>
      <c r="B1226" s="2">
        <v>2337010</v>
      </c>
      <c r="C1226" s="2">
        <v>0</v>
      </c>
      <c r="D1226" s="4" t="s">
        <v>3620</v>
      </c>
      <c r="E1226" s="2">
        <v>2337010</v>
      </c>
      <c r="F1226" s="2">
        <v>444031.9</v>
      </c>
      <c r="G1226" s="2">
        <v>58425.25</v>
      </c>
      <c r="H1226" s="4">
        <v>0</v>
      </c>
      <c r="I1226" s="4">
        <v>0</v>
      </c>
      <c r="J1226" s="4">
        <v>58425.25</v>
      </c>
      <c r="K1226" s="4">
        <v>2722616.65</v>
      </c>
      <c r="L1226" s="4" t="s">
        <v>3618</v>
      </c>
      <c r="M1226" s="4" t="s">
        <v>3619</v>
      </c>
      <c r="N1226" s="4" t="s">
        <v>20</v>
      </c>
      <c r="O1226" s="4" t="s">
        <v>76</v>
      </c>
      <c r="P1226" s="4" t="s">
        <v>76</v>
      </c>
      <c r="Q1226" s="4" t="s">
        <v>408</v>
      </c>
      <c r="R1226" s="9">
        <f t="shared" si="19"/>
        <v>4.655306069214162E-5</v>
      </c>
    </row>
    <row r="1227" spans="1:18" hidden="1" x14ac:dyDescent="0.2">
      <c r="A1227" s="4">
        <v>1232</v>
      </c>
      <c r="B1227" s="2">
        <v>2336001</v>
      </c>
      <c r="C1227" s="2">
        <v>0</v>
      </c>
      <c r="D1227" s="4" t="s">
        <v>2728</v>
      </c>
      <c r="E1227" s="2">
        <v>2336001</v>
      </c>
      <c r="F1227" s="2">
        <v>443840.19</v>
      </c>
      <c r="G1227" s="2">
        <v>0</v>
      </c>
      <c r="H1227" s="4">
        <v>0</v>
      </c>
      <c r="I1227" s="4">
        <v>0</v>
      </c>
      <c r="J1227" s="4">
        <v>0</v>
      </c>
      <c r="K1227" s="4">
        <v>2779841.19</v>
      </c>
      <c r="L1227" s="4" t="s">
        <v>2726</v>
      </c>
      <c r="M1227" s="4" t="s">
        <v>2727</v>
      </c>
      <c r="N1227" s="4" t="s">
        <v>20</v>
      </c>
      <c r="O1227" s="4" t="s">
        <v>316</v>
      </c>
      <c r="P1227" s="4" t="s">
        <v>316</v>
      </c>
      <c r="Q1227" s="4" t="s">
        <v>100</v>
      </c>
      <c r="R1227" s="9">
        <f t="shared" si="19"/>
        <v>4.6532961489212074E-5</v>
      </c>
    </row>
    <row r="1228" spans="1:18" hidden="1" x14ac:dyDescent="0.2">
      <c r="A1228" s="4">
        <v>91</v>
      </c>
      <c r="B1228" s="2">
        <v>2338064</v>
      </c>
      <c r="C1228" s="2">
        <v>4458.6000000000004</v>
      </c>
      <c r="D1228" s="4" t="s">
        <v>3003</v>
      </c>
      <c r="E1228" s="2">
        <v>2333605.4</v>
      </c>
      <c r="F1228" s="2">
        <v>443385.03</v>
      </c>
      <c r="G1228" s="2">
        <v>-483.53</v>
      </c>
      <c r="H1228" s="4">
        <v>0</v>
      </c>
      <c r="I1228" s="4">
        <v>0</v>
      </c>
      <c r="J1228" s="4">
        <v>-483.53</v>
      </c>
      <c r="K1228" s="4">
        <v>2777473.96</v>
      </c>
      <c r="L1228" s="4" t="s">
        <v>3001</v>
      </c>
      <c r="M1228" s="4" t="s">
        <v>3002</v>
      </c>
      <c r="N1228" s="4" t="s">
        <v>20</v>
      </c>
      <c r="O1228" s="4" t="s">
        <v>1157</v>
      </c>
      <c r="P1228" s="4" t="s">
        <v>1157</v>
      </c>
      <c r="Q1228" s="4" t="s">
        <v>100</v>
      </c>
      <c r="R1228" s="9">
        <f t="shared" si="19"/>
        <v>4.6485241320195211E-5</v>
      </c>
    </row>
    <row r="1229" spans="1:18" hidden="1" x14ac:dyDescent="0.2">
      <c r="A1229" s="4">
        <v>1492</v>
      </c>
      <c r="B1229" s="2">
        <v>2328318</v>
      </c>
      <c r="C1229" s="2">
        <v>0</v>
      </c>
      <c r="D1229" s="4" t="s">
        <v>3669</v>
      </c>
      <c r="E1229" s="2">
        <v>2328318</v>
      </c>
      <c r="F1229" s="2">
        <v>442380.42</v>
      </c>
      <c r="G1229" s="2">
        <v>0</v>
      </c>
      <c r="H1229" s="4">
        <v>0</v>
      </c>
      <c r="I1229" s="4">
        <v>0</v>
      </c>
      <c r="J1229" s="4">
        <v>0</v>
      </c>
      <c r="K1229" s="4">
        <v>2770698.42</v>
      </c>
      <c r="L1229" s="4" t="s">
        <v>3667</v>
      </c>
      <c r="M1229" s="4" t="s">
        <v>3668</v>
      </c>
      <c r="N1229" s="4" t="s">
        <v>20</v>
      </c>
      <c r="O1229" s="4" t="s">
        <v>768</v>
      </c>
      <c r="P1229" s="4" t="s">
        <v>768</v>
      </c>
      <c r="Q1229" s="4" t="s">
        <v>100</v>
      </c>
      <c r="R1229" s="9">
        <f t="shared" si="19"/>
        <v>4.6379916716062744E-5</v>
      </c>
    </row>
    <row r="1230" spans="1:18" hidden="1" x14ac:dyDescent="0.2">
      <c r="A1230" s="4">
        <v>71</v>
      </c>
      <c r="B1230" s="2">
        <v>2313651.34</v>
      </c>
      <c r="C1230" s="2">
        <v>0</v>
      </c>
      <c r="D1230" s="4" t="s">
        <v>5754</v>
      </c>
      <c r="E1230" s="2">
        <v>2313651.34</v>
      </c>
      <c r="F1230" s="2">
        <v>439593.75</v>
      </c>
      <c r="G1230" s="2">
        <v>57841.279999999999</v>
      </c>
      <c r="H1230" s="4">
        <v>0</v>
      </c>
      <c r="I1230" s="4">
        <v>0</v>
      </c>
      <c r="J1230" s="4">
        <v>57841.279999999999</v>
      </c>
      <c r="K1230" s="4">
        <v>2695403.81</v>
      </c>
      <c r="L1230" s="4" t="s">
        <v>5752</v>
      </c>
      <c r="M1230" s="4" t="s">
        <v>5753</v>
      </c>
      <c r="N1230" s="4" t="s">
        <v>20</v>
      </c>
      <c r="O1230" s="4" t="s">
        <v>76</v>
      </c>
      <c r="P1230" s="4" t="s">
        <v>76</v>
      </c>
      <c r="Q1230" s="4" t="s">
        <v>144</v>
      </c>
      <c r="R1230" s="9">
        <f t="shared" si="19"/>
        <v>4.6087757969146379E-5</v>
      </c>
    </row>
    <row r="1231" spans="1:18" hidden="1" x14ac:dyDescent="0.2">
      <c r="A1231" s="4">
        <v>1595</v>
      </c>
      <c r="B1231" s="2">
        <v>2318147</v>
      </c>
      <c r="C1231" s="2">
        <v>6619.62</v>
      </c>
      <c r="D1231" s="4" t="s">
        <v>2049</v>
      </c>
      <c r="E1231" s="2">
        <v>2311527.38</v>
      </c>
      <c r="F1231" s="2">
        <v>439190.2</v>
      </c>
      <c r="G1231" s="2">
        <v>0</v>
      </c>
      <c r="H1231" s="4">
        <v>0</v>
      </c>
      <c r="I1231" s="4">
        <v>0</v>
      </c>
      <c r="J1231" s="4">
        <v>0</v>
      </c>
      <c r="K1231" s="4">
        <v>2750717.58</v>
      </c>
      <c r="L1231" s="4" t="s">
        <v>2047</v>
      </c>
      <c r="M1231" s="4" t="s">
        <v>2048</v>
      </c>
      <c r="N1231" s="4" t="s">
        <v>20</v>
      </c>
      <c r="O1231" s="4" t="s">
        <v>1517</v>
      </c>
      <c r="P1231" s="4" t="s">
        <v>603</v>
      </c>
      <c r="Q1231" s="4" t="s">
        <v>100</v>
      </c>
      <c r="R1231" s="9">
        <f t="shared" si="19"/>
        <v>4.6045448848180835E-5</v>
      </c>
    </row>
    <row r="1232" spans="1:18" hidden="1" x14ac:dyDescent="0.2">
      <c r="A1232" s="4">
        <v>1205</v>
      </c>
      <c r="B1232" s="2">
        <v>2301810</v>
      </c>
      <c r="C1232" s="2">
        <v>0</v>
      </c>
      <c r="D1232" s="4" t="s">
        <v>3992</v>
      </c>
      <c r="E1232" s="2">
        <v>2301810</v>
      </c>
      <c r="F1232" s="2">
        <v>437343.9</v>
      </c>
      <c r="G1232" s="2">
        <v>0</v>
      </c>
      <c r="H1232" s="4">
        <v>0</v>
      </c>
      <c r="I1232" s="4">
        <v>0</v>
      </c>
      <c r="J1232" s="4">
        <v>0</v>
      </c>
      <c r="K1232" s="4">
        <v>2739153.9</v>
      </c>
      <c r="L1232" s="4" t="s">
        <v>3990</v>
      </c>
      <c r="M1232" s="4" t="s">
        <v>3991</v>
      </c>
      <c r="N1232" s="4" t="s">
        <v>2113</v>
      </c>
      <c r="O1232" s="4" t="s">
        <v>89</v>
      </c>
      <c r="P1232" s="4" t="s">
        <v>89</v>
      </c>
      <c r="Q1232" s="4" t="s">
        <v>100</v>
      </c>
      <c r="R1232" s="9">
        <f t="shared" si="19"/>
        <v>4.5851879380823577E-5</v>
      </c>
    </row>
    <row r="1233" spans="1:18" hidden="1" x14ac:dyDescent="0.2">
      <c r="A1233" s="4">
        <v>1509</v>
      </c>
      <c r="B1233" s="2">
        <v>2301056</v>
      </c>
      <c r="C1233" s="2">
        <v>0</v>
      </c>
      <c r="D1233" s="4" t="s">
        <v>5757</v>
      </c>
      <c r="E1233" s="2">
        <v>2301056</v>
      </c>
      <c r="F1233" s="2">
        <v>437200.64000000001</v>
      </c>
      <c r="G1233" s="2">
        <v>57526.400000000001</v>
      </c>
      <c r="H1233" s="4">
        <v>0</v>
      </c>
      <c r="I1233" s="4">
        <v>0</v>
      </c>
      <c r="J1233" s="4">
        <v>57526.400000000001</v>
      </c>
      <c r="K1233" s="4">
        <v>2680730.2400000002</v>
      </c>
      <c r="L1233" s="4" t="s">
        <v>5755</v>
      </c>
      <c r="M1233" s="4" t="s">
        <v>5756</v>
      </c>
      <c r="N1233" s="4" t="s">
        <v>5758</v>
      </c>
      <c r="O1233" s="4" t="s">
        <v>229</v>
      </c>
      <c r="P1233" s="4" t="s">
        <v>229</v>
      </c>
      <c r="Q1233" s="4" t="s">
        <v>100</v>
      </c>
      <c r="R1233" s="9">
        <f t="shared" si="19"/>
        <v>4.5836859758416363E-5</v>
      </c>
    </row>
    <row r="1234" spans="1:18" hidden="1" x14ac:dyDescent="0.2">
      <c r="A1234" s="4">
        <v>1871</v>
      </c>
      <c r="B1234" s="2">
        <v>2286215</v>
      </c>
      <c r="C1234" s="2">
        <v>0</v>
      </c>
      <c r="D1234" s="4" t="s">
        <v>3742</v>
      </c>
      <c r="E1234" s="2">
        <v>2286215</v>
      </c>
      <c r="F1234" s="2">
        <v>434380.85</v>
      </c>
      <c r="G1234" s="2">
        <v>0</v>
      </c>
      <c r="H1234" s="4">
        <v>0</v>
      </c>
      <c r="I1234" s="4">
        <v>0</v>
      </c>
      <c r="J1234" s="4">
        <v>0</v>
      </c>
      <c r="K1234" s="4">
        <v>2720595.85</v>
      </c>
      <c r="L1234" s="4" t="s">
        <v>3740</v>
      </c>
      <c r="M1234" s="4" t="s">
        <v>3741</v>
      </c>
      <c r="N1234" s="4" t="s">
        <v>332</v>
      </c>
      <c r="O1234" s="4" t="s">
        <v>1127</v>
      </c>
      <c r="P1234" s="4" t="s">
        <v>1127</v>
      </c>
      <c r="Q1234" s="4" t="s">
        <v>100</v>
      </c>
      <c r="R1234" s="9">
        <f t="shared" si="19"/>
        <v>4.5541228172016617E-5</v>
      </c>
    </row>
    <row r="1235" spans="1:18" hidden="1" x14ac:dyDescent="0.2">
      <c r="A1235" s="4">
        <v>1696</v>
      </c>
      <c r="B1235" s="2">
        <v>2280718</v>
      </c>
      <c r="C1235" s="2">
        <v>0</v>
      </c>
      <c r="D1235" s="4" t="s">
        <v>3794</v>
      </c>
      <c r="E1235" s="2">
        <v>2280718</v>
      </c>
      <c r="F1235" s="2">
        <v>433336.42</v>
      </c>
      <c r="G1235" s="2">
        <v>0</v>
      </c>
      <c r="H1235" s="4">
        <v>0</v>
      </c>
      <c r="I1235" s="4">
        <v>0</v>
      </c>
      <c r="J1235" s="4">
        <v>0</v>
      </c>
      <c r="K1235" s="4">
        <v>2714054.42</v>
      </c>
      <c r="L1235" s="4" t="s">
        <v>3792</v>
      </c>
      <c r="M1235" s="4" t="s">
        <v>3793</v>
      </c>
      <c r="N1235" s="4" t="s">
        <v>20</v>
      </c>
      <c r="O1235" s="4" t="s">
        <v>631</v>
      </c>
      <c r="P1235" s="4" t="s">
        <v>631</v>
      </c>
      <c r="Q1235" s="4" t="s">
        <v>100</v>
      </c>
      <c r="R1235" s="9">
        <f t="shared" si="19"/>
        <v>4.5431728351894021E-5</v>
      </c>
    </row>
    <row r="1236" spans="1:18" hidden="1" x14ac:dyDescent="0.2">
      <c r="A1236" s="4">
        <v>786</v>
      </c>
      <c r="B1236" s="2">
        <v>2277808</v>
      </c>
      <c r="C1236" s="2">
        <v>0</v>
      </c>
      <c r="D1236" s="4" t="s">
        <v>5761</v>
      </c>
      <c r="E1236" s="2">
        <v>2277808</v>
      </c>
      <c r="F1236" s="2">
        <v>432783.52</v>
      </c>
      <c r="G1236" s="2">
        <v>0</v>
      </c>
      <c r="H1236" s="4">
        <v>0</v>
      </c>
      <c r="I1236" s="4">
        <v>0</v>
      </c>
      <c r="J1236" s="4">
        <v>0</v>
      </c>
      <c r="K1236" s="4">
        <v>2710591.52</v>
      </c>
      <c r="L1236" s="4" t="s">
        <v>5759</v>
      </c>
      <c r="M1236" s="4" t="s">
        <v>5760</v>
      </c>
      <c r="N1236" s="4" t="s">
        <v>648</v>
      </c>
      <c r="O1236" s="4" t="s">
        <v>340</v>
      </c>
      <c r="P1236" s="4" t="s">
        <v>340</v>
      </c>
      <c r="Q1236" s="4" t="s">
        <v>100</v>
      </c>
      <c r="R1236" s="9">
        <f t="shared" si="19"/>
        <v>4.5373761374168581E-5</v>
      </c>
    </row>
    <row r="1237" spans="1:18" hidden="1" x14ac:dyDescent="0.2">
      <c r="A1237" s="4">
        <v>922</v>
      </c>
      <c r="B1237" s="2">
        <v>2271880</v>
      </c>
      <c r="C1237" s="2">
        <v>0</v>
      </c>
      <c r="D1237" s="4" t="s">
        <v>5764</v>
      </c>
      <c r="E1237" s="2">
        <v>2271880</v>
      </c>
      <c r="F1237" s="2">
        <v>431657.2</v>
      </c>
      <c r="G1237" s="2">
        <v>0</v>
      </c>
      <c r="H1237" s="4">
        <v>0</v>
      </c>
      <c r="I1237" s="4">
        <v>0</v>
      </c>
      <c r="J1237" s="4">
        <v>0</v>
      </c>
      <c r="K1237" s="4">
        <v>2703537.2</v>
      </c>
      <c r="L1237" s="4" t="s">
        <v>5762</v>
      </c>
      <c r="M1237" s="4" t="s">
        <v>5763</v>
      </c>
      <c r="N1237" s="4" t="s">
        <v>20</v>
      </c>
      <c r="O1237" s="4" t="s">
        <v>631</v>
      </c>
      <c r="P1237" s="4" t="s">
        <v>631</v>
      </c>
      <c r="Q1237" s="4" t="s">
        <v>100</v>
      </c>
      <c r="R1237" s="9">
        <f t="shared" si="19"/>
        <v>4.5255676066967064E-5</v>
      </c>
    </row>
    <row r="1238" spans="1:18" hidden="1" x14ac:dyDescent="0.2">
      <c r="A1238" s="4">
        <v>1794</v>
      </c>
      <c r="B1238" s="2">
        <v>2266688</v>
      </c>
      <c r="C1238" s="2">
        <v>0</v>
      </c>
      <c r="D1238" s="4" t="s">
        <v>3015</v>
      </c>
      <c r="E1238" s="2">
        <v>2266688</v>
      </c>
      <c r="F1238" s="2">
        <v>430670.72</v>
      </c>
      <c r="G1238" s="2">
        <v>0</v>
      </c>
      <c r="H1238" s="4">
        <v>0</v>
      </c>
      <c r="I1238" s="4">
        <v>0</v>
      </c>
      <c r="J1238" s="4">
        <v>0</v>
      </c>
      <c r="K1238" s="4">
        <v>2697358.72</v>
      </c>
      <c r="L1238" s="4" t="s">
        <v>3013</v>
      </c>
      <c r="M1238" s="4" t="s">
        <v>3014</v>
      </c>
      <c r="N1238" s="4" t="s">
        <v>329</v>
      </c>
      <c r="O1238" s="4" t="s">
        <v>89</v>
      </c>
      <c r="P1238" s="4" t="s">
        <v>89</v>
      </c>
      <c r="Q1238" s="4" t="s">
        <v>100</v>
      </c>
      <c r="R1238" s="9">
        <f t="shared" si="19"/>
        <v>4.5152251823547655E-5</v>
      </c>
    </row>
    <row r="1239" spans="1:18" hidden="1" x14ac:dyDescent="0.2">
      <c r="A1239" s="4">
        <v>1635</v>
      </c>
      <c r="B1239" s="2">
        <v>2290572</v>
      </c>
      <c r="C1239" s="2">
        <v>27693.18</v>
      </c>
      <c r="D1239" s="4" t="s">
        <v>4845</v>
      </c>
      <c r="E1239" s="2">
        <v>2262878.8199999998</v>
      </c>
      <c r="F1239" s="2">
        <v>429946.97</v>
      </c>
      <c r="G1239" s="2">
        <v>0</v>
      </c>
      <c r="H1239" s="4">
        <v>0</v>
      </c>
      <c r="I1239" s="4">
        <v>0</v>
      </c>
      <c r="J1239" s="4">
        <v>0</v>
      </c>
      <c r="K1239" s="4">
        <v>2692825.79</v>
      </c>
      <c r="L1239" s="4" t="s">
        <v>4843</v>
      </c>
      <c r="M1239" s="4" t="s">
        <v>4844</v>
      </c>
      <c r="N1239" s="4" t="s">
        <v>20</v>
      </c>
      <c r="O1239" s="4" t="s">
        <v>2863</v>
      </c>
      <c r="P1239" s="4" t="s">
        <v>2863</v>
      </c>
      <c r="Q1239" s="4" t="s">
        <v>100</v>
      </c>
      <c r="R1239" s="9">
        <f t="shared" si="19"/>
        <v>4.5076373248904284E-5</v>
      </c>
    </row>
    <row r="1240" spans="1:18" hidden="1" x14ac:dyDescent="0.2">
      <c r="A1240" s="4">
        <v>1517</v>
      </c>
      <c r="B1240" s="2">
        <v>2235705</v>
      </c>
      <c r="C1240" s="2">
        <v>0</v>
      </c>
      <c r="D1240" s="4" t="s">
        <v>2847</v>
      </c>
      <c r="E1240" s="2">
        <v>2235705</v>
      </c>
      <c r="F1240" s="2">
        <v>424783.95</v>
      </c>
      <c r="G1240" s="2">
        <v>0</v>
      </c>
      <c r="H1240" s="4">
        <v>0</v>
      </c>
      <c r="I1240" s="4">
        <v>0</v>
      </c>
      <c r="J1240" s="4">
        <v>0</v>
      </c>
      <c r="K1240" s="4">
        <v>2660488.9500000002</v>
      </c>
      <c r="L1240" s="4" t="s">
        <v>2845</v>
      </c>
      <c r="M1240" s="4" t="s">
        <v>2846</v>
      </c>
      <c r="N1240" s="4" t="s">
        <v>20</v>
      </c>
      <c r="O1240" s="4" t="s">
        <v>372</v>
      </c>
      <c r="P1240" s="4" t="s">
        <v>372</v>
      </c>
      <c r="Q1240" s="4" t="s">
        <v>100</v>
      </c>
      <c r="R1240" s="9">
        <f t="shared" si="19"/>
        <v>4.4535072830122453E-5</v>
      </c>
    </row>
    <row r="1241" spans="1:18" hidden="1" x14ac:dyDescent="0.2">
      <c r="A1241" s="4">
        <v>1713</v>
      </c>
      <c r="B1241" s="2">
        <v>2243133</v>
      </c>
      <c r="C1241" s="2">
        <v>9524.8799999999992</v>
      </c>
      <c r="D1241" s="4" t="s">
        <v>2919</v>
      </c>
      <c r="E1241" s="2">
        <v>2233608.12</v>
      </c>
      <c r="F1241" s="2">
        <v>424385.54</v>
      </c>
      <c r="G1241" s="2">
        <v>0</v>
      </c>
      <c r="H1241" s="4">
        <v>0</v>
      </c>
      <c r="I1241" s="4">
        <v>0</v>
      </c>
      <c r="J1241" s="4">
        <v>0</v>
      </c>
      <c r="K1241" s="4">
        <v>2657993.66</v>
      </c>
      <c r="L1241" s="4" t="s">
        <v>2917</v>
      </c>
      <c r="M1241" s="4" t="s">
        <v>2918</v>
      </c>
      <c r="N1241" s="4" t="s">
        <v>20</v>
      </c>
      <c r="O1241" s="4" t="s">
        <v>1356</v>
      </c>
      <c r="P1241" s="4" t="s">
        <v>1356</v>
      </c>
      <c r="Q1241" s="4" t="s">
        <v>100</v>
      </c>
      <c r="R1241" s="9">
        <f t="shared" si="19"/>
        <v>4.4493303140688464E-5</v>
      </c>
    </row>
    <row r="1242" spans="1:18" hidden="1" x14ac:dyDescent="0.2">
      <c r="A1242" s="4">
        <v>2009</v>
      </c>
      <c r="B1242" s="2">
        <v>2233078</v>
      </c>
      <c r="C1242" s="2">
        <v>0</v>
      </c>
      <c r="D1242" s="4" t="s">
        <v>3381</v>
      </c>
      <c r="E1242" s="2">
        <v>2233078</v>
      </c>
      <c r="F1242" s="2">
        <v>424284.82</v>
      </c>
      <c r="G1242" s="2">
        <v>0</v>
      </c>
      <c r="H1242" s="4">
        <v>0</v>
      </c>
      <c r="I1242" s="4">
        <v>0</v>
      </c>
      <c r="J1242" s="4">
        <v>0</v>
      </c>
      <c r="K1242" s="4">
        <v>2657362.8199999998</v>
      </c>
      <c r="L1242" s="4" t="s">
        <v>3379</v>
      </c>
      <c r="M1242" s="4" t="s">
        <v>3380</v>
      </c>
      <c r="N1242" s="4" t="s">
        <v>1421</v>
      </c>
      <c r="O1242" s="4" t="s">
        <v>340</v>
      </c>
      <c r="P1242" s="4" t="s">
        <v>340</v>
      </c>
      <c r="Q1242" s="4" t="s">
        <v>100</v>
      </c>
      <c r="R1242" s="9">
        <f t="shared" si="19"/>
        <v>4.4482743190780623E-5</v>
      </c>
    </row>
    <row r="1243" spans="1:18" hidden="1" x14ac:dyDescent="0.2">
      <c r="A1243" s="4">
        <v>873</v>
      </c>
      <c r="B1243" s="2">
        <v>2228233</v>
      </c>
      <c r="C1243" s="2">
        <v>0</v>
      </c>
      <c r="D1243" s="4" t="s">
        <v>3822</v>
      </c>
      <c r="E1243" s="2">
        <v>2228233</v>
      </c>
      <c r="F1243" s="2">
        <v>423364.27</v>
      </c>
      <c r="G1243" s="2">
        <v>0</v>
      </c>
      <c r="H1243" s="4">
        <v>0</v>
      </c>
      <c r="I1243" s="4">
        <v>0</v>
      </c>
      <c r="J1243" s="4">
        <v>0</v>
      </c>
      <c r="K1243" s="4">
        <v>2651597.27</v>
      </c>
      <c r="L1243" s="4" t="s">
        <v>3820</v>
      </c>
      <c r="M1243" s="4" t="s">
        <v>3821</v>
      </c>
      <c r="N1243" s="4" t="s">
        <v>20</v>
      </c>
      <c r="O1243" s="4" t="s">
        <v>631</v>
      </c>
      <c r="P1243" s="4" t="s">
        <v>631</v>
      </c>
      <c r="Q1243" s="4" t="s">
        <v>100</v>
      </c>
      <c r="R1243" s="9">
        <f t="shared" si="19"/>
        <v>4.4386231160856304E-5</v>
      </c>
    </row>
    <row r="1244" spans="1:18" hidden="1" x14ac:dyDescent="0.2">
      <c r="A1244" s="4">
        <v>310</v>
      </c>
      <c r="B1244" s="2">
        <v>2216538</v>
      </c>
      <c r="C1244" s="2">
        <v>0</v>
      </c>
      <c r="D1244" s="4" t="s">
        <v>3730</v>
      </c>
      <c r="E1244" s="2">
        <v>2216538</v>
      </c>
      <c r="F1244" s="2">
        <v>421142.22</v>
      </c>
      <c r="G1244" s="2">
        <v>0</v>
      </c>
      <c r="H1244" s="4">
        <v>0</v>
      </c>
      <c r="I1244" s="4">
        <v>0</v>
      </c>
      <c r="J1244" s="4">
        <v>0</v>
      </c>
      <c r="K1244" s="4">
        <v>2637680.2200000002</v>
      </c>
      <c r="L1244" s="4" t="s">
        <v>3728</v>
      </c>
      <c r="M1244" s="4" t="s">
        <v>3729</v>
      </c>
      <c r="N1244" s="4" t="s">
        <v>88</v>
      </c>
      <c r="O1244" s="4" t="s">
        <v>89</v>
      </c>
      <c r="P1244" s="4" t="s">
        <v>89</v>
      </c>
      <c r="Q1244" s="4" t="s">
        <v>100</v>
      </c>
      <c r="R1244" s="9">
        <f t="shared" si="19"/>
        <v>4.4153267654155609E-5</v>
      </c>
    </row>
    <row r="1245" spans="1:18" hidden="1" x14ac:dyDescent="0.2">
      <c r="A1245" s="4">
        <v>1657</v>
      </c>
      <c r="B1245" s="2">
        <v>2216400</v>
      </c>
      <c r="C1245" s="2">
        <v>0</v>
      </c>
      <c r="D1245" s="4" t="s">
        <v>5767</v>
      </c>
      <c r="E1245" s="2">
        <v>2216400</v>
      </c>
      <c r="F1245" s="2">
        <v>421116</v>
      </c>
      <c r="G1245" s="2">
        <v>0</v>
      </c>
      <c r="H1245" s="4">
        <v>0</v>
      </c>
      <c r="I1245" s="4">
        <v>0</v>
      </c>
      <c r="J1245" s="4">
        <v>0</v>
      </c>
      <c r="K1245" s="4">
        <v>2637516</v>
      </c>
      <c r="L1245" s="4" t="s">
        <v>5765</v>
      </c>
      <c r="M1245" s="4" t="s">
        <v>5766</v>
      </c>
      <c r="N1245" s="4" t="s">
        <v>293</v>
      </c>
      <c r="O1245" s="4" t="s">
        <v>229</v>
      </c>
      <c r="P1245" s="4" t="s">
        <v>229</v>
      </c>
      <c r="Q1245" s="4" t="s">
        <v>100</v>
      </c>
      <c r="R1245" s="9">
        <f t="shared" si="19"/>
        <v>4.4150518704696466E-5</v>
      </c>
    </row>
    <row r="1246" spans="1:18" hidden="1" x14ac:dyDescent="0.2">
      <c r="A1246" s="4">
        <v>768</v>
      </c>
      <c r="B1246" s="2">
        <v>2213979</v>
      </c>
      <c r="C1246" s="2">
        <v>0</v>
      </c>
      <c r="D1246" s="4" t="s">
        <v>4301</v>
      </c>
      <c r="E1246" s="2">
        <v>2213979</v>
      </c>
      <c r="F1246" s="2">
        <v>420656.01</v>
      </c>
      <c r="G1246" s="2">
        <v>55349.48</v>
      </c>
      <c r="H1246" s="4">
        <v>0</v>
      </c>
      <c r="I1246" s="4">
        <v>0</v>
      </c>
      <c r="J1246" s="4">
        <v>55349.48</v>
      </c>
      <c r="K1246" s="4">
        <v>2579285.5299999998</v>
      </c>
      <c r="L1246" s="4" t="s">
        <v>4299</v>
      </c>
      <c r="M1246" s="4" t="s">
        <v>4300</v>
      </c>
      <c r="N1246" s="4" t="s">
        <v>1100</v>
      </c>
      <c r="O1246" s="4" t="s">
        <v>229</v>
      </c>
      <c r="P1246" s="4" t="s">
        <v>229</v>
      </c>
      <c r="Q1246" s="4" t="s">
        <v>100</v>
      </c>
      <c r="R1246" s="9">
        <f t="shared" si="19"/>
        <v>4.4102292569619734E-5</v>
      </c>
    </row>
    <row r="1247" spans="1:18" hidden="1" x14ac:dyDescent="0.2">
      <c r="A1247" s="4">
        <v>1538</v>
      </c>
      <c r="B1247" s="2">
        <v>2213380</v>
      </c>
      <c r="C1247" s="2">
        <v>0</v>
      </c>
      <c r="D1247" s="4" t="s">
        <v>4029</v>
      </c>
      <c r="E1247" s="2">
        <v>2213380</v>
      </c>
      <c r="F1247" s="2">
        <v>420542.2</v>
      </c>
      <c r="G1247" s="2">
        <v>0</v>
      </c>
      <c r="H1247" s="4">
        <v>0</v>
      </c>
      <c r="I1247" s="4">
        <v>0</v>
      </c>
      <c r="J1247" s="4">
        <v>0</v>
      </c>
      <c r="K1247" s="4">
        <v>2633922.2000000002</v>
      </c>
      <c r="L1247" s="4" t="s">
        <v>4027</v>
      </c>
      <c r="M1247" s="4" t="s">
        <v>4028</v>
      </c>
      <c r="N1247" s="4" t="s">
        <v>20</v>
      </c>
      <c r="O1247" s="4" t="s">
        <v>1043</v>
      </c>
      <c r="P1247" s="4" t="s">
        <v>1043</v>
      </c>
      <c r="Q1247" s="4" t="s">
        <v>100</v>
      </c>
      <c r="R1247" s="9">
        <f t="shared" si="19"/>
        <v>4.4090360535373156E-5</v>
      </c>
    </row>
    <row r="1248" spans="1:18" hidden="1" x14ac:dyDescent="0.2">
      <c r="A1248" s="4">
        <v>547</v>
      </c>
      <c r="B1248" s="2">
        <v>2192531.2000000002</v>
      </c>
      <c r="C1248" s="2">
        <v>0</v>
      </c>
      <c r="D1248" s="4" t="s">
        <v>5770</v>
      </c>
      <c r="E1248" s="2">
        <v>2192531.2000000002</v>
      </c>
      <c r="F1248" s="2">
        <v>416580.93</v>
      </c>
      <c r="G1248" s="2">
        <v>0</v>
      </c>
      <c r="H1248" s="4">
        <v>0</v>
      </c>
      <c r="I1248" s="4">
        <v>0</v>
      </c>
      <c r="J1248" s="4">
        <v>0</v>
      </c>
      <c r="K1248" s="4">
        <v>2609112.13</v>
      </c>
      <c r="L1248" s="4" t="s">
        <v>5768</v>
      </c>
      <c r="M1248" s="4" t="s">
        <v>5769</v>
      </c>
      <c r="N1248" s="4" t="s">
        <v>20</v>
      </c>
      <c r="O1248" s="4" t="s">
        <v>386</v>
      </c>
      <c r="P1248" s="4" t="s">
        <v>386</v>
      </c>
      <c r="Q1248" s="4" t="s">
        <v>144</v>
      </c>
      <c r="R1248" s="9">
        <f t="shared" si="19"/>
        <v>4.3675054031867262E-5</v>
      </c>
    </row>
    <row r="1249" spans="1:18" hidden="1" x14ac:dyDescent="0.2">
      <c r="A1249" s="4">
        <v>1633</v>
      </c>
      <c r="B1249" s="2">
        <v>2179766</v>
      </c>
      <c r="C1249" s="2">
        <v>0</v>
      </c>
      <c r="D1249" s="4" t="s">
        <v>5773</v>
      </c>
      <c r="E1249" s="2">
        <v>2179766</v>
      </c>
      <c r="F1249" s="2">
        <v>414155.54</v>
      </c>
      <c r="G1249" s="2">
        <v>54494.15</v>
      </c>
      <c r="H1249" s="4">
        <v>0</v>
      </c>
      <c r="I1249" s="4">
        <v>0</v>
      </c>
      <c r="J1249" s="4">
        <v>54494.15</v>
      </c>
      <c r="K1249" s="4">
        <v>2539427.39</v>
      </c>
      <c r="L1249" s="4" t="s">
        <v>5771</v>
      </c>
      <c r="M1249" s="4" t="s">
        <v>5772</v>
      </c>
      <c r="N1249" s="4" t="s">
        <v>464</v>
      </c>
      <c r="O1249" s="4" t="s">
        <v>105</v>
      </c>
      <c r="P1249" s="4" t="s">
        <v>105</v>
      </c>
      <c r="Q1249" s="4" t="s">
        <v>100</v>
      </c>
      <c r="R1249" s="9">
        <f t="shared" si="19"/>
        <v>4.3420772222911654E-5</v>
      </c>
    </row>
    <row r="1250" spans="1:18" hidden="1" x14ac:dyDescent="0.2">
      <c r="A1250" s="4">
        <v>1257</v>
      </c>
      <c r="B1250" s="2">
        <v>2178258</v>
      </c>
      <c r="C1250" s="2">
        <v>0</v>
      </c>
      <c r="D1250" s="4" t="s">
        <v>3641</v>
      </c>
      <c r="E1250" s="2">
        <v>2178258</v>
      </c>
      <c r="F1250" s="2">
        <v>413869.02</v>
      </c>
      <c r="G1250" s="2">
        <v>0</v>
      </c>
      <c r="H1250" s="4">
        <v>0</v>
      </c>
      <c r="I1250" s="4">
        <v>0</v>
      </c>
      <c r="J1250" s="4">
        <v>0</v>
      </c>
      <c r="K1250" s="4">
        <v>2592127.02</v>
      </c>
      <c r="L1250" s="4" t="s">
        <v>3639</v>
      </c>
      <c r="M1250" s="4" t="s">
        <v>3640</v>
      </c>
      <c r="N1250" s="4" t="s">
        <v>20</v>
      </c>
      <c r="O1250" s="4" t="s">
        <v>1043</v>
      </c>
      <c r="P1250" s="4" t="s">
        <v>1043</v>
      </c>
      <c r="Q1250" s="4" t="s">
        <v>100</v>
      </c>
      <c r="R1250" s="9">
        <f t="shared" si="19"/>
        <v>4.3390732978097234E-5</v>
      </c>
    </row>
    <row r="1251" spans="1:18" hidden="1" x14ac:dyDescent="0.2">
      <c r="A1251" s="4">
        <v>1067</v>
      </c>
      <c r="B1251" s="2">
        <v>2160354</v>
      </c>
      <c r="C1251" s="2">
        <v>0</v>
      </c>
      <c r="D1251" s="4" t="s">
        <v>2380</v>
      </c>
      <c r="E1251" s="2">
        <v>2160354</v>
      </c>
      <c r="F1251" s="2">
        <v>410467.26</v>
      </c>
      <c r="G1251" s="2">
        <v>0</v>
      </c>
      <c r="H1251" s="4">
        <v>0</v>
      </c>
      <c r="I1251" s="4">
        <v>0</v>
      </c>
      <c r="J1251" s="4">
        <v>0</v>
      </c>
      <c r="K1251" s="4">
        <v>2570821.2599999998</v>
      </c>
      <c r="L1251" s="4" t="s">
        <v>2378</v>
      </c>
      <c r="M1251" s="4" t="s">
        <v>2379</v>
      </c>
      <c r="N1251" s="4" t="s">
        <v>20</v>
      </c>
      <c r="O1251" s="4" t="s">
        <v>76</v>
      </c>
      <c r="P1251" s="4" t="s">
        <v>76</v>
      </c>
      <c r="Q1251" s="4" t="s">
        <v>585</v>
      </c>
      <c r="R1251" s="9">
        <f t="shared" si="19"/>
        <v>4.3034086665658646E-5</v>
      </c>
    </row>
    <row r="1252" spans="1:18" hidden="1" x14ac:dyDescent="0.2">
      <c r="A1252" s="4">
        <v>1772</v>
      </c>
      <c r="B1252" s="2">
        <v>2149237.56</v>
      </c>
      <c r="C1252" s="2">
        <v>0</v>
      </c>
      <c r="D1252" s="4" t="s">
        <v>5776</v>
      </c>
      <c r="E1252" s="2">
        <v>2149237.56</v>
      </c>
      <c r="F1252" s="2">
        <v>0</v>
      </c>
      <c r="G1252" s="2">
        <v>53730.94</v>
      </c>
      <c r="H1252" s="4">
        <v>0</v>
      </c>
      <c r="I1252" s="4">
        <v>0</v>
      </c>
      <c r="J1252" s="4">
        <v>53730.94</v>
      </c>
      <c r="K1252" s="4">
        <v>2095506.62</v>
      </c>
      <c r="L1252" s="4" t="s">
        <v>5774</v>
      </c>
      <c r="M1252" s="4" t="s">
        <v>5775</v>
      </c>
      <c r="N1252" s="4" t="s">
        <v>5777</v>
      </c>
      <c r="O1252" s="4" t="s">
        <v>900</v>
      </c>
      <c r="P1252" s="4" t="s">
        <v>900</v>
      </c>
      <c r="Q1252" s="4" t="s">
        <v>144</v>
      </c>
      <c r="R1252" s="9">
        <f t="shared" si="19"/>
        <v>4.2812648029965798E-5</v>
      </c>
    </row>
    <row r="1253" spans="1:18" hidden="1" x14ac:dyDescent="0.2">
      <c r="A1253" s="4">
        <v>1991</v>
      </c>
      <c r="B1253" s="2">
        <v>2134516</v>
      </c>
      <c r="C1253" s="2">
        <v>0</v>
      </c>
      <c r="D1253" s="4" t="s">
        <v>4488</v>
      </c>
      <c r="E1253" s="2">
        <v>2134516</v>
      </c>
      <c r="F1253" s="2">
        <v>405558.04</v>
      </c>
      <c r="G1253" s="2">
        <v>0</v>
      </c>
      <c r="H1253" s="4">
        <v>0</v>
      </c>
      <c r="I1253" s="4">
        <v>0</v>
      </c>
      <c r="J1253" s="4">
        <v>0</v>
      </c>
      <c r="K1253" s="4">
        <v>2540074.04</v>
      </c>
      <c r="L1253" s="4" t="s">
        <v>4486</v>
      </c>
      <c r="M1253" s="4" t="s">
        <v>4487</v>
      </c>
      <c r="N1253" s="4" t="s">
        <v>20</v>
      </c>
      <c r="O1253" s="4" t="s">
        <v>372</v>
      </c>
      <c r="P1253" s="4" t="s">
        <v>372</v>
      </c>
      <c r="Q1253" s="4" t="s">
        <v>100</v>
      </c>
      <c r="R1253" s="9">
        <f t="shared" si="19"/>
        <v>4.251939567924286E-5</v>
      </c>
    </row>
    <row r="1254" spans="1:18" hidden="1" x14ac:dyDescent="0.2">
      <c r="A1254" s="4">
        <v>1265</v>
      </c>
      <c r="B1254" s="2">
        <v>2133771</v>
      </c>
      <c r="C1254" s="2">
        <v>15422.7</v>
      </c>
      <c r="D1254" s="4" t="s">
        <v>4727</v>
      </c>
      <c r="E1254" s="2">
        <v>2118348.2999999998</v>
      </c>
      <c r="F1254" s="2">
        <v>402486.18</v>
      </c>
      <c r="G1254" s="2">
        <v>0</v>
      </c>
      <c r="H1254" s="4">
        <v>0</v>
      </c>
      <c r="I1254" s="4">
        <v>0</v>
      </c>
      <c r="J1254" s="4">
        <v>0</v>
      </c>
      <c r="K1254" s="4">
        <v>2520834.48</v>
      </c>
      <c r="L1254" s="4" t="s">
        <v>4725</v>
      </c>
      <c r="M1254" s="4" t="s">
        <v>4726</v>
      </c>
      <c r="N1254" s="4" t="s">
        <v>20</v>
      </c>
      <c r="O1254" s="4" t="s">
        <v>2863</v>
      </c>
      <c r="P1254" s="4" t="s">
        <v>2863</v>
      </c>
      <c r="Q1254" s="4" t="s">
        <v>100</v>
      </c>
      <c r="R1254" s="9">
        <f t="shared" si="19"/>
        <v>4.2197336330180451E-5</v>
      </c>
    </row>
    <row r="1255" spans="1:18" hidden="1" x14ac:dyDescent="0.2">
      <c r="A1255" s="4">
        <v>640</v>
      </c>
      <c r="B1255" s="2">
        <v>2106469</v>
      </c>
      <c r="C1255" s="2">
        <v>0</v>
      </c>
      <c r="D1255" s="4" t="s">
        <v>3093</v>
      </c>
      <c r="E1255" s="2">
        <v>2106469</v>
      </c>
      <c r="F1255" s="2">
        <v>400229.11</v>
      </c>
      <c r="G1255" s="2">
        <v>0</v>
      </c>
      <c r="H1255" s="4">
        <v>0</v>
      </c>
      <c r="I1255" s="4">
        <v>0</v>
      </c>
      <c r="J1255" s="4">
        <v>0</v>
      </c>
      <c r="K1255" s="4">
        <v>2506698.11</v>
      </c>
      <c r="L1255" s="4" t="s">
        <v>3091</v>
      </c>
      <c r="M1255" s="4" t="s">
        <v>3092</v>
      </c>
      <c r="N1255" s="4" t="s">
        <v>1366</v>
      </c>
      <c r="O1255" s="4" t="s">
        <v>59</v>
      </c>
      <c r="P1255" s="4" t="s">
        <v>59</v>
      </c>
      <c r="Q1255" s="4" t="s">
        <v>100</v>
      </c>
      <c r="R1255" s="9">
        <f t="shared" si="19"/>
        <v>4.1960701581557144E-5</v>
      </c>
    </row>
    <row r="1256" spans="1:18" hidden="1" x14ac:dyDescent="0.2">
      <c r="A1256" s="4">
        <v>1712</v>
      </c>
      <c r="B1256" s="2">
        <v>2105878</v>
      </c>
      <c r="C1256" s="2">
        <v>0</v>
      </c>
      <c r="D1256" s="4" t="s">
        <v>4875</v>
      </c>
      <c r="E1256" s="2">
        <v>2105878</v>
      </c>
      <c r="F1256" s="2">
        <v>400116.82</v>
      </c>
      <c r="G1256" s="2">
        <v>0</v>
      </c>
      <c r="H1256" s="4">
        <v>0</v>
      </c>
      <c r="I1256" s="4">
        <v>0</v>
      </c>
      <c r="J1256" s="4">
        <v>0</v>
      </c>
      <c r="K1256" s="4">
        <v>2505994.8199999998</v>
      </c>
      <c r="L1256" s="4" t="s">
        <v>4873</v>
      </c>
      <c r="M1256" s="4" t="s">
        <v>4874</v>
      </c>
      <c r="N1256" s="4" t="s">
        <v>975</v>
      </c>
      <c r="O1256" s="4" t="s">
        <v>89</v>
      </c>
      <c r="P1256" s="4" t="s">
        <v>89</v>
      </c>
      <c r="Q1256" s="4" t="s">
        <v>100</v>
      </c>
      <c r="R1256" s="9">
        <f t="shared" si="19"/>
        <v>4.1948928906699504E-5</v>
      </c>
    </row>
    <row r="1257" spans="1:18" hidden="1" x14ac:dyDescent="0.2">
      <c r="A1257" s="4">
        <v>1850</v>
      </c>
      <c r="B1257" s="2">
        <v>2080416</v>
      </c>
      <c r="C1257" s="2">
        <v>0</v>
      </c>
      <c r="D1257" s="4" t="s">
        <v>4277</v>
      </c>
      <c r="E1257" s="2">
        <v>2080416</v>
      </c>
      <c r="F1257" s="2">
        <v>395279.04</v>
      </c>
      <c r="G1257" s="2">
        <v>0</v>
      </c>
      <c r="H1257" s="4">
        <v>0</v>
      </c>
      <c r="I1257" s="4">
        <v>0</v>
      </c>
      <c r="J1257" s="4">
        <v>0</v>
      </c>
      <c r="K1257" s="4">
        <v>2475695.04</v>
      </c>
      <c r="L1257" s="4" t="s">
        <v>4275</v>
      </c>
      <c r="M1257" s="4" t="s">
        <v>4276</v>
      </c>
      <c r="N1257" s="4" t="s">
        <v>627</v>
      </c>
      <c r="O1257" s="4" t="s">
        <v>1277</v>
      </c>
      <c r="P1257" s="4" t="s">
        <v>1277</v>
      </c>
      <c r="Q1257" s="4" t="s">
        <v>100</v>
      </c>
      <c r="R1257" s="9">
        <f t="shared" si="19"/>
        <v>4.1441727811563707E-5</v>
      </c>
    </row>
    <row r="1258" spans="1:18" hidden="1" x14ac:dyDescent="0.2">
      <c r="A1258" s="4">
        <v>744</v>
      </c>
      <c r="B1258" s="2">
        <v>2075834</v>
      </c>
      <c r="C1258" s="2">
        <v>0</v>
      </c>
      <c r="D1258" s="4" t="s">
        <v>4925</v>
      </c>
      <c r="E1258" s="2">
        <v>2075834</v>
      </c>
      <c r="F1258" s="2">
        <v>394408.46</v>
      </c>
      <c r="G1258" s="2">
        <v>0</v>
      </c>
      <c r="H1258" s="4">
        <v>0</v>
      </c>
      <c r="I1258" s="4">
        <v>0</v>
      </c>
      <c r="J1258" s="4">
        <v>0</v>
      </c>
      <c r="K1258" s="4">
        <v>2470242.46</v>
      </c>
      <c r="L1258" s="4" t="s">
        <v>4923</v>
      </c>
      <c r="M1258" s="4" t="s">
        <v>4924</v>
      </c>
      <c r="N1258" s="4" t="s">
        <v>20</v>
      </c>
      <c r="O1258" s="4" t="s">
        <v>372</v>
      </c>
      <c r="P1258" s="4" t="s">
        <v>372</v>
      </c>
      <c r="Q1258" s="4" t="s">
        <v>100</v>
      </c>
      <c r="R1258" s="9">
        <f t="shared" si="19"/>
        <v>4.1350454721550658E-5</v>
      </c>
    </row>
    <row r="1259" spans="1:18" hidden="1" x14ac:dyDescent="0.2">
      <c r="A1259" s="4">
        <v>1262</v>
      </c>
      <c r="B1259" s="2">
        <v>2069137</v>
      </c>
      <c r="C1259" s="2">
        <v>0</v>
      </c>
      <c r="D1259" s="4" t="s">
        <v>3090</v>
      </c>
      <c r="E1259" s="2">
        <v>2069137</v>
      </c>
      <c r="F1259" s="2">
        <v>393136.03</v>
      </c>
      <c r="G1259" s="2">
        <v>0</v>
      </c>
      <c r="H1259" s="4">
        <v>0</v>
      </c>
      <c r="I1259" s="4">
        <v>0</v>
      </c>
      <c r="J1259" s="4">
        <v>0</v>
      </c>
      <c r="K1259" s="4">
        <v>2462273.0299999998</v>
      </c>
      <c r="L1259" s="4" t="s">
        <v>3088</v>
      </c>
      <c r="M1259" s="4" t="s">
        <v>3089</v>
      </c>
      <c r="N1259" s="4" t="s">
        <v>20</v>
      </c>
      <c r="O1259" s="4" t="s">
        <v>1043</v>
      </c>
      <c r="P1259" s="4" t="s">
        <v>1043</v>
      </c>
      <c r="Q1259" s="4" t="s">
        <v>100</v>
      </c>
      <c r="R1259" s="9">
        <f t="shared" si="19"/>
        <v>4.1217050993087677E-5</v>
      </c>
    </row>
    <row r="1260" spans="1:18" hidden="1" x14ac:dyDescent="0.2">
      <c r="A1260" s="4">
        <v>538</v>
      </c>
      <c r="B1260" s="2">
        <v>2062687</v>
      </c>
      <c r="C1260" s="2">
        <v>0</v>
      </c>
      <c r="D1260" s="4" t="s">
        <v>5780</v>
      </c>
      <c r="E1260" s="2">
        <v>2062687</v>
      </c>
      <c r="F1260" s="2">
        <v>391910.53</v>
      </c>
      <c r="G1260" s="2">
        <v>51567.18</v>
      </c>
      <c r="H1260" s="4">
        <v>0</v>
      </c>
      <c r="I1260" s="4">
        <v>0</v>
      </c>
      <c r="J1260" s="4">
        <v>51567.18</v>
      </c>
      <c r="K1260" s="4">
        <v>2403030.35</v>
      </c>
      <c r="L1260" s="4" t="s">
        <v>5778</v>
      </c>
      <c r="M1260" s="4" t="s">
        <v>5779</v>
      </c>
      <c r="N1260" s="4" t="s">
        <v>1366</v>
      </c>
      <c r="O1260" s="4" t="s">
        <v>59</v>
      </c>
      <c r="P1260" s="4" t="s">
        <v>59</v>
      </c>
      <c r="Q1260" s="4" t="s">
        <v>100</v>
      </c>
      <c r="R1260" s="9">
        <f t="shared" si="19"/>
        <v>4.1088567485758089E-5</v>
      </c>
    </row>
    <row r="1261" spans="1:18" hidden="1" x14ac:dyDescent="0.2">
      <c r="A1261" s="4">
        <v>917</v>
      </c>
      <c r="B1261" s="2">
        <v>2062431</v>
      </c>
      <c r="C1261" s="2">
        <v>0</v>
      </c>
      <c r="D1261" s="4" t="s">
        <v>4670</v>
      </c>
      <c r="E1261" s="2">
        <v>2062431</v>
      </c>
      <c r="F1261" s="2">
        <v>391861.89</v>
      </c>
      <c r="G1261" s="2">
        <v>0</v>
      </c>
      <c r="H1261" s="4">
        <v>0</v>
      </c>
      <c r="I1261" s="4">
        <v>0</v>
      </c>
      <c r="J1261" s="4">
        <v>0</v>
      </c>
      <c r="K1261" s="4">
        <v>2454292.89</v>
      </c>
      <c r="L1261" s="4" t="s">
        <v>4668</v>
      </c>
      <c r="M1261" s="4" t="s">
        <v>4669</v>
      </c>
      <c r="N1261" s="4" t="s">
        <v>20</v>
      </c>
      <c r="O1261" s="4" t="s">
        <v>316</v>
      </c>
      <c r="P1261" s="4" t="s">
        <v>316</v>
      </c>
      <c r="Q1261" s="4" t="s">
        <v>100</v>
      </c>
      <c r="R1261" s="9">
        <f t="shared" si="19"/>
        <v>4.1083467985312143E-5</v>
      </c>
    </row>
    <row r="1262" spans="1:18" hidden="1" x14ac:dyDescent="0.2">
      <c r="A1262" s="4">
        <v>1290</v>
      </c>
      <c r="B1262" s="2">
        <v>2056446</v>
      </c>
      <c r="C1262" s="2">
        <v>0</v>
      </c>
      <c r="D1262" s="4" t="s">
        <v>5783</v>
      </c>
      <c r="E1262" s="2">
        <v>2056446</v>
      </c>
      <c r="F1262" s="2">
        <v>390724.74</v>
      </c>
      <c r="G1262" s="2">
        <v>0</v>
      </c>
      <c r="H1262" s="4">
        <v>0</v>
      </c>
      <c r="I1262" s="4">
        <v>0</v>
      </c>
      <c r="J1262" s="4">
        <v>0</v>
      </c>
      <c r="K1262" s="4">
        <v>2447170.7400000002</v>
      </c>
      <c r="L1262" s="4" t="s">
        <v>5781</v>
      </c>
      <c r="M1262" s="4" t="s">
        <v>5782</v>
      </c>
      <c r="N1262" s="4" t="s">
        <v>20</v>
      </c>
      <c r="O1262" s="4" t="s">
        <v>359</v>
      </c>
      <c r="P1262" s="4" t="s">
        <v>359</v>
      </c>
      <c r="Q1262" s="4" t="s">
        <v>100</v>
      </c>
      <c r="R1262" s="9">
        <f t="shared" si="19"/>
        <v>4.096424724246446E-5</v>
      </c>
    </row>
    <row r="1263" spans="1:18" hidden="1" x14ac:dyDescent="0.2">
      <c r="A1263" s="4">
        <v>643</v>
      </c>
      <c r="B1263" s="2">
        <v>2023252</v>
      </c>
      <c r="C1263" s="2">
        <v>0</v>
      </c>
      <c r="D1263" s="4" t="s">
        <v>5786</v>
      </c>
      <c r="E1263" s="2">
        <v>2023252</v>
      </c>
      <c r="F1263" s="2">
        <v>384417.88</v>
      </c>
      <c r="G1263" s="2">
        <v>36624.800000000003</v>
      </c>
      <c r="H1263" s="4">
        <v>0</v>
      </c>
      <c r="I1263" s="4">
        <v>0</v>
      </c>
      <c r="J1263" s="4">
        <v>36624.800000000003</v>
      </c>
      <c r="K1263" s="4">
        <v>2371045.08</v>
      </c>
      <c r="L1263" s="4" t="s">
        <v>5784</v>
      </c>
      <c r="M1263" s="4" t="s">
        <v>5785</v>
      </c>
      <c r="N1263" s="4" t="s">
        <v>714</v>
      </c>
      <c r="O1263" s="4" t="s">
        <v>382</v>
      </c>
      <c r="P1263" s="4" t="s">
        <v>382</v>
      </c>
      <c r="Q1263" s="4" t="s">
        <v>100</v>
      </c>
      <c r="R1263" s="9">
        <f t="shared" si="19"/>
        <v>4.0303025297922093E-5</v>
      </c>
    </row>
    <row r="1264" spans="1:18" hidden="1" x14ac:dyDescent="0.2">
      <c r="A1264" s="4">
        <v>948</v>
      </c>
      <c r="B1264" s="2">
        <v>2018964</v>
      </c>
      <c r="C1264" s="2">
        <v>0</v>
      </c>
      <c r="D1264" s="4" t="s">
        <v>3300</v>
      </c>
      <c r="E1264" s="2">
        <v>2018964</v>
      </c>
      <c r="F1264" s="2">
        <v>383603.16</v>
      </c>
      <c r="G1264" s="2">
        <v>0</v>
      </c>
      <c r="H1264" s="4">
        <v>0</v>
      </c>
      <c r="I1264" s="4">
        <v>0</v>
      </c>
      <c r="J1264" s="4">
        <v>0</v>
      </c>
      <c r="K1264" s="4">
        <v>2402567.16</v>
      </c>
      <c r="L1264" s="4" t="s">
        <v>3298</v>
      </c>
      <c r="M1264" s="4" t="s">
        <v>3299</v>
      </c>
      <c r="N1264" s="4" t="s">
        <v>1143</v>
      </c>
      <c r="O1264" s="4" t="s">
        <v>340</v>
      </c>
      <c r="P1264" s="4" t="s">
        <v>340</v>
      </c>
      <c r="Q1264" s="4" t="s">
        <v>100</v>
      </c>
      <c r="R1264" s="9">
        <f t="shared" si="19"/>
        <v>4.0217608665452442E-5</v>
      </c>
    </row>
    <row r="1265" spans="1:18" hidden="1" x14ac:dyDescent="0.2">
      <c r="A1265" s="4">
        <v>1605</v>
      </c>
      <c r="B1265" s="2">
        <v>1950988</v>
      </c>
      <c r="C1265" s="2">
        <v>0</v>
      </c>
      <c r="D1265" s="4" t="s">
        <v>5789</v>
      </c>
      <c r="E1265" s="2">
        <v>1950988</v>
      </c>
      <c r="F1265" s="2">
        <v>370687.72</v>
      </c>
      <c r="G1265" s="2">
        <v>0</v>
      </c>
      <c r="H1265" s="4">
        <v>0</v>
      </c>
      <c r="I1265" s="4">
        <v>0</v>
      </c>
      <c r="J1265" s="4">
        <v>0</v>
      </c>
      <c r="K1265" s="4">
        <v>2321675.7200000002</v>
      </c>
      <c r="L1265" s="4" t="s">
        <v>5787</v>
      </c>
      <c r="M1265" s="4" t="s">
        <v>5788</v>
      </c>
      <c r="N1265" s="4" t="s">
        <v>975</v>
      </c>
      <c r="O1265" s="4" t="s">
        <v>89</v>
      </c>
      <c r="P1265" s="4" t="s">
        <v>89</v>
      </c>
      <c r="Q1265" s="4" t="s">
        <v>100</v>
      </c>
      <c r="R1265" s="9">
        <f t="shared" si="19"/>
        <v>3.8863531937663937E-5</v>
      </c>
    </row>
    <row r="1266" spans="1:18" hidden="1" x14ac:dyDescent="0.2">
      <c r="A1266" s="4">
        <v>542</v>
      </c>
      <c r="B1266" s="2">
        <v>1948655</v>
      </c>
      <c r="C1266" s="2">
        <v>0</v>
      </c>
      <c r="D1266" s="4" t="s">
        <v>5792</v>
      </c>
      <c r="E1266" s="2">
        <v>1948655</v>
      </c>
      <c r="F1266" s="2">
        <v>370244.45</v>
      </c>
      <c r="G1266" s="2">
        <v>0</v>
      </c>
      <c r="H1266" s="4">
        <v>0</v>
      </c>
      <c r="I1266" s="4">
        <v>0</v>
      </c>
      <c r="J1266" s="4">
        <v>0</v>
      </c>
      <c r="K1266" s="4">
        <v>2318899.4500000002</v>
      </c>
      <c r="L1266" s="4" t="s">
        <v>5790</v>
      </c>
      <c r="M1266" s="4" t="s">
        <v>5791</v>
      </c>
      <c r="N1266" s="4" t="s">
        <v>627</v>
      </c>
      <c r="O1266" s="4" t="s">
        <v>1277</v>
      </c>
      <c r="P1266" s="4" t="s">
        <v>1277</v>
      </c>
      <c r="Q1266" s="4" t="s">
        <v>100</v>
      </c>
      <c r="R1266" s="9">
        <f t="shared" si="19"/>
        <v>3.88170587558655E-5</v>
      </c>
    </row>
    <row r="1267" spans="1:18" hidden="1" x14ac:dyDescent="0.2">
      <c r="A1267" s="4">
        <v>1138</v>
      </c>
      <c r="B1267" s="2">
        <v>1921066</v>
      </c>
      <c r="C1267" s="2">
        <v>0</v>
      </c>
      <c r="D1267" s="4" t="s">
        <v>3587</v>
      </c>
      <c r="E1267" s="2">
        <v>1921066</v>
      </c>
      <c r="F1267" s="2">
        <v>365002.54</v>
      </c>
      <c r="G1267" s="2">
        <v>32130.63</v>
      </c>
      <c r="H1267" s="4">
        <v>0</v>
      </c>
      <c r="I1267" s="4">
        <v>0</v>
      </c>
      <c r="J1267" s="4">
        <v>32130.63</v>
      </c>
      <c r="K1267" s="4">
        <v>2253937.91</v>
      </c>
      <c r="L1267" s="4" t="s">
        <v>3585</v>
      </c>
      <c r="M1267" s="4" t="s">
        <v>3586</v>
      </c>
      <c r="N1267" s="4" t="s">
        <v>648</v>
      </c>
      <c r="O1267" s="4" t="s">
        <v>340</v>
      </c>
      <c r="P1267" s="4" t="s">
        <v>340</v>
      </c>
      <c r="Q1267" s="4" t="s">
        <v>100</v>
      </c>
      <c r="R1267" s="9">
        <f t="shared" si="19"/>
        <v>3.8267487983196364E-5</v>
      </c>
    </row>
    <row r="1268" spans="1:18" hidden="1" x14ac:dyDescent="0.2">
      <c r="A1268" s="4">
        <v>444</v>
      </c>
      <c r="B1268" s="2">
        <v>1920815</v>
      </c>
      <c r="C1268" s="2">
        <v>0</v>
      </c>
      <c r="D1268" s="4" t="s">
        <v>3560</v>
      </c>
      <c r="E1268" s="2">
        <v>1920815</v>
      </c>
      <c r="F1268" s="2">
        <v>364954.85</v>
      </c>
      <c r="G1268" s="2">
        <v>0</v>
      </c>
      <c r="H1268" s="4">
        <v>0</v>
      </c>
      <c r="I1268" s="4">
        <v>0</v>
      </c>
      <c r="J1268" s="4">
        <v>0</v>
      </c>
      <c r="K1268" s="4">
        <v>2285769.85</v>
      </c>
      <c r="L1268" s="4" t="s">
        <v>3558</v>
      </c>
      <c r="M1268" s="4" t="s">
        <v>3559</v>
      </c>
      <c r="N1268" s="4" t="s">
        <v>20</v>
      </c>
      <c r="O1268" s="4" t="s">
        <v>316</v>
      </c>
      <c r="P1268" s="4" t="s">
        <v>316</v>
      </c>
      <c r="Q1268" s="4" t="s">
        <v>100</v>
      </c>
      <c r="R1268" s="9">
        <f t="shared" si="19"/>
        <v>3.8262488082368501E-5</v>
      </c>
    </row>
    <row r="1269" spans="1:18" hidden="1" x14ac:dyDescent="0.2">
      <c r="A1269" s="4">
        <v>1297</v>
      </c>
      <c r="B1269" s="2">
        <v>1920788</v>
      </c>
      <c r="C1269" s="2">
        <v>0</v>
      </c>
      <c r="D1269" s="4" t="s">
        <v>1978</v>
      </c>
      <c r="E1269" s="2">
        <v>1920788</v>
      </c>
      <c r="F1269" s="2">
        <v>364949.72</v>
      </c>
      <c r="G1269" s="2">
        <v>0</v>
      </c>
      <c r="H1269" s="4">
        <v>0</v>
      </c>
      <c r="I1269" s="4">
        <v>0</v>
      </c>
      <c r="J1269" s="4">
        <v>0</v>
      </c>
      <c r="K1269" s="4">
        <v>2285737.7200000002</v>
      </c>
      <c r="L1269" s="4" t="s">
        <v>1976</v>
      </c>
      <c r="M1269" s="4" t="s">
        <v>1977</v>
      </c>
      <c r="N1269" s="4" t="s">
        <v>512</v>
      </c>
      <c r="O1269" s="4" t="s">
        <v>59</v>
      </c>
      <c r="P1269" s="4" t="s">
        <v>59</v>
      </c>
      <c r="Q1269" s="4" t="s">
        <v>100</v>
      </c>
      <c r="R1269" s="9">
        <f t="shared" si="19"/>
        <v>3.8261950244430843E-5</v>
      </c>
    </row>
    <row r="1270" spans="1:18" hidden="1" x14ac:dyDescent="0.2">
      <c r="A1270" s="4">
        <v>1964</v>
      </c>
      <c r="B1270" s="2">
        <v>1921861</v>
      </c>
      <c r="C1270" s="2">
        <v>4321.08</v>
      </c>
      <c r="D1270" s="4" t="s">
        <v>1241</v>
      </c>
      <c r="E1270" s="2">
        <v>1917539.92</v>
      </c>
      <c r="F1270" s="2">
        <v>364332.59</v>
      </c>
      <c r="G1270" s="2">
        <v>0</v>
      </c>
      <c r="H1270" s="4">
        <v>0</v>
      </c>
      <c r="I1270" s="4">
        <v>0</v>
      </c>
      <c r="J1270" s="4">
        <v>0</v>
      </c>
      <c r="K1270" s="4">
        <v>2281872.5099999998</v>
      </c>
      <c r="L1270" s="4" t="s">
        <v>1239</v>
      </c>
      <c r="M1270" s="4" t="s">
        <v>1240</v>
      </c>
      <c r="N1270" s="4" t="s">
        <v>1242</v>
      </c>
      <c r="O1270" s="4" t="s">
        <v>59</v>
      </c>
      <c r="P1270" s="4" t="s">
        <v>59</v>
      </c>
      <c r="Q1270" s="4" t="s">
        <v>100</v>
      </c>
      <c r="R1270" s="9">
        <f t="shared" si="19"/>
        <v>3.8197248738928963E-5</v>
      </c>
    </row>
    <row r="1271" spans="1:18" hidden="1" x14ac:dyDescent="0.2">
      <c r="A1271" s="4">
        <v>1369</v>
      </c>
      <c r="B1271" s="2">
        <v>1908554</v>
      </c>
      <c r="C1271" s="2">
        <v>0</v>
      </c>
      <c r="D1271" s="4" t="s">
        <v>3953</v>
      </c>
      <c r="E1271" s="2">
        <v>1908554</v>
      </c>
      <c r="F1271" s="2">
        <v>362625.26</v>
      </c>
      <c r="G1271" s="2">
        <v>0</v>
      </c>
      <c r="H1271" s="4">
        <v>0</v>
      </c>
      <c r="I1271" s="4">
        <v>0</v>
      </c>
      <c r="J1271" s="4">
        <v>0</v>
      </c>
      <c r="K1271" s="4">
        <v>2271179.2599999998</v>
      </c>
      <c r="L1271" s="4" t="s">
        <v>3951</v>
      </c>
      <c r="M1271" s="4" t="s">
        <v>3952</v>
      </c>
      <c r="N1271" s="4" t="s">
        <v>20</v>
      </c>
      <c r="O1271" s="4" t="s">
        <v>316</v>
      </c>
      <c r="P1271" s="4" t="s">
        <v>316</v>
      </c>
      <c r="Q1271" s="4" t="s">
        <v>100</v>
      </c>
      <c r="R1271" s="9">
        <f t="shared" si="19"/>
        <v>3.8018249898900585E-5</v>
      </c>
    </row>
    <row r="1272" spans="1:18" hidden="1" x14ac:dyDescent="0.2">
      <c r="A1272" s="4">
        <v>242</v>
      </c>
      <c r="B1272" s="2">
        <v>1903126</v>
      </c>
      <c r="C1272" s="2">
        <v>0</v>
      </c>
      <c r="D1272" s="4" t="s">
        <v>2339</v>
      </c>
      <c r="E1272" s="2">
        <v>1903126</v>
      </c>
      <c r="F1272" s="2">
        <v>361593.94</v>
      </c>
      <c r="G1272" s="2">
        <v>0</v>
      </c>
      <c r="H1272" s="4">
        <v>0</v>
      </c>
      <c r="I1272" s="4">
        <v>0</v>
      </c>
      <c r="J1272" s="4">
        <v>0</v>
      </c>
      <c r="K1272" s="4">
        <v>2264719.94</v>
      </c>
      <c r="L1272" s="4" t="s">
        <v>2337</v>
      </c>
      <c r="M1272" s="4" t="s">
        <v>2338</v>
      </c>
      <c r="N1272" s="4" t="s">
        <v>826</v>
      </c>
      <c r="O1272" s="4" t="s">
        <v>89</v>
      </c>
      <c r="P1272" s="4" t="s">
        <v>89</v>
      </c>
      <c r="Q1272" s="4" t="s">
        <v>100</v>
      </c>
      <c r="R1272" s="9">
        <f t="shared" si="19"/>
        <v>3.7910124553507564E-5</v>
      </c>
    </row>
    <row r="1273" spans="1:18" hidden="1" x14ac:dyDescent="0.2">
      <c r="A1273" s="4">
        <v>1203</v>
      </c>
      <c r="B1273" s="2">
        <v>1893951.71</v>
      </c>
      <c r="C1273" s="2">
        <v>0</v>
      </c>
      <c r="D1273" s="4" t="s">
        <v>4158</v>
      </c>
      <c r="E1273" s="2">
        <v>1893951.71</v>
      </c>
      <c r="F1273" s="2">
        <v>359850.82</v>
      </c>
      <c r="G1273" s="2">
        <v>47348.79</v>
      </c>
      <c r="H1273" s="4">
        <v>0</v>
      </c>
      <c r="I1273" s="4">
        <v>0</v>
      </c>
      <c r="J1273" s="4">
        <v>47348.79</v>
      </c>
      <c r="K1273" s="4">
        <v>2206453.7400000002</v>
      </c>
      <c r="L1273" s="4" t="s">
        <v>4156</v>
      </c>
      <c r="M1273" s="4" t="s">
        <v>4157</v>
      </c>
      <c r="N1273" s="4" t="s">
        <v>1107</v>
      </c>
      <c r="O1273" s="4" t="s">
        <v>900</v>
      </c>
      <c r="P1273" s="4" t="s">
        <v>900</v>
      </c>
      <c r="Q1273" s="4" t="s">
        <v>144</v>
      </c>
      <c r="R1273" s="9">
        <f t="shared" si="19"/>
        <v>3.7727373397467446E-5</v>
      </c>
    </row>
    <row r="1274" spans="1:18" hidden="1" x14ac:dyDescent="0.2">
      <c r="A1274" s="4">
        <v>1992</v>
      </c>
      <c r="B1274" s="2">
        <v>1893951.71</v>
      </c>
      <c r="C1274" s="2">
        <v>0</v>
      </c>
      <c r="D1274" s="4" t="s">
        <v>5795</v>
      </c>
      <c r="E1274" s="2">
        <v>1893951.71</v>
      </c>
      <c r="F1274" s="2">
        <v>359850.82</v>
      </c>
      <c r="G1274" s="2">
        <v>0</v>
      </c>
      <c r="H1274" s="4">
        <v>0</v>
      </c>
      <c r="I1274" s="4">
        <v>0</v>
      </c>
      <c r="J1274" s="4">
        <v>0</v>
      </c>
      <c r="K1274" s="4">
        <v>2253802.5299999998</v>
      </c>
      <c r="L1274" s="4" t="s">
        <v>5793</v>
      </c>
      <c r="M1274" s="4" t="s">
        <v>5794</v>
      </c>
      <c r="N1274" s="4" t="s">
        <v>20</v>
      </c>
      <c r="O1274" s="4" t="s">
        <v>900</v>
      </c>
      <c r="P1274" s="4" t="s">
        <v>900</v>
      </c>
      <c r="Q1274" s="4" t="s">
        <v>144</v>
      </c>
      <c r="R1274" s="9">
        <f t="shared" si="19"/>
        <v>3.7727373397467446E-5</v>
      </c>
    </row>
    <row r="1275" spans="1:18" hidden="1" x14ac:dyDescent="0.2">
      <c r="A1275" s="4">
        <v>1739</v>
      </c>
      <c r="B1275" s="2">
        <v>1882400</v>
      </c>
      <c r="C1275" s="2">
        <v>0</v>
      </c>
      <c r="D1275" s="4" t="s">
        <v>4549</v>
      </c>
      <c r="E1275" s="2">
        <v>1882400</v>
      </c>
      <c r="F1275" s="2">
        <v>357656</v>
      </c>
      <c r="G1275" s="2">
        <v>0</v>
      </c>
      <c r="H1275" s="4">
        <v>0</v>
      </c>
      <c r="I1275" s="4">
        <v>0</v>
      </c>
      <c r="J1275" s="4">
        <v>0</v>
      </c>
      <c r="K1275" s="4">
        <v>2240056</v>
      </c>
      <c r="L1275" s="4" t="s">
        <v>4547</v>
      </c>
      <c r="M1275" s="4" t="s">
        <v>4548</v>
      </c>
      <c r="N1275" s="4" t="s">
        <v>20</v>
      </c>
      <c r="O1275" s="4" t="s">
        <v>1562</v>
      </c>
      <c r="P1275" s="4" t="s">
        <v>1562</v>
      </c>
      <c r="Q1275" s="4" t="s">
        <v>100</v>
      </c>
      <c r="R1275" s="9">
        <f t="shared" si="19"/>
        <v>3.7497264216621831E-5</v>
      </c>
    </row>
    <row r="1276" spans="1:18" hidden="1" x14ac:dyDescent="0.2">
      <c r="A1276" s="4">
        <v>1480</v>
      </c>
      <c r="B1276" s="2">
        <v>1873396</v>
      </c>
      <c r="C1276" s="2">
        <v>0</v>
      </c>
      <c r="D1276" s="4" t="s">
        <v>5798</v>
      </c>
      <c r="E1276" s="2">
        <v>1873396</v>
      </c>
      <c r="F1276" s="2">
        <v>355945.24</v>
      </c>
      <c r="G1276" s="2">
        <v>0</v>
      </c>
      <c r="H1276" s="4">
        <v>0</v>
      </c>
      <c r="I1276" s="4">
        <v>0</v>
      </c>
      <c r="J1276" s="4">
        <v>0</v>
      </c>
      <c r="K1276" s="4">
        <v>2229341.2400000002</v>
      </c>
      <c r="L1276" s="4" t="s">
        <v>5796</v>
      </c>
      <c r="M1276" s="4" t="s">
        <v>5797</v>
      </c>
      <c r="N1276" s="4" t="s">
        <v>66</v>
      </c>
      <c r="O1276" s="4" t="s">
        <v>67</v>
      </c>
      <c r="P1276" s="4" t="s">
        <v>67</v>
      </c>
      <c r="Q1276" s="4" t="s">
        <v>100</v>
      </c>
      <c r="R1276" s="9">
        <f t="shared" si="19"/>
        <v>3.7317905224374451E-5</v>
      </c>
    </row>
    <row r="1277" spans="1:18" hidden="1" x14ac:dyDescent="0.2">
      <c r="A1277" s="4">
        <v>1851</v>
      </c>
      <c r="B1277" s="2">
        <v>1857441</v>
      </c>
      <c r="C1277" s="2">
        <v>0</v>
      </c>
      <c r="D1277" s="4" t="s">
        <v>3782</v>
      </c>
      <c r="E1277" s="2">
        <v>1857441</v>
      </c>
      <c r="F1277" s="2">
        <v>352913.79</v>
      </c>
      <c r="G1277" s="2">
        <v>0</v>
      </c>
      <c r="H1277" s="4">
        <v>0</v>
      </c>
      <c r="I1277" s="4">
        <v>0</v>
      </c>
      <c r="J1277" s="4">
        <v>0</v>
      </c>
      <c r="K1277" s="4">
        <v>2210354.79</v>
      </c>
      <c r="L1277" s="4" t="s">
        <v>3780</v>
      </c>
      <c r="M1277" s="4" t="s">
        <v>3781</v>
      </c>
      <c r="N1277" s="4" t="s">
        <v>20</v>
      </c>
      <c r="O1277" s="4" t="s">
        <v>631</v>
      </c>
      <c r="P1277" s="4" t="s">
        <v>631</v>
      </c>
      <c r="Q1277" s="4" t="s">
        <v>100</v>
      </c>
      <c r="R1277" s="9">
        <f t="shared" si="19"/>
        <v>3.700008284306538E-5</v>
      </c>
    </row>
    <row r="1278" spans="1:18" hidden="1" x14ac:dyDescent="0.2">
      <c r="A1278" s="4">
        <v>1078</v>
      </c>
      <c r="B1278" s="2">
        <v>1851186</v>
      </c>
      <c r="C1278" s="2">
        <v>0</v>
      </c>
      <c r="D1278" s="4" t="s">
        <v>3581</v>
      </c>
      <c r="E1278" s="2">
        <v>1851186</v>
      </c>
      <c r="F1278" s="2">
        <v>351725.34</v>
      </c>
      <c r="G1278" s="2">
        <v>0</v>
      </c>
      <c r="H1278" s="4">
        <v>0</v>
      </c>
      <c r="I1278" s="4">
        <v>0</v>
      </c>
      <c r="J1278" s="4">
        <v>0</v>
      </c>
      <c r="K1278" s="4">
        <v>2202911.34</v>
      </c>
      <c r="L1278" s="4" t="s">
        <v>3579</v>
      </c>
      <c r="M1278" s="4" t="s">
        <v>3580</v>
      </c>
      <c r="N1278" s="4" t="s">
        <v>20</v>
      </c>
      <c r="O1278" s="4" t="s">
        <v>316</v>
      </c>
      <c r="P1278" s="4" t="s">
        <v>316</v>
      </c>
      <c r="Q1278" s="4" t="s">
        <v>100</v>
      </c>
      <c r="R1278" s="9">
        <f t="shared" si="19"/>
        <v>3.6875483720841108E-5</v>
      </c>
    </row>
    <row r="1279" spans="1:18" hidden="1" x14ac:dyDescent="0.2">
      <c r="A1279" s="4">
        <v>592</v>
      </c>
      <c r="B1279" s="2">
        <v>1842675</v>
      </c>
      <c r="C1279" s="2">
        <v>0</v>
      </c>
      <c r="D1279" s="4" t="s">
        <v>4035</v>
      </c>
      <c r="E1279" s="2">
        <v>1842675</v>
      </c>
      <c r="F1279" s="2">
        <v>350108.25</v>
      </c>
      <c r="G1279" s="2">
        <v>0</v>
      </c>
      <c r="H1279" s="4">
        <v>0</v>
      </c>
      <c r="I1279" s="4">
        <v>0</v>
      </c>
      <c r="J1279" s="4">
        <v>0</v>
      </c>
      <c r="K1279" s="4">
        <v>2192783.25</v>
      </c>
      <c r="L1279" s="4" t="s">
        <v>4033</v>
      </c>
      <c r="M1279" s="4" t="s">
        <v>4034</v>
      </c>
      <c r="N1279" s="4" t="s">
        <v>20</v>
      </c>
      <c r="O1279" s="4" t="s">
        <v>631</v>
      </c>
      <c r="P1279" s="4" t="s">
        <v>631</v>
      </c>
      <c r="Q1279" s="4" t="s">
        <v>100</v>
      </c>
      <c r="R1279" s="9">
        <f t="shared" si="19"/>
        <v>3.6705945250936906E-5</v>
      </c>
    </row>
    <row r="1280" spans="1:18" hidden="1" x14ac:dyDescent="0.2">
      <c r="A1280" s="4">
        <v>1476</v>
      </c>
      <c r="B1280" s="2">
        <v>1842660</v>
      </c>
      <c r="C1280" s="2">
        <v>0</v>
      </c>
      <c r="D1280" s="4" t="s">
        <v>3690</v>
      </c>
      <c r="E1280" s="2">
        <v>1842660</v>
      </c>
      <c r="F1280" s="2">
        <v>350105.4</v>
      </c>
      <c r="G1280" s="2">
        <v>0</v>
      </c>
      <c r="H1280" s="4">
        <v>0</v>
      </c>
      <c r="I1280" s="4">
        <v>0</v>
      </c>
      <c r="J1280" s="4">
        <v>0</v>
      </c>
      <c r="K1280" s="4">
        <v>2192765.4</v>
      </c>
      <c r="L1280" s="4" t="s">
        <v>3688</v>
      </c>
      <c r="M1280" s="4" t="s">
        <v>3689</v>
      </c>
      <c r="N1280" s="4" t="s">
        <v>20</v>
      </c>
      <c r="O1280" s="4" t="s">
        <v>359</v>
      </c>
      <c r="P1280" s="4" t="s">
        <v>359</v>
      </c>
      <c r="Q1280" s="4" t="s">
        <v>100</v>
      </c>
      <c r="R1280" s="9">
        <f t="shared" si="19"/>
        <v>3.6705646452082648E-5</v>
      </c>
    </row>
    <row r="1281" spans="1:18" hidden="1" x14ac:dyDescent="0.2">
      <c r="A1281" s="4">
        <v>507</v>
      </c>
      <c r="B1281" s="2">
        <v>1842327</v>
      </c>
      <c r="C1281" s="2">
        <v>0</v>
      </c>
      <c r="D1281" s="4" t="s">
        <v>4064</v>
      </c>
      <c r="E1281" s="2">
        <v>1842327</v>
      </c>
      <c r="F1281" s="2">
        <v>350042.13</v>
      </c>
      <c r="G1281" s="2">
        <v>0</v>
      </c>
      <c r="H1281" s="4">
        <v>0</v>
      </c>
      <c r="I1281" s="4">
        <v>0</v>
      </c>
      <c r="J1281" s="4">
        <v>0</v>
      </c>
      <c r="K1281" s="4">
        <v>2192369.13</v>
      </c>
      <c r="L1281" s="4" t="s">
        <v>4063</v>
      </c>
      <c r="M1281" s="4" t="s">
        <v>2658</v>
      </c>
      <c r="N1281" s="4" t="s">
        <v>20</v>
      </c>
      <c r="O1281" s="4" t="s">
        <v>261</v>
      </c>
      <c r="P1281" s="4" t="s">
        <v>261</v>
      </c>
      <c r="Q1281" s="4" t="s">
        <v>100</v>
      </c>
      <c r="R1281" s="9">
        <f t="shared" si="19"/>
        <v>3.6699013117518196E-5</v>
      </c>
    </row>
    <row r="1282" spans="1:18" hidden="1" x14ac:dyDescent="0.2">
      <c r="A1282" s="4">
        <v>1333</v>
      </c>
      <c r="B1282" s="2">
        <v>1841940</v>
      </c>
      <c r="C1282" s="2">
        <v>0</v>
      </c>
      <c r="D1282" s="4" t="s">
        <v>3545</v>
      </c>
      <c r="E1282" s="2">
        <v>1841940</v>
      </c>
      <c r="F1282" s="2">
        <v>347688.6</v>
      </c>
      <c r="G1282" s="2">
        <v>0</v>
      </c>
      <c r="H1282" s="4">
        <v>0</v>
      </c>
      <c r="I1282" s="4">
        <v>0</v>
      </c>
      <c r="J1282" s="4">
        <v>0</v>
      </c>
      <c r="K1282" s="4">
        <v>2189628.6</v>
      </c>
      <c r="L1282" s="4" t="s">
        <v>3543</v>
      </c>
      <c r="M1282" s="4" t="s">
        <v>3544</v>
      </c>
      <c r="N1282" s="4" t="s">
        <v>20</v>
      </c>
      <c r="O1282" s="4" t="s">
        <v>2863</v>
      </c>
      <c r="P1282" s="4" t="s">
        <v>2863</v>
      </c>
      <c r="Q1282" s="4" t="s">
        <v>100</v>
      </c>
      <c r="R1282" s="9">
        <f t="shared" si="19"/>
        <v>3.6691304107078419E-5</v>
      </c>
    </row>
    <row r="1283" spans="1:18" hidden="1" x14ac:dyDescent="0.2">
      <c r="A1283" s="4">
        <v>1583</v>
      </c>
      <c r="B1283" s="2">
        <v>1840436</v>
      </c>
      <c r="C1283" s="2">
        <v>0</v>
      </c>
      <c r="D1283" s="4" t="s">
        <v>5801</v>
      </c>
      <c r="E1283" s="2">
        <v>1840436</v>
      </c>
      <c r="F1283" s="2">
        <v>349682.84</v>
      </c>
      <c r="G1283" s="2">
        <v>0</v>
      </c>
      <c r="H1283" s="4">
        <v>0</v>
      </c>
      <c r="I1283" s="4">
        <v>0</v>
      </c>
      <c r="J1283" s="4">
        <v>0</v>
      </c>
      <c r="K1283" s="4">
        <v>2190118.84</v>
      </c>
      <c r="L1283" s="4" t="s">
        <v>5799</v>
      </c>
      <c r="M1283" s="4" t="s">
        <v>5800</v>
      </c>
      <c r="N1283" s="4" t="s">
        <v>332</v>
      </c>
      <c r="O1283" s="4" t="s">
        <v>1127</v>
      </c>
      <c r="P1283" s="4" t="s">
        <v>1127</v>
      </c>
      <c r="Q1283" s="4" t="s">
        <v>100</v>
      </c>
      <c r="R1283" s="9">
        <f t="shared" ref="R1283:R1346" si="20">E1283/$E$2034</f>
        <v>3.6661344541958467E-5</v>
      </c>
    </row>
    <row r="1284" spans="1:18" hidden="1" x14ac:dyDescent="0.2">
      <c r="A1284" s="4">
        <v>973</v>
      </c>
      <c r="B1284" s="2">
        <v>1840295</v>
      </c>
      <c r="C1284" s="2">
        <v>0</v>
      </c>
      <c r="D1284" s="4" t="s">
        <v>4380</v>
      </c>
      <c r="E1284" s="2">
        <v>1840295</v>
      </c>
      <c r="F1284" s="2">
        <v>349656.05</v>
      </c>
      <c r="G1284" s="2">
        <v>0</v>
      </c>
      <c r="H1284" s="4">
        <v>0</v>
      </c>
      <c r="I1284" s="4">
        <v>0</v>
      </c>
      <c r="J1284" s="4">
        <v>0</v>
      </c>
      <c r="K1284" s="4">
        <v>2189951.0499999998</v>
      </c>
      <c r="L1284" s="4" t="s">
        <v>4378</v>
      </c>
      <c r="M1284" s="4" t="s">
        <v>4379</v>
      </c>
      <c r="N1284" s="4" t="s">
        <v>20</v>
      </c>
      <c r="O1284" s="4" t="s">
        <v>316</v>
      </c>
      <c r="P1284" s="4" t="s">
        <v>316</v>
      </c>
      <c r="Q1284" s="4" t="s">
        <v>100</v>
      </c>
      <c r="R1284" s="9">
        <f t="shared" si="20"/>
        <v>3.6658535832728469E-5</v>
      </c>
    </row>
    <row r="1285" spans="1:18" hidden="1" x14ac:dyDescent="0.2">
      <c r="A1285" s="4">
        <v>646</v>
      </c>
      <c r="B1285" s="2">
        <v>1834853</v>
      </c>
      <c r="C1285" s="2">
        <v>0</v>
      </c>
      <c r="D1285" s="4" t="s">
        <v>4322</v>
      </c>
      <c r="E1285" s="2">
        <v>1834853</v>
      </c>
      <c r="F1285" s="2">
        <v>348622.07</v>
      </c>
      <c r="G1285" s="2">
        <v>0</v>
      </c>
      <c r="H1285" s="4">
        <v>0</v>
      </c>
      <c r="I1285" s="4">
        <v>0</v>
      </c>
      <c r="J1285" s="4">
        <v>0</v>
      </c>
      <c r="K1285" s="4">
        <v>2183475.0699999998</v>
      </c>
      <c r="L1285" s="4" t="s">
        <v>4320</v>
      </c>
      <c r="M1285" s="4" t="s">
        <v>4321</v>
      </c>
      <c r="N1285" s="4" t="s">
        <v>20</v>
      </c>
      <c r="O1285" s="4" t="s">
        <v>1157</v>
      </c>
      <c r="P1285" s="4" t="s">
        <v>1157</v>
      </c>
      <c r="Q1285" s="4" t="s">
        <v>100</v>
      </c>
      <c r="R1285" s="9">
        <f t="shared" si="20"/>
        <v>3.6550131608404812E-5</v>
      </c>
    </row>
    <row r="1286" spans="1:18" hidden="1" x14ac:dyDescent="0.2">
      <c r="A1286" s="4">
        <v>201</v>
      </c>
      <c r="B1286" s="2">
        <v>1830536</v>
      </c>
      <c r="C1286" s="2">
        <v>0</v>
      </c>
      <c r="D1286" s="4" t="s">
        <v>3858</v>
      </c>
      <c r="E1286" s="2">
        <v>1830536</v>
      </c>
      <c r="F1286" s="2">
        <v>347801.84</v>
      </c>
      <c r="G1286" s="2">
        <v>0</v>
      </c>
      <c r="H1286" s="4">
        <v>0</v>
      </c>
      <c r="I1286" s="4">
        <v>0</v>
      </c>
      <c r="J1286" s="4">
        <v>0</v>
      </c>
      <c r="K1286" s="4">
        <v>2178337.84</v>
      </c>
      <c r="L1286" s="4" t="s">
        <v>3856</v>
      </c>
      <c r="M1286" s="4" t="s">
        <v>3857</v>
      </c>
      <c r="N1286" s="4" t="s">
        <v>88</v>
      </c>
      <c r="O1286" s="4" t="s">
        <v>89</v>
      </c>
      <c r="P1286" s="4" t="s">
        <v>89</v>
      </c>
      <c r="Q1286" s="4" t="s">
        <v>100</v>
      </c>
      <c r="R1286" s="9">
        <f t="shared" si="20"/>
        <v>3.6464137298150268E-5</v>
      </c>
    </row>
    <row r="1287" spans="1:18" hidden="1" x14ac:dyDescent="0.2">
      <c r="A1287" s="4">
        <v>1701</v>
      </c>
      <c r="B1287" s="2">
        <v>1821038</v>
      </c>
      <c r="C1287" s="2">
        <v>0</v>
      </c>
      <c r="D1287" s="4" t="s">
        <v>5804</v>
      </c>
      <c r="E1287" s="2">
        <v>1821038</v>
      </c>
      <c r="F1287" s="2">
        <v>345997.22</v>
      </c>
      <c r="G1287" s="2">
        <v>0</v>
      </c>
      <c r="H1287" s="4">
        <v>0</v>
      </c>
      <c r="I1287" s="4">
        <v>0</v>
      </c>
      <c r="J1287" s="4">
        <v>0</v>
      </c>
      <c r="K1287" s="4">
        <v>2167035.2200000002</v>
      </c>
      <c r="L1287" s="4" t="s">
        <v>5802</v>
      </c>
      <c r="M1287" s="4" t="s">
        <v>5803</v>
      </c>
      <c r="N1287" s="4" t="s">
        <v>20</v>
      </c>
      <c r="O1287" s="4" t="s">
        <v>2863</v>
      </c>
      <c r="P1287" s="4" t="s">
        <v>2863</v>
      </c>
      <c r="Q1287" s="4" t="s">
        <v>100</v>
      </c>
      <c r="R1287" s="9">
        <f t="shared" si="20"/>
        <v>3.6274937863636096E-5</v>
      </c>
    </row>
    <row r="1288" spans="1:18" hidden="1" x14ac:dyDescent="0.2">
      <c r="A1288" s="4">
        <v>130</v>
      </c>
      <c r="B1288" s="2">
        <v>1813915</v>
      </c>
      <c r="C1288" s="2">
        <v>0</v>
      </c>
      <c r="D1288" s="4" t="s">
        <v>5807</v>
      </c>
      <c r="E1288" s="2">
        <v>1813915</v>
      </c>
      <c r="F1288" s="2">
        <v>344643.85</v>
      </c>
      <c r="G1288" s="2">
        <v>0</v>
      </c>
      <c r="H1288" s="4">
        <v>0</v>
      </c>
      <c r="I1288" s="4">
        <v>0</v>
      </c>
      <c r="J1288" s="4">
        <v>0</v>
      </c>
      <c r="K1288" s="4">
        <v>2158558.85</v>
      </c>
      <c r="L1288" s="4" t="s">
        <v>5805</v>
      </c>
      <c r="M1288" s="4" t="s">
        <v>5806</v>
      </c>
      <c r="N1288" s="4" t="s">
        <v>20</v>
      </c>
      <c r="O1288" s="4" t="s">
        <v>900</v>
      </c>
      <c r="P1288" s="4" t="s">
        <v>900</v>
      </c>
      <c r="Q1288" s="4" t="s">
        <v>100</v>
      </c>
      <c r="R1288" s="9">
        <f t="shared" si="20"/>
        <v>3.6133048247712277E-5</v>
      </c>
    </row>
    <row r="1289" spans="1:18" hidden="1" x14ac:dyDescent="0.2">
      <c r="A1289" s="4">
        <v>1355</v>
      </c>
      <c r="B1289" s="2">
        <v>1797152</v>
      </c>
      <c r="C1289" s="2">
        <v>0</v>
      </c>
      <c r="D1289" s="4" t="s">
        <v>4688</v>
      </c>
      <c r="E1289" s="2">
        <v>1797152</v>
      </c>
      <c r="F1289" s="2">
        <v>341458.88</v>
      </c>
      <c r="G1289" s="2">
        <v>0</v>
      </c>
      <c r="H1289" s="4">
        <v>0</v>
      </c>
      <c r="I1289" s="4">
        <v>0</v>
      </c>
      <c r="J1289" s="4">
        <v>0</v>
      </c>
      <c r="K1289" s="4">
        <v>2138610.88</v>
      </c>
      <c r="L1289" s="4" t="s">
        <v>4686</v>
      </c>
      <c r="M1289" s="4" t="s">
        <v>4687</v>
      </c>
      <c r="N1289" s="4" t="s">
        <v>104</v>
      </c>
      <c r="O1289" s="4" t="s">
        <v>105</v>
      </c>
      <c r="P1289" s="4" t="s">
        <v>105</v>
      </c>
      <c r="Q1289" s="4" t="s">
        <v>100</v>
      </c>
      <c r="R1289" s="9">
        <f t="shared" si="20"/>
        <v>3.5799130568120674E-5</v>
      </c>
    </row>
    <row r="1290" spans="1:18" hidden="1" x14ac:dyDescent="0.2">
      <c r="A1290" s="4">
        <v>1372</v>
      </c>
      <c r="B1290" s="2">
        <v>1791513</v>
      </c>
      <c r="C1290" s="2">
        <v>0</v>
      </c>
      <c r="D1290" s="4" t="s">
        <v>5810</v>
      </c>
      <c r="E1290" s="2">
        <v>1791513</v>
      </c>
      <c r="F1290" s="2">
        <v>340387.47</v>
      </c>
      <c r="G1290" s="2">
        <v>44787.83</v>
      </c>
      <c r="H1290" s="4">
        <v>0</v>
      </c>
      <c r="I1290" s="4">
        <v>0</v>
      </c>
      <c r="J1290" s="4">
        <v>44787.83</v>
      </c>
      <c r="K1290" s="4">
        <v>2087112.64</v>
      </c>
      <c r="L1290" s="4" t="s">
        <v>5808</v>
      </c>
      <c r="M1290" s="4" t="s">
        <v>5809</v>
      </c>
      <c r="N1290" s="4" t="s">
        <v>293</v>
      </c>
      <c r="O1290" s="4" t="s">
        <v>229</v>
      </c>
      <c r="P1290" s="4" t="s">
        <v>229</v>
      </c>
      <c r="Q1290" s="4" t="s">
        <v>100</v>
      </c>
      <c r="R1290" s="9">
        <f t="shared" si="20"/>
        <v>3.5686802118844466E-5</v>
      </c>
    </row>
    <row r="1291" spans="1:18" hidden="1" x14ac:dyDescent="0.2">
      <c r="A1291" s="4">
        <v>1226</v>
      </c>
      <c r="B1291" s="2">
        <v>1789618</v>
      </c>
      <c r="C1291" s="2">
        <v>0</v>
      </c>
      <c r="D1291" s="4" t="s">
        <v>3225</v>
      </c>
      <c r="E1291" s="2">
        <v>1789618</v>
      </c>
      <c r="F1291" s="2">
        <v>340027.42</v>
      </c>
      <c r="G1291" s="2">
        <v>0</v>
      </c>
      <c r="H1291" s="4">
        <v>0</v>
      </c>
      <c r="I1291" s="4">
        <v>0</v>
      </c>
      <c r="J1291" s="4">
        <v>0</v>
      </c>
      <c r="K1291" s="4">
        <v>2129645.42</v>
      </c>
      <c r="L1291" s="4" t="s">
        <v>3223</v>
      </c>
      <c r="M1291" s="4" t="s">
        <v>3224</v>
      </c>
      <c r="N1291" s="4" t="s">
        <v>1143</v>
      </c>
      <c r="O1291" s="4" t="s">
        <v>340</v>
      </c>
      <c r="P1291" s="4" t="s">
        <v>340</v>
      </c>
      <c r="Q1291" s="4" t="s">
        <v>100</v>
      </c>
      <c r="R1291" s="9">
        <f t="shared" si="20"/>
        <v>3.5649053863590268E-5</v>
      </c>
    </row>
    <row r="1292" spans="1:18" hidden="1" x14ac:dyDescent="0.2">
      <c r="A1292" s="4">
        <v>1847</v>
      </c>
      <c r="B1292" s="2">
        <v>1789549</v>
      </c>
      <c r="C1292" s="2">
        <v>0</v>
      </c>
      <c r="D1292" s="4" t="s">
        <v>3968</v>
      </c>
      <c r="E1292" s="2">
        <v>1789549</v>
      </c>
      <c r="F1292" s="2">
        <v>340014.31</v>
      </c>
      <c r="G1292" s="2">
        <v>0</v>
      </c>
      <c r="H1292" s="4">
        <v>0</v>
      </c>
      <c r="I1292" s="4">
        <v>0</v>
      </c>
      <c r="J1292" s="4">
        <v>0</v>
      </c>
      <c r="K1292" s="4">
        <v>2129563.31</v>
      </c>
      <c r="L1292" s="4" t="s">
        <v>3966</v>
      </c>
      <c r="M1292" s="4" t="s">
        <v>3967</v>
      </c>
      <c r="N1292" s="4" t="s">
        <v>20</v>
      </c>
      <c r="O1292" s="4" t="s">
        <v>1157</v>
      </c>
      <c r="P1292" s="4" t="s">
        <v>1157</v>
      </c>
      <c r="Q1292" s="4" t="s">
        <v>100</v>
      </c>
      <c r="R1292" s="9">
        <f t="shared" si="20"/>
        <v>3.56476793888607E-5</v>
      </c>
    </row>
    <row r="1293" spans="1:18" hidden="1" x14ac:dyDescent="0.2">
      <c r="A1293" s="4">
        <v>1250</v>
      </c>
      <c r="B1293" s="2">
        <v>1789379</v>
      </c>
      <c r="C1293" s="2">
        <v>0</v>
      </c>
      <c r="D1293" s="4" t="s">
        <v>2570</v>
      </c>
      <c r="E1293" s="2">
        <v>1789379</v>
      </c>
      <c r="F1293" s="2">
        <v>339982.01</v>
      </c>
      <c r="G1293" s="2">
        <v>0</v>
      </c>
      <c r="H1293" s="4">
        <v>0</v>
      </c>
      <c r="I1293" s="4">
        <v>0</v>
      </c>
      <c r="J1293" s="4">
        <v>0</v>
      </c>
      <c r="K1293" s="4">
        <v>2129361.0099999998</v>
      </c>
      <c r="L1293" s="4" t="s">
        <v>2568</v>
      </c>
      <c r="M1293" s="4" t="s">
        <v>2569</v>
      </c>
      <c r="N1293" s="4" t="s">
        <v>20</v>
      </c>
      <c r="O1293" s="4" t="s">
        <v>768</v>
      </c>
      <c r="P1293" s="4" t="s">
        <v>768</v>
      </c>
      <c r="Q1293" s="4" t="s">
        <v>100</v>
      </c>
      <c r="R1293" s="9">
        <f t="shared" si="20"/>
        <v>3.5644293001845808E-5</v>
      </c>
    </row>
    <row r="1294" spans="1:18" hidden="1" x14ac:dyDescent="0.2">
      <c r="A1294" s="4">
        <v>885</v>
      </c>
      <c r="B1294" s="2">
        <v>1790930</v>
      </c>
      <c r="C1294" s="2">
        <v>2997.27</v>
      </c>
      <c r="D1294" s="4" t="s">
        <v>4243</v>
      </c>
      <c r="E1294" s="2">
        <v>1787932.73</v>
      </c>
      <c r="F1294" s="2">
        <v>339707.22</v>
      </c>
      <c r="G1294" s="2">
        <v>0</v>
      </c>
      <c r="H1294" s="4">
        <v>0</v>
      </c>
      <c r="I1294" s="4">
        <v>0</v>
      </c>
      <c r="J1294" s="4">
        <v>0</v>
      </c>
      <c r="K1294" s="4">
        <v>2127639.9500000002</v>
      </c>
      <c r="L1294" s="4" t="s">
        <v>4241</v>
      </c>
      <c r="M1294" s="4" t="s">
        <v>4242</v>
      </c>
      <c r="N1294" s="4" t="s">
        <v>20</v>
      </c>
      <c r="O1294" s="4" t="s">
        <v>1356</v>
      </c>
      <c r="P1294" s="4" t="s">
        <v>1356</v>
      </c>
      <c r="Q1294" s="4" t="s">
        <v>100</v>
      </c>
      <c r="R1294" s="9">
        <f t="shared" si="20"/>
        <v>3.5615483413916268E-5</v>
      </c>
    </row>
    <row r="1295" spans="1:18" hidden="1" x14ac:dyDescent="0.2">
      <c r="A1295" s="4">
        <v>277</v>
      </c>
      <c r="B1295" s="2">
        <v>1782571</v>
      </c>
      <c r="C1295" s="2">
        <v>0</v>
      </c>
      <c r="D1295" s="4" t="s">
        <v>3333</v>
      </c>
      <c r="E1295" s="2">
        <v>1782571</v>
      </c>
      <c r="F1295" s="2">
        <v>338688.49</v>
      </c>
      <c r="G1295" s="2">
        <v>0</v>
      </c>
      <c r="H1295" s="4">
        <v>0</v>
      </c>
      <c r="I1295" s="4">
        <v>0</v>
      </c>
      <c r="J1295" s="4">
        <v>0</v>
      </c>
      <c r="K1295" s="4">
        <v>2121259.4900000002</v>
      </c>
      <c r="L1295" s="4" t="s">
        <v>3331</v>
      </c>
      <c r="M1295" s="4" t="s">
        <v>3332</v>
      </c>
      <c r="N1295" s="4" t="s">
        <v>779</v>
      </c>
      <c r="O1295" s="4" t="s">
        <v>33</v>
      </c>
      <c r="P1295" s="4" t="s">
        <v>33</v>
      </c>
      <c r="Q1295" s="4" t="s">
        <v>100</v>
      </c>
      <c r="R1295" s="9">
        <f t="shared" si="20"/>
        <v>3.5508678161861343E-5</v>
      </c>
    </row>
    <row r="1296" spans="1:18" hidden="1" x14ac:dyDescent="0.2">
      <c r="A1296" s="4">
        <v>1811</v>
      </c>
      <c r="B1296" s="2">
        <v>1773908</v>
      </c>
      <c r="C1296" s="2">
        <v>0</v>
      </c>
      <c r="D1296" s="4" t="s">
        <v>3776</v>
      </c>
      <c r="E1296" s="2">
        <v>1773908</v>
      </c>
      <c r="F1296" s="2">
        <v>337042.52</v>
      </c>
      <c r="G1296" s="2">
        <v>0</v>
      </c>
      <c r="H1296" s="4">
        <v>0</v>
      </c>
      <c r="I1296" s="4">
        <v>0</v>
      </c>
      <c r="J1296" s="4">
        <v>0</v>
      </c>
      <c r="K1296" s="4">
        <v>2110950.52</v>
      </c>
      <c r="L1296" s="4" t="s">
        <v>3774</v>
      </c>
      <c r="M1296" s="4" t="s">
        <v>3775</v>
      </c>
      <c r="N1296" s="4" t="s">
        <v>20</v>
      </c>
      <c r="O1296" s="4" t="s">
        <v>1517</v>
      </c>
      <c r="P1296" s="4" t="s">
        <v>603</v>
      </c>
      <c r="Q1296" s="4" t="s">
        <v>100</v>
      </c>
      <c r="R1296" s="9">
        <f t="shared" si="20"/>
        <v>3.5336111863567361E-5</v>
      </c>
    </row>
    <row r="1297" spans="1:18" x14ac:dyDescent="0.2">
      <c r="A1297" s="4">
        <v>825</v>
      </c>
      <c r="B1297" s="2">
        <v>1826539</v>
      </c>
      <c r="C1297" s="2">
        <v>54796.17</v>
      </c>
      <c r="D1297" s="4" t="s">
        <v>5812</v>
      </c>
      <c r="E1297" s="2">
        <v>1771742.83</v>
      </c>
      <c r="F1297" s="2">
        <v>336631.14</v>
      </c>
      <c r="G1297" s="2">
        <v>29834.77</v>
      </c>
      <c r="H1297" s="4">
        <v>50494.67</v>
      </c>
      <c r="I1297" s="4">
        <v>0</v>
      </c>
      <c r="J1297" s="4">
        <v>80329.440000000002</v>
      </c>
      <c r="K1297" s="4">
        <v>2028044.53</v>
      </c>
      <c r="L1297" s="4" t="s">
        <v>5811</v>
      </c>
      <c r="M1297" s="4" t="s">
        <v>81</v>
      </c>
      <c r="N1297" s="4" t="s">
        <v>63</v>
      </c>
      <c r="O1297" s="4" t="s">
        <v>33</v>
      </c>
      <c r="P1297" s="4" t="s">
        <v>33</v>
      </c>
      <c r="Q1297" s="4" t="s">
        <v>28</v>
      </c>
      <c r="R1297" s="9">
        <f t="shared" si="20"/>
        <v>3.5292981842549565E-5</v>
      </c>
    </row>
    <row r="1298" spans="1:18" hidden="1" x14ac:dyDescent="0.2">
      <c r="A1298" s="4">
        <v>322</v>
      </c>
      <c r="B1298" s="2">
        <v>1757342</v>
      </c>
      <c r="C1298" s="2">
        <v>0</v>
      </c>
      <c r="D1298" s="4" t="s">
        <v>3136</v>
      </c>
      <c r="E1298" s="2">
        <v>1757342</v>
      </c>
      <c r="F1298" s="2">
        <v>333894.98</v>
      </c>
      <c r="G1298" s="2">
        <v>0</v>
      </c>
      <c r="H1298" s="4">
        <v>0</v>
      </c>
      <c r="I1298" s="4">
        <v>0</v>
      </c>
      <c r="J1298" s="4">
        <v>0</v>
      </c>
      <c r="K1298" s="4">
        <v>2091236.98</v>
      </c>
      <c r="L1298" s="4" t="s">
        <v>3134</v>
      </c>
      <c r="M1298" s="4" t="s">
        <v>3135</v>
      </c>
      <c r="N1298" s="4" t="s">
        <v>272</v>
      </c>
      <c r="O1298" s="4" t="s">
        <v>89</v>
      </c>
      <c r="P1298" s="4" t="s">
        <v>89</v>
      </c>
      <c r="Q1298" s="4" t="s">
        <v>100</v>
      </c>
      <c r="R1298" s="9">
        <f t="shared" si="20"/>
        <v>3.5006118408928302E-5</v>
      </c>
    </row>
    <row r="1299" spans="1:18" hidden="1" x14ac:dyDescent="0.2">
      <c r="A1299" s="4">
        <v>225</v>
      </c>
      <c r="B1299" s="2">
        <v>1756200</v>
      </c>
      <c r="C1299" s="2">
        <v>0</v>
      </c>
      <c r="D1299" s="4" t="s">
        <v>5815</v>
      </c>
      <c r="E1299" s="2">
        <v>1756200</v>
      </c>
      <c r="F1299" s="2">
        <v>333678</v>
      </c>
      <c r="G1299" s="2">
        <v>0</v>
      </c>
      <c r="H1299" s="4">
        <v>0</v>
      </c>
      <c r="I1299" s="4">
        <v>0</v>
      </c>
      <c r="J1299" s="4">
        <v>0</v>
      </c>
      <c r="K1299" s="4">
        <v>2089878</v>
      </c>
      <c r="L1299" s="4" t="s">
        <v>5813</v>
      </c>
      <c r="M1299" s="4" t="s">
        <v>5814</v>
      </c>
      <c r="N1299" s="4" t="s">
        <v>599</v>
      </c>
      <c r="O1299" s="4" t="s">
        <v>559</v>
      </c>
      <c r="P1299" s="4" t="s">
        <v>559</v>
      </c>
      <c r="Q1299" s="4" t="s">
        <v>100</v>
      </c>
      <c r="R1299" s="9">
        <f t="shared" si="20"/>
        <v>3.4983369856157704E-5</v>
      </c>
    </row>
    <row r="1300" spans="1:18" hidden="1" x14ac:dyDescent="0.2">
      <c r="A1300" s="4">
        <v>1324</v>
      </c>
      <c r="B1300" s="2">
        <v>1756200</v>
      </c>
      <c r="C1300" s="2">
        <v>0</v>
      </c>
      <c r="D1300" s="4" t="s">
        <v>3284</v>
      </c>
      <c r="E1300" s="2">
        <v>1756200</v>
      </c>
      <c r="F1300" s="2">
        <v>333678</v>
      </c>
      <c r="G1300" s="2">
        <v>43905</v>
      </c>
      <c r="H1300" s="4">
        <v>0</v>
      </c>
      <c r="I1300" s="4">
        <v>0</v>
      </c>
      <c r="J1300" s="4">
        <v>43905</v>
      </c>
      <c r="K1300" s="4">
        <v>2045973</v>
      </c>
      <c r="L1300" s="4" t="s">
        <v>3282</v>
      </c>
      <c r="M1300" s="4" t="s">
        <v>3283</v>
      </c>
      <c r="N1300" s="4" t="s">
        <v>32</v>
      </c>
      <c r="O1300" s="4" t="s">
        <v>33</v>
      </c>
      <c r="P1300" s="4" t="s">
        <v>33</v>
      </c>
      <c r="Q1300" s="4" t="s">
        <v>100</v>
      </c>
      <c r="R1300" s="9">
        <f t="shared" si="20"/>
        <v>3.4983369856157704E-5</v>
      </c>
    </row>
    <row r="1301" spans="1:18" hidden="1" x14ac:dyDescent="0.2">
      <c r="A1301" s="4">
        <v>1967</v>
      </c>
      <c r="B1301" s="2">
        <v>1756200</v>
      </c>
      <c r="C1301" s="2">
        <v>0</v>
      </c>
      <c r="D1301" s="4" t="s">
        <v>5818</v>
      </c>
      <c r="E1301" s="2">
        <v>1756200</v>
      </c>
      <c r="F1301" s="2">
        <v>333678</v>
      </c>
      <c r="G1301" s="2">
        <v>43905</v>
      </c>
      <c r="H1301" s="4">
        <v>0</v>
      </c>
      <c r="I1301" s="4">
        <v>0</v>
      </c>
      <c r="J1301" s="4">
        <v>43905</v>
      </c>
      <c r="K1301" s="4">
        <v>2045973</v>
      </c>
      <c r="L1301" s="4" t="s">
        <v>5816</v>
      </c>
      <c r="M1301" s="4" t="s">
        <v>5817</v>
      </c>
      <c r="N1301" s="4" t="s">
        <v>5819</v>
      </c>
      <c r="O1301" s="4" t="s">
        <v>59</v>
      </c>
      <c r="P1301" s="4" t="s">
        <v>59</v>
      </c>
      <c r="Q1301" s="4" t="s">
        <v>100</v>
      </c>
      <c r="R1301" s="9">
        <f t="shared" si="20"/>
        <v>3.4983369856157704E-5</v>
      </c>
    </row>
    <row r="1302" spans="1:18" hidden="1" x14ac:dyDescent="0.2">
      <c r="A1302" s="4">
        <v>1920</v>
      </c>
      <c r="B1302" s="2">
        <v>1755764</v>
      </c>
      <c r="C1302" s="2">
        <v>0</v>
      </c>
      <c r="D1302" s="4" t="s">
        <v>4522</v>
      </c>
      <c r="E1302" s="2">
        <v>1755764</v>
      </c>
      <c r="F1302" s="2">
        <v>333595.15999999997</v>
      </c>
      <c r="G1302" s="2">
        <v>0</v>
      </c>
      <c r="H1302" s="4">
        <v>0</v>
      </c>
      <c r="I1302" s="4">
        <v>0</v>
      </c>
      <c r="J1302" s="4">
        <v>0</v>
      </c>
      <c r="K1302" s="4">
        <v>2089359.16</v>
      </c>
      <c r="L1302" s="4" t="s">
        <v>4520</v>
      </c>
      <c r="M1302" s="4" t="s">
        <v>4521</v>
      </c>
      <c r="N1302" s="4" t="s">
        <v>695</v>
      </c>
      <c r="O1302" s="4" t="s">
        <v>67</v>
      </c>
      <c r="P1302" s="4" t="s">
        <v>67</v>
      </c>
      <c r="Q1302" s="4" t="s">
        <v>100</v>
      </c>
      <c r="R1302" s="9">
        <f t="shared" si="20"/>
        <v>3.4974684769460693E-5</v>
      </c>
    </row>
    <row r="1303" spans="1:18" hidden="1" x14ac:dyDescent="0.2">
      <c r="A1303" s="4">
        <v>865</v>
      </c>
      <c r="B1303" s="2">
        <v>1744765</v>
      </c>
      <c r="C1303" s="2">
        <v>0</v>
      </c>
      <c r="D1303" s="4" t="s">
        <v>3327</v>
      </c>
      <c r="E1303" s="2">
        <v>1744765</v>
      </c>
      <c r="F1303" s="2">
        <v>331505.34999999998</v>
      </c>
      <c r="G1303" s="2">
        <v>0</v>
      </c>
      <c r="H1303" s="4">
        <v>0</v>
      </c>
      <c r="I1303" s="4">
        <v>0</v>
      </c>
      <c r="J1303" s="4">
        <v>0</v>
      </c>
      <c r="K1303" s="4">
        <v>2076270.35</v>
      </c>
      <c r="L1303" s="4" t="s">
        <v>3325</v>
      </c>
      <c r="M1303" s="4" t="s">
        <v>3326</v>
      </c>
      <c r="N1303" s="4" t="s">
        <v>558</v>
      </c>
      <c r="O1303" s="4" t="s">
        <v>559</v>
      </c>
      <c r="P1303" s="4" t="s">
        <v>559</v>
      </c>
      <c r="Q1303" s="4" t="s">
        <v>100</v>
      </c>
      <c r="R1303" s="9">
        <f t="shared" si="20"/>
        <v>3.4755585529597425E-5</v>
      </c>
    </row>
    <row r="1304" spans="1:18" hidden="1" x14ac:dyDescent="0.2">
      <c r="A1304" s="4">
        <v>88</v>
      </c>
      <c r="B1304" s="2">
        <v>1744353.6</v>
      </c>
      <c r="C1304" s="2">
        <v>0</v>
      </c>
      <c r="D1304" s="4" t="s">
        <v>5822</v>
      </c>
      <c r="E1304" s="2">
        <v>1744353.6</v>
      </c>
      <c r="F1304" s="2">
        <v>331427.18</v>
      </c>
      <c r="G1304" s="2">
        <v>0</v>
      </c>
      <c r="H1304" s="4">
        <v>0</v>
      </c>
      <c r="I1304" s="4">
        <v>0</v>
      </c>
      <c r="J1304" s="4">
        <v>0</v>
      </c>
      <c r="K1304" s="4">
        <v>2075780.78</v>
      </c>
      <c r="L1304" s="4" t="s">
        <v>5820</v>
      </c>
      <c r="M1304" s="4" t="s">
        <v>5821</v>
      </c>
      <c r="N1304" s="4" t="s">
        <v>20</v>
      </c>
      <c r="O1304" s="4" t="s">
        <v>900</v>
      </c>
      <c r="P1304" s="4" t="s">
        <v>900</v>
      </c>
      <c r="Q1304" s="4" t="s">
        <v>144</v>
      </c>
      <c r="R1304" s="9">
        <f t="shared" si="20"/>
        <v>3.4747390473021394E-5</v>
      </c>
    </row>
    <row r="1305" spans="1:18" hidden="1" x14ac:dyDescent="0.2">
      <c r="A1305" s="4">
        <v>1708</v>
      </c>
      <c r="B1305" s="2">
        <v>1735820</v>
      </c>
      <c r="C1305" s="2">
        <v>0</v>
      </c>
      <c r="D1305" s="4" t="s">
        <v>4337</v>
      </c>
      <c r="E1305" s="2">
        <v>1735820</v>
      </c>
      <c r="F1305" s="2">
        <v>329805.8</v>
      </c>
      <c r="G1305" s="2">
        <v>0</v>
      </c>
      <c r="H1305" s="4">
        <v>0</v>
      </c>
      <c r="I1305" s="4">
        <v>0</v>
      </c>
      <c r="J1305" s="4">
        <v>0</v>
      </c>
      <c r="K1305" s="4">
        <v>2065625.8</v>
      </c>
      <c r="L1305" s="4" t="s">
        <v>4335</v>
      </c>
      <c r="M1305" s="4" t="s">
        <v>4336</v>
      </c>
      <c r="N1305" s="4" t="s">
        <v>20</v>
      </c>
      <c r="O1305" s="4" t="s">
        <v>372</v>
      </c>
      <c r="P1305" s="4" t="s">
        <v>372</v>
      </c>
      <c r="Q1305" s="4" t="s">
        <v>100</v>
      </c>
      <c r="R1305" s="9">
        <f t="shared" si="20"/>
        <v>3.4577401812843446E-5</v>
      </c>
    </row>
    <row r="1306" spans="1:18" hidden="1" x14ac:dyDescent="0.2">
      <c r="A1306" s="4">
        <v>1558</v>
      </c>
      <c r="B1306" s="2">
        <v>1732806</v>
      </c>
      <c r="C1306" s="2">
        <v>0</v>
      </c>
      <c r="D1306" s="4" t="s">
        <v>1484</v>
      </c>
      <c r="E1306" s="2">
        <v>1732806</v>
      </c>
      <c r="F1306" s="2">
        <v>329233.14</v>
      </c>
      <c r="G1306" s="2">
        <v>43320.15</v>
      </c>
      <c r="H1306" s="4">
        <v>0</v>
      </c>
      <c r="I1306" s="4">
        <v>0</v>
      </c>
      <c r="J1306" s="4">
        <v>43320.15</v>
      </c>
      <c r="K1306" s="4">
        <v>2018718.99</v>
      </c>
      <c r="L1306" s="4" t="s">
        <v>1482</v>
      </c>
      <c r="M1306" s="4" t="s">
        <v>1483</v>
      </c>
      <c r="N1306" s="4" t="s">
        <v>20</v>
      </c>
      <c r="O1306" s="4" t="s">
        <v>603</v>
      </c>
      <c r="P1306" s="4" t="s">
        <v>603</v>
      </c>
      <c r="Q1306" s="4" t="s">
        <v>28</v>
      </c>
      <c r="R1306" s="9">
        <f t="shared" si="20"/>
        <v>3.451736316306184E-5</v>
      </c>
    </row>
    <row r="1307" spans="1:18" hidden="1" x14ac:dyDescent="0.2">
      <c r="A1307" s="4">
        <v>1363</v>
      </c>
      <c r="B1307" s="2">
        <v>1732528</v>
      </c>
      <c r="C1307" s="2">
        <v>0</v>
      </c>
      <c r="D1307" s="4" t="s">
        <v>5825</v>
      </c>
      <c r="E1307" s="2">
        <v>1732528</v>
      </c>
      <c r="F1307" s="2">
        <v>329180.32</v>
      </c>
      <c r="G1307" s="2">
        <v>0</v>
      </c>
      <c r="H1307" s="4">
        <v>0</v>
      </c>
      <c r="I1307" s="4">
        <v>0</v>
      </c>
      <c r="J1307" s="4">
        <v>0</v>
      </c>
      <c r="K1307" s="4">
        <v>2061708.32</v>
      </c>
      <c r="L1307" s="4" t="s">
        <v>5823</v>
      </c>
      <c r="M1307" s="4" t="s">
        <v>5824</v>
      </c>
      <c r="N1307" s="4" t="s">
        <v>3115</v>
      </c>
      <c r="O1307" s="4" t="s">
        <v>33</v>
      </c>
      <c r="P1307" s="4" t="s">
        <v>33</v>
      </c>
      <c r="Q1307" s="4" t="s">
        <v>100</v>
      </c>
      <c r="R1307" s="9">
        <f t="shared" si="20"/>
        <v>3.4511825424296319E-5</v>
      </c>
    </row>
    <row r="1308" spans="1:18" hidden="1" x14ac:dyDescent="0.2">
      <c r="A1308" s="4">
        <v>1995</v>
      </c>
      <c r="B1308" s="2">
        <v>1731279</v>
      </c>
      <c r="C1308" s="2">
        <v>0</v>
      </c>
      <c r="D1308" s="4" t="s">
        <v>3687</v>
      </c>
      <c r="E1308" s="2">
        <v>1731279</v>
      </c>
      <c r="F1308" s="2">
        <v>328943.01</v>
      </c>
      <c r="G1308" s="2">
        <v>0</v>
      </c>
      <c r="H1308" s="4">
        <v>0</v>
      </c>
      <c r="I1308" s="4">
        <v>0</v>
      </c>
      <c r="J1308" s="4">
        <v>0</v>
      </c>
      <c r="K1308" s="4">
        <v>2060222.01</v>
      </c>
      <c r="L1308" s="4" t="s">
        <v>3685</v>
      </c>
      <c r="M1308" s="4" t="s">
        <v>3686</v>
      </c>
      <c r="N1308" s="4" t="s">
        <v>20</v>
      </c>
      <c r="O1308" s="4" t="s">
        <v>1549</v>
      </c>
      <c r="P1308" s="4" t="s">
        <v>1549</v>
      </c>
      <c r="Q1308" s="4" t="s">
        <v>100</v>
      </c>
      <c r="R1308" s="9">
        <f t="shared" si="20"/>
        <v>3.4486945439698699E-5</v>
      </c>
    </row>
    <row r="1309" spans="1:18" hidden="1" x14ac:dyDescent="0.2">
      <c r="A1309" s="4">
        <v>762</v>
      </c>
      <c r="B1309" s="2">
        <v>1718853</v>
      </c>
      <c r="C1309" s="2">
        <v>0</v>
      </c>
      <c r="D1309" s="4" t="s">
        <v>4150</v>
      </c>
      <c r="E1309" s="2">
        <v>1718853</v>
      </c>
      <c r="F1309" s="2">
        <v>326582.07</v>
      </c>
      <c r="G1309" s="2">
        <v>0</v>
      </c>
      <c r="H1309" s="4">
        <v>0</v>
      </c>
      <c r="I1309" s="4">
        <v>0</v>
      </c>
      <c r="J1309" s="4">
        <v>0</v>
      </c>
      <c r="K1309" s="4">
        <v>2045435.07</v>
      </c>
      <c r="L1309" s="4" t="s">
        <v>4148</v>
      </c>
      <c r="M1309" s="4" t="s">
        <v>4149</v>
      </c>
      <c r="N1309" s="4" t="s">
        <v>779</v>
      </c>
      <c r="O1309" s="4" t="s">
        <v>33</v>
      </c>
      <c r="P1309" s="4" t="s">
        <v>33</v>
      </c>
      <c r="Q1309" s="4" t="s">
        <v>100</v>
      </c>
      <c r="R1309" s="9">
        <f t="shared" si="20"/>
        <v>3.4239420468833981E-5</v>
      </c>
    </row>
    <row r="1310" spans="1:18" hidden="1" x14ac:dyDescent="0.2">
      <c r="A1310" s="4">
        <v>128</v>
      </c>
      <c r="B1310" s="2">
        <v>1696803</v>
      </c>
      <c r="C1310" s="2">
        <v>0</v>
      </c>
      <c r="D1310" s="4" t="s">
        <v>4639</v>
      </c>
      <c r="E1310" s="2">
        <v>1696803</v>
      </c>
      <c r="F1310" s="2">
        <v>322392.57</v>
      </c>
      <c r="G1310" s="2">
        <v>0</v>
      </c>
      <c r="H1310" s="4">
        <v>0</v>
      </c>
      <c r="I1310" s="4">
        <v>0</v>
      </c>
      <c r="J1310" s="4">
        <v>0</v>
      </c>
      <c r="K1310" s="4">
        <v>2019195.57</v>
      </c>
      <c r="L1310" s="4" t="s">
        <v>4637</v>
      </c>
      <c r="M1310" s="4" t="s">
        <v>4638</v>
      </c>
      <c r="N1310" s="4" t="s">
        <v>368</v>
      </c>
      <c r="O1310" s="4" t="s">
        <v>386</v>
      </c>
      <c r="P1310" s="4" t="s">
        <v>386</v>
      </c>
      <c r="Q1310" s="4" t="s">
        <v>1378</v>
      </c>
      <c r="R1310" s="9">
        <f t="shared" si="20"/>
        <v>3.3800186153079349E-5</v>
      </c>
    </row>
    <row r="1311" spans="1:18" hidden="1" x14ac:dyDescent="0.2">
      <c r="A1311" s="4">
        <v>1475</v>
      </c>
      <c r="B1311" s="2">
        <v>1692984</v>
      </c>
      <c r="C1311" s="2">
        <v>0</v>
      </c>
      <c r="D1311" s="4" t="s">
        <v>5096</v>
      </c>
      <c r="E1311" s="2">
        <v>1692984</v>
      </c>
      <c r="F1311" s="2">
        <v>318816.96000000002</v>
      </c>
      <c r="G1311" s="2">
        <v>0</v>
      </c>
      <c r="H1311" s="4">
        <v>0</v>
      </c>
      <c r="I1311" s="4">
        <v>0</v>
      </c>
      <c r="J1311" s="4">
        <v>0</v>
      </c>
      <c r="K1311" s="4">
        <v>2011800.96</v>
      </c>
      <c r="L1311" s="4" t="s">
        <v>5094</v>
      </c>
      <c r="M1311" s="4" t="s">
        <v>5095</v>
      </c>
      <c r="N1311" s="4" t="s">
        <v>20</v>
      </c>
      <c r="O1311" s="4" t="s">
        <v>900</v>
      </c>
      <c r="P1311" s="4" t="s">
        <v>1677</v>
      </c>
      <c r="Q1311" s="4" t="s">
        <v>144</v>
      </c>
      <c r="R1311" s="9">
        <f t="shared" si="20"/>
        <v>3.3724111964786066E-5</v>
      </c>
    </row>
    <row r="1312" spans="1:18" hidden="1" x14ac:dyDescent="0.2">
      <c r="A1312" s="4">
        <v>1541</v>
      </c>
      <c r="B1312" s="2">
        <v>1692174</v>
      </c>
      <c r="C1312" s="2">
        <v>0</v>
      </c>
      <c r="D1312" s="4" t="s">
        <v>4215</v>
      </c>
      <c r="E1312" s="2">
        <v>1692174</v>
      </c>
      <c r="F1312" s="2">
        <v>321513.06</v>
      </c>
      <c r="G1312" s="2">
        <v>0</v>
      </c>
      <c r="H1312" s="4">
        <v>0</v>
      </c>
      <c r="I1312" s="4">
        <v>0</v>
      </c>
      <c r="J1312" s="4">
        <v>0</v>
      </c>
      <c r="K1312" s="4">
        <v>2013687.06</v>
      </c>
      <c r="L1312" s="4" t="s">
        <v>4213</v>
      </c>
      <c r="M1312" s="4" t="s">
        <v>4214</v>
      </c>
      <c r="N1312" s="4" t="s">
        <v>332</v>
      </c>
      <c r="O1312" s="4" t="s">
        <v>1127</v>
      </c>
      <c r="P1312" s="4" t="s">
        <v>1127</v>
      </c>
      <c r="Q1312" s="4" t="s">
        <v>100</v>
      </c>
      <c r="R1312" s="9">
        <f t="shared" si="20"/>
        <v>3.3707976826656307E-5</v>
      </c>
    </row>
    <row r="1313" spans="1:18" hidden="1" x14ac:dyDescent="0.2">
      <c r="A1313" s="4">
        <v>118</v>
      </c>
      <c r="B1313" s="2">
        <v>1679526</v>
      </c>
      <c r="C1313" s="2">
        <v>0</v>
      </c>
      <c r="D1313" s="4" t="s">
        <v>4482</v>
      </c>
      <c r="E1313" s="2">
        <v>1679526</v>
      </c>
      <c r="F1313" s="2">
        <v>319109.94</v>
      </c>
      <c r="G1313" s="2">
        <v>0</v>
      </c>
      <c r="H1313" s="4">
        <v>0</v>
      </c>
      <c r="I1313" s="4">
        <v>0</v>
      </c>
      <c r="J1313" s="4">
        <v>0</v>
      </c>
      <c r="K1313" s="4">
        <v>1998635.94</v>
      </c>
      <c r="L1313" s="4" t="s">
        <v>4480</v>
      </c>
      <c r="M1313" s="4" t="s">
        <v>4481</v>
      </c>
      <c r="N1313" s="4" t="s">
        <v>142</v>
      </c>
      <c r="O1313" s="4" t="s">
        <v>340</v>
      </c>
      <c r="P1313" s="4" t="s">
        <v>340</v>
      </c>
      <c r="Q1313" s="4" t="s">
        <v>100</v>
      </c>
      <c r="R1313" s="9">
        <f t="shared" si="20"/>
        <v>3.345602963274862E-5</v>
      </c>
    </row>
    <row r="1314" spans="1:18" hidden="1" x14ac:dyDescent="0.2">
      <c r="A1314" s="4">
        <v>213</v>
      </c>
      <c r="B1314" s="2">
        <v>1666399</v>
      </c>
      <c r="C1314" s="2">
        <v>0</v>
      </c>
      <c r="D1314" s="4" t="s">
        <v>4056</v>
      </c>
      <c r="E1314" s="2">
        <v>1666399</v>
      </c>
      <c r="F1314" s="2">
        <v>316615.81</v>
      </c>
      <c r="G1314" s="2">
        <v>0</v>
      </c>
      <c r="H1314" s="4">
        <v>0</v>
      </c>
      <c r="I1314" s="4">
        <v>0</v>
      </c>
      <c r="J1314" s="4">
        <v>0</v>
      </c>
      <c r="K1314" s="4">
        <v>1983014.81</v>
      </c>
      <c r="L1314" s="4" t="s">
        <v>4054</v>
      </c>
      <c r="M1314" s="4" t="s">
        <v>4055</v>
      </c>
      <c r="N1314" s="4" t="s">
        <v>427</v>
      </c>
      <c r="O1314" s="4" t="s">
        <v>89</v>
      </c>
      <c r="P1314" s="4" t="s">
        <v>89</v>
      </c>
      <c r="Q1314" s="4" t="s">
        <v>100</v>
      </c>
      <c r="R1314" s="9">
        <f t="shared" si="20"/>
        <v>3.3194540795428391E-5</v>
      </c>
    </row>
    <row r="1315" spans="1:18" hidden="1" x14ac:dyDescent="0.2">
      <c r="A1315" s="4">
        <v>720</v>
      </c>
      <c r="B1315" s="2">
        <v>1666164</v>
      </c>
      <c r="C1315" s="2">
        <v>0</v>
      </c>
      <c r="D1315" s="4" t="s">
        <v>4605</v>
      </c>
      <c r="E1315" s="2">
        <v>1666164</v>
      </c>
      <c r="F1315" s="2">
        <v>316571.15999999997</v>
      </c>
      <c r="G1315" s="2">
        <v>35511.5</v>
      </c>
      <c r="H1315" s="4">
        <v>0</v>
      </c>
      <c r="I1315" s="4">
        <v>0</v>
      </c>
      <c r="J1315" s="4">
        <v>35511.5</v>
      </c>
      <c r="K1315" s="4">
        <v>1947223.66</v>
      </c>
      <c r="L1315" s="4" t="s">
        <v>4603</v>
      </c>
      <c r="M1315" s="4" t="s">
        <v>4604</v>
      </c>
      <c r="N1315" s="4" t="s">
        <v>468</v>
      </c>
      <c r="O1315" s="4" t="s">
        <v>89</v>
      </c>
      <c r="P1315" s="4" t="s">
        <v>89</v>
      </c>
      <c r="Q1315" s="4" t="s">
        <v>100</v>
      </c>
      <c r="R1315" s="9">
        <f t="shared" si="20"/>
        <v>3.3189859613378401E-5</v>
      </c>
    </row>
    <row r="1316" spans="1:18" hidden="1" x14ac:dyDescent="0.2">
      <c r="A1316" s="4">
        <v>1534</v>
      </c>
      <c r="B1316" s="2">
        <v>1664267</v>
      </c>
      <c r="C1316" s="2">
        <v>0</v>
      </c>
      <c r="D1316" s="4" t="s">
        <v>4144</v>
      </c>
      <c r="E1316" s="2">
        <v>1664267</v>
      </c>
      <c r="F1316" s="2">
        <v>316210.73</v>
      </c>
      <c r="G1316" s="2">
        <v>0</v>
      </c>
      <c r="H1316" s="4">
        <v>0</v>
      </c>
      <c r="I1316" s="4">
        <v>0</v>
      </c>
      <c r="J1316" s="4">
        <v>0</v>
      </c>
      <c r="K1316" s="4">
        <v>1980477.73</v>
      </c>
      <c r="L1316" s="4" t="s">
        <v>4142</v>
      </c>
      <c r="M1316" s="4" t="s">
        <v>4143</v>
      </c>
      <c r="N1316" s="4" t="s">
        <v>20</v>
      </c>
      <c r="O1316" s="4" t="s">
        <v>692</v>
      </c>
      <c r="P1316" s="4" t="s">
        <v>692</v>
      </c>
      <c r="Q1316" s="4" t="s">
        <v>100</v>
      </c>
      <c r="R1316" s="9">
        <f t="shared" si="20"/>
        <v>3.3152071518276968E-5</v>
      </c>
    </row>
    <row r="1317" spans="1:18" hidden="1" x14ac:dyDescent="0.2">
      <c r="A1317" s="4">
        <v>474</v>
      </c>
      <c r="B1317" s="2">
        <v>1662207</v>
      </c>
      <c r="C1317" s="2">
        <v>0</v>
      </c>
      <c r="D1317" s="4" t="s">
        <v>4386</v>
      </c>
      <c r="E1317" s="2">
        <v>1662207</v>
      </c>
      <c r="F1317" s="2">
        <v>315819.33</v>
      </c>
      <c r="G1317" s="2">
        <v>32385.13</v>
      </c>
      <c r="H1317" s="4">
        <v>0</v>
      </c>
      <c r="I1317" s="4">
        <v>0</v>
      </c>
      <c r="J1317" s="4">
        <v>32385.13</v>
      </c>
      <c r="K1317" s="4">
        <v>1945641.2</v>
      </c>
      <c r="L1317" s="4" t="s">
        <v>4384</v>
      </c>
      <c r="M1317" s="4" t="s">
        <v>4385</v>
      </c>
      <c r="N1317" s="4" t="s">
        <v>20</v>
      </c>
      <c r="O1317" s="4" t="s">
        <v>1043</v>
      </c>
      <c r="P1317" s="4" t="s">
        <v>1043</v>
      </c>
      <c r="Q1317" s="4" t="s">
        <v>100</v>
      </c>
      <c r="R1317" s="9">
        <f t="shared" si="20"/>
        <v>3.3111036475625968E-5</v>
      </c>
    </row>
    <row r="1318" spans="1:18" hidden="1" x14ac:dyDescent="0.2">
      <c r="A1318" s="4">
        <v>901</v>
      </c>
      <c r="B1318" s="2">
        <v>1658277</v>
      </c>
      <c r="C1318" s="2">
        <v>0</v>
      </c>
      <c r="D1318" s="4" t="s">
        <v>4596</v>
      </c>
      <c r="E1318" s="2">
        <v>1658277</v>
      </c>
      <c r="F1318" s="2">
        <v>315072.63</v>
      </c>
      <c r="G1318" s="2">
        <v>0</v>
      </c>
      <c r="H1318" s="4">
        <v>0</v>
      </c>
      <c r="I1318" s="4">
        <v>0</v>
      </c>
      <c r="J1318" s="4">
        <v>0</v>
      </c>
      <c r="K1318" s="4">
        <v>1973349.63</v>
      </c>
      <c r="L1318" s="4" t="s">
        <v>4594</v>
      </c>
      <c r="M1318" s="4" t="s">
        <v>4595</v>
      </c>
      <c r="N1318" s="4" t="s">
        <v>1421</v>
      </c>
      <c r="O1318" s="4" t="s">
        <v>340</v>
      </c>
      <c r="P1318" s="4" t="s">
        <v>340</v>
      </c>
      <c r="Q1318" s="4" t="s">
        <v>100</v>
      </c>
      <c r="R1318" s="9">
        <f t="shared" si="20"/>
        <v>3.3032751175811194E-5</v>
      </c>
    </row>
    <row r="1319" spans="1:18" hidden="1" x14ac:dyDescent="0.2">
      <c r="A1319" s="4">
        <v>1859</v>
      </c>
      <c r="B1319" s="2">
        <v>1666782</v>
      </c>
      <c r="C1319" s="2">
        <v>10909.74</v>
      </c>
      <c r="D1319" s="4" t="s">
        <v>3989</v>
      </c>
      <c r="E1319" s="2">
        <v>1655872.26</v>
      </c>
      <c r="F1319" s="2">
        <v>314615.73</v>
      </c>
      <c r="G1319" s="2">
        <v>0</v>
      </c>
      <c r="H1319" s="4">
        <v>0</v>
      </c>
      <c r="I1319" s="4">
        <v>0</v>
      </c>
      <c r="J1319" s="4">
        <v>0</v>
      </c>
      <c r="K1319" s="4">
        <v>1970487.99</v>
      </c>
      <c r="L1319" s="4" t="s">
        <v>3987</v>
      </c>
      <c r="M1319" s="4" t="s">
        <v>3988</v>
      </c>
      <c r="N1319" s="4" t="s">
        <v>20</v>
      </c>
      <c r="O1319" s="4" t="s">
        <v>540</v>
      </c>
      <c r="P1319" s="4" t="s">
        <v>540</v>
      </c>
      <c r="Q1319" s="4" t="s">
        <v>100</v>
      </c>
      <c r="R1319" s="9">
        <f t="shared" si="20"/>
        <v>3.2984848938692477E-5</v>
      </c>
    </row>
    <row r="1320" spans="1:18" hidden="1" x14ac:dyDescent="0.2">
      <c r="A1320" s="4">
        <v>1800</v>
      </c>
      <c r="B1320" s="2">
        <v>1651611</v>
      </c>
      <c r="C1320" s="2">
        <v>3095.13</v>
      </c>
      <c r="D1320" s="4" t="s">
        <v>4221</v>
      </c>
      <c r="E1320" s="2">
        <v>1648515.87</v>
      </c>
      <c r="F1320" s="2">
        <v>313218.02</v>
      </c>
      <c r="G1320" s="2">
        <v>0</v>
      </c>
      <c r="H1320" s="4">
        <v>0</v>
      </c>
      <c r="I1320" s="4">
        <v>0</v>
      </c>
      <c r="J1320" s="4">
        <v>0</v>
      </c>
      <c r="K1320" s="4">
        <v>1961733.89</v>
      </c>
      <c r="L1320" s="4" t="s">
        <v>4219</v>
      </c>
      <c r="M1320" s="4" t="s">
        <v>4220</v>
      </c>
      <c r="N1320" s="4" t="s">
        <v>20</v>
      </c>
      <c r="O1320" s="4" t="s">
        <v>316</v>
      </c>
      <c r="P1320" s="4" t="s">
        <v>316</v>
      </c>
      <c r="Q1320" s="4" t="s">
        <v>100</v>
      </c>
      <c r="R1320" s="9">
        <f t="shared" si="20"/>
        <v>3.283831021179569E-5</v>
      </c>
    </row>
    <row r="1321" spans="1:18" hidden="1" x14ac:dyDescent="0.2">
      <c r="A1321" s="4">
        <v>12</v>
      </c>
      <c r="B1321" s="2">
        <v>1646109</v>
      </c>
      <c r="C1321" s="2">
        <v>0</v>
      </c>
      <c r="D1321" s="4" t="s">
        <v>4361</v>
      </c>
      <c r="E1321" s="2">
        <v>1646109</v>
      </c>
      <c r="F1321" s="2">
        <v>312760.71000000002</v>
      </c>
      <c r="G1321" s="2">
        <v>0</v>
      </c>
      <c r="H1321" s="4">
        <v>0</v>
      </c>
      <c r="I1321" s="4">
        <v>0</v>
      </c>
      <c r="J1321" s="4">
        <v>0</v>
      </c>
      <c r="K1321" s="4">
        <v>1958869.71</v>
      </c>
      <c r="L1321" s="4" t="s">
        <v>4359</v>
      </c>
      <c r="M1321" s="4" t="s">
        <v>4360</v>
      </c>
      <c r="N1321" s="4" t="s">
        <v>20</v>
      </c>
      <c r="O1321" s="4" t="s">
        <v>316</v>
      </c>
      <c r="P1321" s="4" t="s">
        <v>316</v>
      </c>
      <c r="Q1321" s="4" t="s">
        <v>100</v>
      </c>
      <c r="R1321" s="9">
        <f t="shared" si="20"/>
        <v>3.2790365545239663E-5</v>
      </c>
    </row>
    <row r="1322" spans="1:18" hidden="1" x14ac:dyDescent="0.2">
      <c r="A1322" s="4">
        <v>954</v>
      </c>
      <c r="B1322" s="2">
        <v>1643027</v>
      </c>
      <c r="C1322" s="2">
        <v>0</v>
      </c>
      <c r="D1322" s="4" t="s">
        <v>4500</v>
      </c>
      <c r="E1322" s="2">
        <v>1643027</v>
      </c>
      <c r="F1322" s="2">
        <v>312175.13</v>
      </c>
      <c r="G1322" s="2">
        <v>0</v>
      </c>
      <c r="H1322" s="4">
        <v>0</v>
      </c>
      <c r="I1322" s="4">
        <v>0</v>
      </c>
      <c r="J1322" s="4">
        <v>0</v>
      </c>
      <c r="K1322" s="4">
        <v>1955202.13</v>
      </c>
      <c r="L1322" s="4" t="s">
        <v>4498</v>
      </c>
      <c r="M1322" s="4" t="s">
        <v>4499</v>
      </c>
      <c r="N1322" s="4" t="s">
        <v>20</v>
      </c>
      <c r="O1322" s="4" t="s">
        <v>631</v>
      </c>
      <c r="P1322" s="4" t="s">
        <v>631</v>
      </c>
      <c r="Q1322" s="4" t="s">
        <v>100</v>
      </c>
      <c r="R1322" s="9">
        <f t="shared" si="20"/>
        <v>3.2728972340652102E-5</v>
      </c>
    </row>
    <row r="1323" spans="1:18" hidden="1" x14ac:dyDescent="0.2">
      <c r="A1323" s="4">
        <v>1382</v>
      </c>
      <c r="B1323" s="2">
        <v>1641601</v>
      </c>
      <c r="C1323" s="2">
        <v>0</v>
      </c>
      <c r="D1323" s="4" t="s">
        <v>4633</v>
      </c>
      <c r="E1323" s="2">
        <v>1641601</v>
      </c>
      <c r="F1323" s="2">
        <v>311904.19</v>
      </c>
      <c r="G1323" s="2">
        <v>0</v>
      </c>
      <c r="H1323" s="4">
        <v>0</v>
      </c>
      <c r="I1323" s="4">
        <v>0</v>
      </c>
      <c r="J1323" s="4">
        <v>0</v>
      </c>
      <c r="K1323" s="4">
        <v>1953505.19</v>
      </c>
      <c r="L1323" s="4" t="s">
        <v>4631</v>
      </c>
      <c r="M1323" s="4" t="s">
        <v>4632</v>
      </c>
      <c r="N1323" s="4" t="s">
        <v>20</v>
      </c>
      <c r="O1323" s="4" t="s">
        <v>1157</v>
      </c>
      <c r="P1323" s="4" t="s">
        <v>1039</v>
      </c>
      <c r="Q1323" s="4" t="s">
        <v>100</v>
      </c>
      <c r="R1323" s="9">
        <f t="shared" si="20"/>
        <v>3.2700566529574272E-5</v>
      </c>
    </row>
    <row r="1324" spans="1:18" hidden="1" x14ac:dyDescent="0.2">
      <c r="A1324" s="4">
        <v>853</v>
      </c>
      <c r="B1324" s="2">
        <v>1636988</v>
      </c>
      <c r="C1324" s="2">
        <v>0</v>
      </c>
      <c r="D1324" s="4" t="s">
        <v>3892</v>
      </c>
      <c r="E1324" s="2">
        <v>1636988</v>
      </c>
      <c r="F1324" s="2">
        <v>311027.71999999997</v>
      </c>
      <c r="G1324" s="2">
        <v>0</v>
      </c>
      <c r="H1324" s="4">
        <v>0</v>
      </c>
      <c r="I1324" s="4">
        <v>0</v>
      </c>
      <c r="J1324" s="4">
        <v>0</v>
      </c>
      <c r="K1324" s="4">
        <v>1948015.72</v>
      </c>
      <c r="L1324" s="4" t="s">
        <v>3890</v>
      </c>
      <c r="M1324" s="4" t="s">
        <v>3891</v>
      </c>
      <c r="N1324" s="4" t="s">
        <v>142</v>
      </c>
      <c r="O1324" s="4" t="s">
        <v>340</v>
      </c>
      <c r="P1324" s="4" t="s">
        <v>340</v>
      </c>
      <c r="Q1324" s="4" t="s">
        <v>100</v>
      </c>
      <c r="R1324" s="9">
        <f t="shared" si="20"/>
        <v>3.2608675921929101E-5</v>
      </c>
    </row>
    <row r="1325" spans="1:18" hidden="1" x14ac:dyDescent="0.2">
      <c r="A1325" s="4">
        <v>622</v>
      </c>
      <c r="B1325" s="2">
        <v>1635045</v>
      </c>
      <c r="C1325" s="2">
        <v>0</v>
      </c>
      <c r="D1325" s="4" t="s">
        <v>3886</v>
      </c>
      <c r="E1325" s="2">
        <v>1635045</v>
      </c>
      <c r="F1325" s="2">
        <v>310658.55</v>
      </c>
      <c r="G1325" s="2">
        <v>0</v>
      </c>
      <c r="H1325" s="4">
        <v>0</v>
      </c>
      <c r="I1325" s="4">
        <v>0</v>
      </c>
      <c r="J1325" s="4">
        <v>0</v>
      </c>
      <c r="K1325" s="4">
        <v>1945703.55</v>
      </c>
      <c r="L1325" s="4" t="s">
        <v>3884</v>
      </c>
      <c r="M1325" s="4" t="s">
        <v>3885</v>
      </c>
      <c r="N1325" s="4" t="s">
        <v>20</v>
      </c>
      <c r="O1325" s="4" t="s">
        <v>1043</v>
      </c>
      <c r="P1325" s="4" t="s">
        <v>1043</v>
      </c>
      <c r="Q1325" s="4" t="s">
        <v>100</v>
      </c>
      <c r="R1325" s="9">
        <f t="shared" si="20"/>
        <v>3.256997151034129E-5</v>
      </c>
    </row>
    <row r="1326" spans="1:18" hidden="1" x14ac:dyDescent="0.2">
      <c r="A1326" s="4">
        <v>1923</v>
      </c>
      <c r="B1326" s="2">
        <v>1623598</v>
      </c>
      <c r="C1326" s="2">
        <v>0</v>
      </c>
      <c r="D1326" s="4" t="s">
        <v>4682</v>
      </c>
      <c r="E1326" s="2">
        <v>1623598</v>
      </c>
      <c r="F1326" s="2">
        <v>308483.62</v>
      </c>
      <c r="G1326" s="2">
        <v>0</v>
      </c>
      <c r="H1326" s="4">
        <v>0</v>
      </c>
      <c r="I1326" s="4">
        <v>0</v>
      </c>
      <c r="J1326" s="4">
        <v>0</v>
      </c>
      <c r="K1326" s="4">
        <v>1932081.62</v>
      </c>
      <c r="L1326" s="4" t="s">
        <v>4680</v>
      </c>
      <c r="M1326" s="4" t="s">
        <v>4681</v>
      </c>
      <c r="N1326" s="4" t="s">
        <v>20</v>
      </c>
      <c r="O1326" s="4" t="s">
        <v>3938</v>
      </c>
      <c r="P1326" s="4" t="s">
        <v>3938</v>
      </c>
      <c r="Q1326" s="4" t="s">
        <v>1378</v>
      </c>
      <c r="R1326" s="9">
        <f t="shared" si="20"/>
        <v>3.2341948144697602E-5</v>
      </c>
    </row>
    <row r="1327" spans="1:18" hidden="1" x14ac:dyDescent="0.2">
      <c r="A1327" s="4">
        <v>673</v>
      </c>
      <c r="B1327" s="2">
        <v>1605060</v>
      </c>
      <c r="C1327" s="2">
        <v>0</v>
      </c>
      <c r="D1327" s="4" t="s">
        <v>5405</v>
      </c>
      <c r="E1327" s="2">
        <v>1605060</v>
      </c>
      <c r="F1327" s="2">
        <v>304961.40000000002</v>
      </c>
      <c r="G1327" s="2">
        <v>40126.5</v>
      </c>
      <c r="H1327" s="4">
        <v>0</v>
      </c>
      <c r="I1327" s="4">
        <v>0</v>
      </c>
      <c r="J1327" s="4">
        <v>40126.5</v>
      </c>
      <c r="K1327" s="4">
        <v>1869894.9</v>
      </c>
      <c r="L1327" s="4" t="s">
        <v>5403</v>
      </c>
      <c r="M1327" s="4" t="s">
        <v>5404</v>
      </c>
      <c r="N1327" s="4" t="s">
        <v>20</v>
      </c>
      <c r="O1327" s="4" t="s">
        <v>71</v>
      </c>
      <c r="P1327" s="4" t="s">
        <v>71</v>
      </c>
      <c r="Q1327" s="4" t="s">
        <v>100</v>
      </c>
      <c r="R1327" s="9">
        <f t="shared" si="20"/>
        <v>3.1972672600685845E-5</v>
      </c>
    </row>
    <row r="1328" spans="1:18" hidden="1" x14ac:dyDescent="0.2">
      <c r="A1328" s="4">
        <v>1922</v>
      </c>
      <c r="B1328" s="2">
        <v>1597748</v>
      </c>
      <c r="C1328" s="2">
        <v>0</v>
      </c>
      <c r="D1328" s="4" t="s">
        <v>5828</v>
      </c>
      <c r="E1328" s="2">
        <v>1597748</v>
      </c>
      <c r="F1328" s="2">
        <v>303572.12</v>
      </c>
      <c r="G1328" s="2">
        <v>0</v>
      </c>
      <c r="H1328" s="4">
        <v>0</v>
      </c>
      <c r="I1328" s="4">
        <v>0</v>
      </c>
      <c r="J1328" s="4">
        <v>0</v>
      </c>
      <c r="K1328" s="4">
        <v>1901320.12</v>
      </c>
      <c r="L1328" s="4" t="s">
        <v>5826</v>
      </c>
      <c r="M1328" s="4" t="s">
        <v>5827</v>
      </c>
      <c r="N1328" s="4" t="s">
        <v>1783</v>
      </c>
      <c r="O1328" s="4" t="s">
        <v>89</v>
      </c>
      <c r="P1328" s="4" t="s">
        <v>89</v>
      </c>
      <c r="Q1328" s="4" t="s">
        <v>100</v>
      </c>
      <c r="R1328" s="9">
        <f t="shared" si="20"/>
        <v>3.1827018119198415E-5</v>
      </c>
    </row>
    <row r="1329" spans="1:18" hidden="1" x14ac:dyDescent="0.2">
      <c r="A1329" s="4">
        <v>985</v>
      </c>
      <c r="B1329" s="2">
        <v>1585336</v>
      </c>
      <c r="C1329" s="2">
        <v>0</v>
      </c>
      <c r="D1329" s="4" t="s">
        <v>2622</v>
      </c>
      <c r="E1329" s="2">
        <v>1585336</v>
      </c>
      <c r="F1329" s="2">
        <v>301213.84000000003</v>
      </c>
      <c r="G1329" s="2">
        <v>0</v>
      </c>
      <c r="H1329" s="4">
        <v>0</v>
      </c>
      <c r="I1329" s="4">
        <v>0</v>
      </c>
      <c r="J1329" s="4">
        <v>0</v>
      </c>
      <c r="K1329" s="4">
        <v>1886549.84</v>
      </c>
      <c r="L1329" s="4" t="s">
        <v>2620</v>
      </c>
      <c r="M1329" s="4" t="s">
        <v>2621</v>
      </c>
      <c r="N1329" s="4" t="s">
        <v>504</v>
      </c>
      <c r="O1329" s="4" t="s">
        <v>27</v>
      </c>
      <c r="P1329" s="4" t="s">
        <v>27</v>
      </c>
      <c r="Q1329" s="4" t="s">
        <v>100</v>
      </c>
      <c r="R1329" s="9">
        <f t="shared" si="20"/>
        <v>3.1579772027264333E-5</v>
      </c>
    </row>
    <row r="1330" spans="1:18" hidden="1" x14ac:dyDescent="0.2">
      <c r="A1330" s="4">
        <v>838</v>
      </c>
      <c r="B1330" s="2">
        <v>1575780</v>
      </c>
      <c r="C1330" s="2">
        <v>0</v>
      </c>
      <c r="D1330" s="4" t="s">
        <v>3602</v>
      </c>
      <c r="E1330" s="2">
        <v>1575780</v>
      </c>
      <c r="F1330" s="2">
        <v>299398.2</v>
      </c>
      <c r="G1330" s="2">
        <v>0</v>
      </c>
      <c r="H1330" s="4">
        <v>0</v>
      </c>
      <c r="I1330" s="4">
        <v>0</v>
      </c>
      <c r="J1330" s="4">
        <v>0</v>
      </c>
      <c r="K1330" s="4">
        <v>1875178.2</v>
      </c>
      <c r="L1330" s="4" t="s">
        <v>3600</v>
      </c>
      <c r="M1330" s="4" t="s">
        <v>3601</v>
      </c>
      <c r="N1330" s="4" t="s">
        <v>20</v>
      </c>
      <c r="O1330" s="4" t="s">
        <v>316</v>
      </c>
      <c r="P1330" s="4" t="s">
        <v>316</v>
      </c>
      <c r="Q1330" s="4" t="s">
        <v>100</v>
      </c>
      <c r="R1330" s="9">
        <f t="shared" si="20"/>
        <v>3.138941723718038E-5</v>
      </c>
    </row>
    <row r="1331" spans="1:18" hidden="1" x14ac:dyDescent="0.2">
      <c r="A1331" s="4">
        <v>1177</v>
      </c>
      <c r="B1331" s="2">
        <v>1568973</v>
      </c>
      <c r="C1331" s="2">
        <v>0</v>
      </c>
      <c r="D1331" s="4" t="s">
        <v>2800</v>
      </c>
      <c r="E1331" s="2">
        <v>1568973</v>
      </c>
      <c r="F1331" s="2">
        <v>298104.87</v>
      </c>
      <c r="G1331" s="2">
        <v>-57880.85</v>
      </c>
      <c r="H1331" s="4">
        <v>0</v>
      </c>
      <c r="I1331" s="4">
        <v>0</v>
      </c>
      <c r="J1331" s="4">
        <v>-57880.85</v>
      </c>
      <c r="K1331" s="4">
        <v>1924958.72</v>
      </c>
      <c r="L1331" s="4" t="s">
        <v>2798</v>
      </c>
      <c r="M1331" s="4" t="s">
        <v>2799</v>
      </c>
      <c r="N1331" s="4" t="s">
        <v>20</v>
      </c>
      <c r="O1331" s="4" t="s">
        <v>692</v>
      </c>
      <c r="P1331" s="4" t="s">
        <v>692</v>
      </c>
      <c r="Q1331" s="4" t="s">
        <v>100</v>
      </c>
      <c r="R1331" s="9">
        <f t="shared" si="20"/>
        <v>3.1253822317119529E-5</v>
      </c>
    </row>
    <row r="1332" spans="1:18" hidden="1" x14ac:dyDescent="0.2">
      <c r="A1332" s="4">
        <v>401</v>
      </c>
      <c r="B1332" s="2">
        <v>1567368</v>
      </c>
      <c r="C1332" s="2">
        <v>0</v>
      </c>
      <c r="D1332" s="4" t="s">
        <v>4961</v>
      </c>
      <c r="E1332" s="2">
        <v>1567368</v>
      </c>
      <c r="F1332" s="2">
        <v>297799.92</v>
      </c>
      <c r="G1332" s="2">
        <v>0</v>
      </c>
      <c r="H1332" s="4">
        <v>0</v>
      </c>
      <c r="I1332" s="4">
        <v>0</v>
      </c>
      <c r="J1332" s="4">
        <v>0</v>
      </c>
      <c r="K1332" s="4">
        <v>1865167.92</v>
      </c>
      <c r="L1332" s="4" t="s">
        <v>4959</v>
      </c>
      <c r="M1332" s="4" t="s">
        <v>4960</v>
      </c>
      <c r="N1332" s="4" t="s">
        <v>88</v>
      </c>
      <c r="O1332" s="4" t="s">
        <v>89</v>
      </c>
      <c r="P1332" s="4" t="s">
        <v>89</v>
      </c>
      <c r="Q1332" s="4" t="s">
        <v>100</v>
      </c>
      <c r="R1332" s="9">
        <f t="shared" si="20"/>
        <v>3.1221850839714261E-5</v>
      </c>
    </row>
    <row r="1333" spans="1:18" hidden="1" x14ac:dyDescent="0.2">
      <c r="A1333" s="4">
        <v>165</v>
      </c>
      <c r="B1333" s="2">
        <v>1566908</v>
      </c>
      <c r="C1333" s="2">
        <v>0</v>
      </c>
      <c r="D1333" s="4" t="s">
        <v>5831</v>
      </c>
      <c r="E1333" s="2">
        <v>1566908</v>
      </c>
      <c r="F1333" s="2">
        <v>297712.52</v>
      </c>
      <c r="G1333" s="2">
        <v>0</v>
      </c>
      <c r="H1333" s="4">
        <v>0</v>
      </c>
      <c r="I1333" s="4">
        <v>0</v>
      </c>
      <c r="J1333" s="4">
        <v>0</v>
      </c>
      <c r="K1333" s="4">
        <v>1864620.52</v>
      </c>
      <c r="L1333" s="4" t="s">
        <v>5829</v>
      </c>
      <c r="M1333" s="4" t="s">
        <v>5830</v>
      </c>
      <c r="N1333" s="4" t="s">
        <v>5832</v>
      </c>
      <c r="O1333" s="4" t="s">
        <v>559</v>
      </c>
      <c r="P1333" s="4" t="s">
        <v>559</v>
      </c>
      <c r="Q1333" s="4" t="s">
        <v>100</v>
      </c>
      <c r="R1333" s="9">
        <f t="shared" si="20"/>
        <v>3.1212687674850446E-5</v>
      </c>
    </row>
    <row r="1334" spans="1:18" hidden="1" x14ac:dyDescent="0.2">
      <c r="A1334" s="4">
        <v>159</v>
      </c>
      <c r="B1334" s="2">
        <v>1551195</v>
      </c>
      <c r="C1334" s="2">
        <v>0</v>
      </c>
      <c r="D1334" s="4" t="s">
        <v>5835</v>
      </c>
      <c r="E1334" s="2">
        <v>1551195</v>
      </c>
      <c r="F1334" s="2">
        <v>294727.05</v>
      </c>
      <c r="G1334" s="2">
        <v>0</v>
      </c>
      <c r="H1334" s="4">
        <v>0</v>
      </c>
      <c r="I1334" s="4">
        <v>0</v>
      </c>
      <c r="J1334" s="4">
        <v>0</v>
      </c>
      <c r="K1334" s="4">
        <v>1845922.05</v>
      </c>
      <c r="L1334" s="4" t="s">
        <v>5833</v>
      </c>
      <c r="M1334" s="4" t="s">
        <v>5834</v>
      </c>
      <c r="N1334" s="4" t="s">
        <v>20</v>
      </c>
      <c r="O1334" s="4" t="s">
        <v>1157</v>
      </c>
      <c r="P1334" s="4" t="s">
        <v>1157</v>
      </c>
      <c r="Q1334" s="4" t="s">
        <v>100</v>
      </c>
      <c r="R1334" s="9">
        <f t="shared" si="20"/>
        <v>3.0899685915056683E-5</v>
      </c>
    </row>
    <row r="1335" spans="1:18" hidden="1" x14ac:dyDescent="0.2">
      <c r="A1335" s="4">
        <v>1868</v>
      </c>
      <c r="B1335" s="2">
        <v>1539594</v>
      </c>
      <c r="C1335" s="2">
        <v>0</v>
      </c>
      <c r="D1335" s="4" t="s">
        <v>5838</v>
      </c>
      <c r="E1335" s="2">
        <v>1539594</v>
      </c>
      <c r="F1335" s="2">
        <v>292522.86</v>
      </c>
      <c r="G1335" s="2">
        <v>38489.85</v>
      </c>
      <c r="H1335" s="4">
        <v>0</v>
      </c>
      <c r="I1335" s="4">
        <v>0</v>
      </c>
      <c r="J1335" s="4">
        <v>38489.85</v>
      </c>
      <c r="K1335" s="4">
        <v>1793627.01</v>
      </c>
      <c r="L1335" s="4" t="s">
        <v>5836</v>
      </c>
      <c r="M1335" s="4" t="s">
        <v>5837</v>
      </c>
      <c r="N1335" s="4" t="s">
        <v>20</v>
      </c>
      <c r="O1335" s="4" t="s">
        <v>76</v>
      </c>
      <c r="P1335" s="4" t="s">
        <v>76</v>
      </c>
      <c r="Q1335" s="4" t="s">
        <v>585</v>
      </c>
      <c r="R1335" s="9">
        <f t="shared" si="20"/>
        <v>3.0668594881175981E-5</v>
      </c>
    </row>
    <row r="1336" spans="1:18" hidden="1" x14ac:dyDescent="0.2">
      <c r="A1336" s="4">
        <v>1229</v>
      </c>
      <c r="B1336" s="2">
        <v>1524965</v>
      </c>
      <c r="C1336" s="2">
        <v>0</v>
      </c>
      <c r="D1336" s="4" t="s">
        <v>3937</v>
      </c>
      <c r="E1336" s="2">
        <v>1524965</v>
      </c>
      <c r="F1336" s="2">
        <v>289743.34999999998</v>
      </c>
      <c r="G1336" s="2">
        <v>0</v>
      </c>
      <c r="H1336" s="4">
        <v>0</v>
      </c>
      <c r="I1336" s="4">
        <v>0</v>
      </c>
      <c r="J1336" s="4">
        <v>0</v>
      </c>
      <c r="K1336" s="4">
        <v>1814708.35</v>
      </c>
      <c r="L1336" s="4" t="s">
        <v>3935</v>
      </c>
      <c r="M1336" s="4" t="s">
        <v>3936</v>
      </c>
      <c r="N1336" s="4" t="s">
        <v>1421</v>
      </c>
      <c r="O1336" s="4" t="s">
        <v>3938</v>
      </c>
      <c r="P1336" s="4" t="s">
        <v>3938</v>
      </c>
      <c r="Q1336" s="4" t="s">
        <v>1378</v>
      </c>
      <c r="R1336" s="9">
        <f t="shared" si="20"/>
        <v>3.0377186318583037E-5</v>
      </c>
    </row>
    <row r="1337" spans="1:18" x14ac:dyDescent="0.2">
      <c r="A1337" s="4">
        <v>814</v>
      </c>
      <c r="B1337" s="2">
        <v>1476984</v>
      </c>
      <c r="C1337" s="2">
        <v>0</v>
      </c>
      <c r="D1337" s="4" t="s">
        <v>5840</v>
      </c>
      <c r="E1337" s="2">
        <v>1476984</v>
      </c>
      <c r="F1337" s="2">
        <v>280626.96000000002</v>
      </c>
      <c r="G1337" s="2">
        <v>0</v>
      </c>
      <c r="H1337" s="4">
        <v>0</v>
      </c>
      <c r="I1337" s="4">
        <v>0</v>
      </c>
      <c r="J1337" s="4">
        <v>0</v>
      </c>
      <c r="K1337" s="4">
        <v>1757610.96</v>
      </c>
      <c r="L1337" s="4" t="s">
        <v>5839</v>
      </c>
      <c r="M1337" s="4" t="s">
        <v>81</v>
      </c>
      <c r="N1337" s="4" t="s">
        <v>4286</v>
      </c>
      <c r="O1337" s="4" t="s">
        <v>237</v>
      </c>
      <c r="P1337" s="4" t="s">
        <v>237</v>
      </c>
      <c r="Q1337" s="4" t="s">
        <v>28</v>
      </c>
      <c r="R1337" s="9">
        <f t="shared" si="20"/>
        <v>2.9421408463516244E-5</v>
      </c>
    </row>
    <row r="1338" spans="1:18" hidden="1" x14ac:dyDescent="0.2">
      <c r="A1338" s="4">
        <v>1497</v>
      </c>
      <c r="B1338" s="2">
        <v>1468044</v>
      </c>
      <c r="C1338" s="2">
        <v>0</v>
      </c>
      <c r="D1338" s="4" t="s">
        <v>3855</v>
      </c>
      <c r="E1338" s="2">
        <v>1468044</v>
      </c>
      <c r="F1338" s="2">
        <v>278928.36</v>
      </c>
      <c r="G1338" s="2">
        <v>0</v>
      </c>
      <c r="H1338" s="4">
        <v>0</v>
      </c>
      <c r="I1338" s="4">
        <v>0</v>
      </c>
      <c r="J1338" s="4">
        <v>0</v>
      </c>
      <c r="K1338" s="4">
        <v>1746972.36</v>
      </c>
      <c r="L1338" s="4" t="s">
        <v>3853</v>
      </c>
      <c r="M1338" s="4" t="s">
        <v>3854</v>
      </c>
      <c r="N1338" s="4" t="s">
        <v>20</v>
      </c>
      <c r="O1338" s="4" t="s">
        <v>692</v>
      </c>
      <c r="P1338" s="4" t="s">
        <v>692</v>
      </c>
      <c r="Q1338" s="4" t="s">
        <v>100</v>
      </c>
      <c r="R1338" s="9">
        <f t="shared" si="20"/>
        <v>2.9243324346380355E-5</v>
      </c>
    </row>
    <row r="1339" spans="1:18" hidden="1" x14ac:dyDescent="0.2">
      <c r="A1339" s="4">
        <v>1768</v>
      </c>
      <c r="B1339" s="2">
        <v>1460224</v>
      </c>
      <c r="C1339" s="2">
        <v>0</v>
      </c>
      <c r="D1339" s="4" t="s">
        <v>3349</v>
      </c>
      <c r="E1339" s="2">
        <v>1460224</v>
      </c>
      <c r="F1339" s="2">
        <v>277442.56</v>
      </c>
      <c r="G1339" s="2">
        <v>36505.599999999999</v>
      </c>
      <c r="H1339" s="4">
        <v>0</v>
      </c>
      <c r="I1339" s="4">
        <v>0</v>
      </c>
      <c r="J1339" s="4">
        <v>36505.599999999999</v>
      </c>
      <c r="K1339" s="4">
        <v>1701160.96</v>
      </c>
      <c r="L1339" s="4" t="s">
        <v>3348</v>
      </c>
      <c r="M1339" s="4" t="s">
        <v>1600</v>
      </c>
      <c r="N1339" s="4" t="s">
        <v>3350</v>
      </c>
      <c r="O1339" s="4" t="s">
        <v>113</v>
      </c>
      <c r="P1339" s="4" t="s">
        <v>113</v>
      </c>
      <c r="Q1339" s="4" t="s">
        <v>100</v>
      </c>
      <c r="R1339" s="9">
        <f t="shared" si="20"/>
        <v>2.9087550543695493E-5</v>
      </c>
    </row>
    <row r="1340" spans="1:18" hidden="1" x14ac:dyDescent="0.2">
      <c r="A1340" s="4">
        <v>170</v>
      </c>
      <c r="B1340" s="2">
        <v>1455876</v>
      </c>
      <c r="C1340" s="2">
        <v>0</v>
      </c>
      <c r="D1340" s="4" t="s">
        <v>4252</v>
      </c>
      <c r="E1340" s="2">
        <v>1455876</v>
      </c>
      <c r="F1340" s="2">
        <v>276616.44</v>
      </c>
      <c r="G1340" s="2">
        <v>0</v>
      </c>
      <c r="H1340" s="4">
        <v>0</v>
      </c>
      <c r="I1340" s="4">
        <v>0</v>
      </c>
      <c r="J1340" s="4">
        <v>0</v>
      </c>
      <c r="K1340" s="4">
        <v>1732492.44</v>
      </c>
      <c r="L1340" s="4" t="s">
        <v>4250</v>
      </c>
      <c r="M1340" s="4" t="s">
        <v>4251</v>
      </c>
      <c r="N1340" s="4" t="s">
        <v>20</v>
      </c>
      <c r="O1340" s="4" t="s">
        <v>372</v>
      </c>
      <c r="P1340" s="4" t="s">
        <v>372</v>
      </c>
      <c r="Q1340" s="4" t="s">
        <v>100</v>
      </c>
      <c r="R1340" s="9">
        <f t="shared" si="20"/>
        <v>2.900093871580882E-5</v>
      </c>
    </row>
    <row r="1341" spans="1:18" hidden="1" x14ac:dyDescent="0.2">
      <c r="A1341" s="4">
        <v>1970</v>
      </c>
      <c r="B1341" s="2">
        <v>1455189</v>
      </c>
      <c r="C1341" s="2">
        <v>0</v>
      </c>
      <c r="D1341" s="4" t="s">
        <v>4304</v>
      </c>
      <c r="E1341" s="2">
        <v>1455189</v>
      </c>
      <c r="F1341" s="2">
        <v>276485.90999999997</v>
      </c>
      <c r="G1341" s="2">
        <v>0</v>
      </c>
      <c r="H1341" s="4">
        <v>0</v>
      </c>
      <c r="I1341" s="4">
        <v>0</v>
      </c>
      <c r="J1341" s="4">
        <v>0</v>
      </c>
      <c r="K1341" s="4">
        <v>1731674.91</v>
      </c>
      <c r="L1341" s="4" t="s">
        <v>4302</v>
      </c>
      <c r="M1341" s="4" t="s">
        <v>4303</v>
      </c>
      <c r="N1341" s="4" t="s">
        <v>20</v>
      </c>
      <c r="O1341" s="4" t="s">
        <v>631</v>
      </c>
      <c r="P1341" s="4" t="s">
        <v>631</v>
      </c>
      <c r="Q1341" s="4" t="s">
        <v>100</v>
      </c>
      <c r="R1341" s="9">
        <f t="shared" si="20"/>
        <v>2.8987253728283947E-5</v>
      </c>
    </row>
    <row r="1342" spans="1:18" hidden="1" x14ac:dyDescent="0.2">
      <c r="A1342" s="4">
        <v>958</v>
      </c>
      <c r="B1342" s="2">
        <v>1437341</v>
      </c>
      <c r="C1342" s="2">
        <v>0</v>
      </c>
      <c r="D1342" s="4" t="s">
        <v>4721</v>
      </c>
      <c r="E1342" s="2">
        <v>1437341</v>
      </c>
      <c r="F1342" s="2">
        <v>273094.78999999998</v>
      </c>
      <c r="G1342" s="2">
        <v>0</v>
      </c>
      <c r="H1342" s="4">
        <v>0</v>
      </c>
      <c r="I1342" s="4">
        <v>0</v>
      </c>
      <c r="J1342" s="4">
        <v>0</v>
      </c>
      <c r="K1342" s="4">
        <v>1710435.79</v>
      </c>
      <c r="L1342" s="4" t="s">
        <v>4719</v>
      </c>
      <c r="M1342" s="4" t="s">
        <v>4720</v>
      </c>
      <c r="N1342" s="4" t="s">
        <v>20</v>
      </c>
      <c r="O1342" s="4" t="s">
        <v>316</v>
      </c>
      <c r="P1342" s="4" t="s">
        <v>316</v>
      </c>
      <c r="Q1342" s="4" t="s">
        <v>100</v>
      </c>
      <c r="R1342" s="9">
        <f t="shared" si="20"/>
        <v>2.8631722931567912E-5</v>
      </c>
    </row>
    <row r="1343" spans="1:18" hidden="1" x14ac:dyDescent="0.2">
      <c r="A1343" s="4">
        <v>1188</v>
      </c>
      <c r="B1343" s="2">
        <v>1425084</v>
      </c>
      <c r="C1343" s="2">
        <v>0</v>
      </c>
      <c r="D1343" s="4" t="s">
        <v>4943</v>
      </c>
      <c r="E1343" s="2">
        <v>1425084</v>
      </c>
      <c r="F1343" s="2">
        <v>270765.96000000002</v>
      </c>
      <c r="G1343" s="2">
        <v>0</v>
      </c>
      <c r="H1343" s="4">
        <v>0</v>
      </c>
      <c r="I1343" s="4">
        <v>0</v>
      </c>
      <c r="J1343" s="4">
        <v>0</v>
      </c>
      <c r="K1343" s="4">
        <v>1695849.96</v>
      </c>
      <c r="L1343" s="4" t="s">
        <v>4941</v>
      </c>
      <c r="M1343" s="4" t="s">
        <v>4942</v>
      </c>
      <c r="N1343" s="4" t="s">
        <v>20</v>
      </c>
      <c r="O1343" s="4" t="s">
        <v>372</v>
      </c>
      <c r="P1343" s="4" t="s">
        <v>372</v>
      </c>
      <c r="Q1343" s="4" t="s">
        <v>100</v>
      </c>
      <c r="R1343" s="9">
        <f t="shared" si="20"/>
        <v>2.8387564427794468E-5</v>
      </c>
    </row>
    <row r="1344" spans="1:18" hidden="1" x14ac:dyDescent="0.2">
      <c r="A1344" s="4">
        <v>250</v>
      </c>
      <c r="B1344" s="2">
        <v>1425015</v>
      </c>
      <c r="C1344" s="2">
        <v>0</v>
      </c>
      <c r="D1344" s="4" t="s">
        <v>4676</v>
      </c>
      <c r="E1344" s="2">
        <v>1425015</v>
      </c>
      <c r="F1344" s="2">
        <v>270752.84999999998</v>
      </c>
      <c r="G1344" s="2">
        <v>0</v>
      </c>
      <c r="H1344" s="4">
        <v>0</v>
      </c>
      <c r="I1344" s="4">
        <v>0</v>
      </c>
      <c r="J1344" s="4">
        <v>0</v>
      </c>
      <c r="K1344" s="4">
        <v>1695767.85</v>
      </c>
      <c r="L1344" s="4" t="s">
        <v>4674</v>
      </c>
      <c r="M1344" s="4" t="s">
        <v>4675</v>
      </c>
      <c r="N1344" s="4" t="s">
        <v>20</v>
      </c>
      <c r="O1344" s="4" t="s">
        <v>1562</v>
      </c>
      <c r="P1344" s="4" t="s">
        <v>1562</v>
      </c>
      <c r="Q1344" s="4" t="s">
        <v>100</v>
      </c>
      <c r="R1344" s="9">
        <f t="shared" si="20"/>
        <v>2.8386189953064893E-5</v>
      </c>
    </row>
    <row r="1345" spans="1:18" hidden="1" x14ac:dyDescent="0.2">
      <c r="A1345" s="4">
        <v>1872</v>
      </c>
      <c r="B1345" s="2">
        <v>1466408</v>
      </c>
      <c r="C1345" s="2">
        <v>43992.24</v>
      </c>
      <c r="D1345" s="4" t="s">
        <v>5843</v>
      </c>
      <c r="E1345" s="2">
        <v>1422415.76</v>
      </c>
      <c r="F1345" s="2">
        <v>270258.99</v>
      </c>
      <c r="G1345" s="2">
        <v>35560.39</v>
      </c>
      <c r="H1345" s="4">
        <v>0</v>
      </c>
      <c r="I1345" s="4">
        <v>0</v>
      </c>
      <c r="J1345" s="4">
        <v>35560.39</v>
      </c>
      <c r="K1345" s="4">
        <v>1657114.36</v>
      </c>
      <c r="L1345" s="4" t="s">
        <v>5841</v>
      </c>
      <c r="M1345" s="4" t="s">
        <v>5842</v>
      </c>
      <c r="N1345" s="4" t="s">
        <v>5844</v>
      </c>
      <c r="O1345" s="4" t="s">
        <v>2093</v>
      </c>
      <c r="P1345" s="4" t="s">
        <v>2093</v>
      </c>
      <c r="Q1345" s="4" t="s">
        <v>100</v>
      </c>
      <c r="R1345" s="9">
        <f t="shared" si="20"/>
        <v>2.833441329080267E-5</v>
      </c>
    </row>
    <row r="1346" spans="1:18" hidden="1" x14ac:dyDescent="0.2">
      <c r="A1346" s="4">
        <v>1828</v>
      </c>
      <c r="B1346" s="2">
        <v>1418049</v>
      </c>
      <c r="C1346" s="2">
        <v>0</v>
      </c>
      <c r="D1346" s="4" t="s">
        <v>5330</v>
      </c>
      <c r="E1346" s="2">
        <v>1418049</v>
      </c>
      <c r="F1346" s="2">
        <v>269429.31</v>
      </c>
      <c r="G1346" s="2">
        <v>35451.230000000003</v>
      </c>
      <c r="H1346" s="4">
        <v>0</v>
      </c>
      <c r="I1346" s="4">
        <v>0</v>
      </c>
      <c r="J1346" s="4">
        <v>35451.230000000003</v>
      </c>
      <c r="K1346" s="4">
        <v>1652027.08</v>
      </c>
      <c r="L1346" s="4" t="s">
        <v>5328</v>
      </c>
      <c r="M1346" s="4" t="s">
        <v>5329</v>
      </c>
      <c r="N1346" s="4" t="s">
        <v>127</v>
      </c>
      <c r="O1346" s="4" t="s">
        <v>67</v>
      </c>
      <c r="P1346" s="4" t="s">
        <v>67</v>
      </c>
      <c r="Q1346" s="4" t="s">
        <v>100</v>
      </c>
      <c r="R1346" s="9">
        <f t="shared" si="20"/>
        <v>2.8247427765148941E-5</v>
      </c>
    </row>
    <row r="1347" spans="1:18" hidden="1" x14ac:dyDescent="0.2">
      <c r="A1347" s="4">
        <v>945</v>
      </c>
      <c r="B1347" s="2">
        <v>1401283</v>
      </c>
      <c r="C1347" s="2">
        <v>0</v>
      </c>
      <c r="D1347" s="4" t="s">
        <v>3791</v>
      </c>
      <c r="E1347" s="2">
        <v>1401283</v>
      </c>
      <c r="F1347" s="2">
        <v>266243.77</v>
      </c>
      <c r="G1347" s="2">
        <v>0</v>
      </c>
      <c r="H1347" s="4">
        <v>0</v>
      </c>
      <c r="I1347" s="4">
        <v>0</v>
      </c>
      <c r="J1347" s="4">
        <v>0</v>
      </c>
      <c r="K1347" s="4">
        <v>1667526.77</v>
      </c>
      <c r="L1347" s="4" t="s">
        <v>3789</v>
      </c>
      <c r="M1347" s="4" t="s">
        <v>3790</v>
      </c>
      <c r="N1347" s="4" t="s">
        <v>20</v>
      </c>
      <c r="O1347" s="4" t="s">
        <v>316</v>
      </c>
      <c r="P1347" s="4" t="s">
        <v>316</v>
      </c>
      <c r="Q1347" s="4" t="s">
        <v>100</v>
      </c>
      <c r="R1347" s="9">
        <f t="shared" ref="R1347:R1410" si="21">E1347/$E$2034</f>
        <v>2.7913450325786489E-5</v>
      </c>
    </row>
    <row r="1348" spans="1:18" hidden="1" x14ac:dyDescent="0.2">
      <c r="A1348" s="4">
        <v>238</v>
      </c>
      <c r="B1348" s="2">
        <v>1400275</v>
      </c>
      <c r="C1348" s="2">
        <v>0</v>
      </c>
      <c r="D1348" s="4" t="s">
        <v>2018</v>
      </c>
      <c r="E1348" s="2">
        <v>1400275</v>
      </c>
      <c r="F1348" s="2">
        <v>266052.25</v>
      </c>
      <c r="G1348" s="2">
        <v>0</v>
      </c>
      <c r="H1348" s="4">
        <v>0</v>
      </c>
      <c r="I1348" s="4">
        <v>0</v>
      </c>
      <c r="J1348" s="4">
        <v>0</v>
      </c>
      <c r="K1348" s="4">
        <v>1666327.25</v>
      </c>
      <c r="L1348" s="4" t="s">
        <v>2016</v>
      </c>
      <c r="M1348" s="4" t="s">
        <v>2017</v>
      </c>
      <c r="N1348" s="4" t="s">
        <v>1463</v>
      </c>
      <c r="O1348" s="4" t="s">
        <v>105</v>
      </c>
      <c r="P1348" s="4" t="s">
        <v>105</v>
      </c>
      <c r="Q1348" s="4" t="s">
        <v>100</v>
      </c>
      <c r="R1348" s="9">
        <f t="shared" si="21"/>
        <v>2.7893371042780565E-5</v>
      </c>
    </row>
    <row r="1349" spans="1:18" hidden="1" x14ac:dyDescent="0.2">
      <c r="A1349" s="4">
        <v>831</v>
      </c>
      <c r="B1349" s="2">
        <v>1392737</v>
      </c>
      <c r="C1349" s="2">
        <v>0</v>
      </c>
      <c r="D1349" s="4" t="s">
        <v>3053</v>
      </c>
      <c r="E1349" s="2">
        <v>1392737</v>
      </c>
      <c r="F1349" s="2">
        <v>264620.03000000003</v>
      </c>
      <c r="G1349" s="2">
        <v>0</v>
      </c>
      <c r="H1349" s="4">
        <v>0</v>
      </c>
      <c r="I1349" s="4">
        <v>0</v>
      </c>
      <c r="J1349" s="4">
        <v>0</v>
      </c>
      <c r="K1349" s="4">
        <v>1657357.03</v>
      </c>
      <c r="L1349" s="4" t="s">
        <v>3051</v>
      </c>
      <c r="M1349" s="4" t="s">
        <v>3052</v>
      </c>
      <c r="N1349" s="4" t="s">
        <v>1421</v>
      </c>
      <c r="O1349" s="4" t="s">
        <v>340</v>
      </c>
      <c r="P1349" s="4" t="s">
        <v>340</v>
      </c>
      <c r="Q1349" s="4" t="s">
        <v>100</v>
      </c>
      <c r="R1349" s="9">
        <f t="shared" si="21"/>
        <v>2.7743214658555693E-5</v>
      </c>
    </row>
    <row r="1350" spans="1:18" hidden="1" x14ac:dyDescent="0.2">
      <c r="A1350" s="4">
        <v>185</v>
      </c>
      <c r="B1350" s="2">
        <v>1381251</v>
      </c>
      <c r="C1350" s="2">
        <v>0</v>
      </c>
      <c r="D1350" s="4" t="s">
        <v>5847</v>
      </c>
      <c r="E1350" s="2">
        <v>1381251</v>
      </c>
      <c r="F1350" s="2">
        <v>262437.69</v>
      </c>
      <c r="G1350" s="2">
        <v>0</v>
      </c>
      <c r="H1350" s="4">
        <v>0</v>
      </c>
      <c r="I1350" s="4">
        <v>0</v>
      </c>
      <c r="J1350" s="4">
        <v>0</v>
      </c>
      <c r="K1350" s="4">
        <v>1643688.69</v>
      </c>
      <c r="L1350" s="4" t="s">
        <v>5845</v>
      </c>
      <c r="M1350" s="4" t="s">
        <v>5846</v>
      </c>
      <c r="N1350" s="4" t="s">
        <v>20</v>
      </c>
      <c r="O1350" s="4" t="s">
        <v>631</v>
      </c>
      <c r="P1350" s="4" t="s">
        <v>1039</v>
      </c>
      <c r="Q1350" s="4" t="s">
        <v>100</v>
      </c>
      <c r="R1350" s="9">
        <f t="shared" si="21"/>
        <v>2.7514414415890948E-5</v>
      </c>
    </row>
    <row r="1351" spans="1:18" hidden="1" x14ac:dyDescent="0.2">
      <c r="A1351" s="4">
        <v>1789</v>
      </c>
      <c r="B1351" s="2">
        <v>1381202</v>
      </c>
      <c r="C1351" s="2">
        <v>0</v>
      </c>
      <c r="D1351" s="4" t="s">
        <v>5850</v>
      </c>
      <c r="E1351" s="2">
        <v>1381202</v>
      </c>
      <c r="F1351" s="2">
        <v>262428.38</v>
      </c>
      <c r="G1351" s="2">
        <v>0</v>
      </c>
      <c r="H1351" s="4">
        <v>0</v>
      </c>
      <c r="I1351" s="4">
        <v>0</v>
      </c>
      <c r="J1351" s="4">
        <v>0</v>
      </c>
      <c r="K1351" s="4">
        <v>1643630.38</v>
      </c>
      <c r="L1351" s="4" t="s">
        <v>5848</v>
      </c>
      <c r="M1351" s="4" t="s">
        <v>5849</v>
      </c>
      <c r="N1351" s="4" t="s">
        <v>1588</v>
      </c>
      <c r="O1351" s="4" t="s">
        <v>89</v>
      </c>
      <c r="P1351" s="4" t="s">
        <v>89</v>
      </c>
      <c r="Q1351" s="4" t="s">
        <v>100</v>
      </c>
      <c r="R1351" s="9">
        <f t="shared" si="21"/>
        <v>2.7513438339633714E-5</v>
      </c>
    </row>
    <row r="1352" spans="1:18" hidden="1" x14ac:dyDescent="0.2">
      <c r="A1352" s="4">
        <v>1639</v>
      </c>
      <c r="B1352" s="2">
        <v>1376853</v>
      </c>
      <c r="C1352" s="2">
        <v>0</v>
      </c>
      <c r="D1352" s="4" t="s">
        <v>5853</v>
      </c>
      <c r="E1352" s="2">
        <v>1376853</v>
      </c>
      <c r="F1352" s="2">
        <v>261602.07</v>
      </c>
      <c r="G1352" s="2">
        <v>0</v>
      </c>
      <c r="H1352" s="4">
        <v>0</v>
      </c>
      <c r="I1352" s="4">
        <v>0</v>
      </c>
      <c r="J1352" s="4">
        <v>0</v>
      </c>
      <c r="K1352" s="4">
        <v>1638455.07</v>
      </c>
      <c r="L1352" s="4" t="s">
        <v>5851</v>
      </c>
      <c r="M1352" s="4" t="s">
        <v>5852</v>
      </c>
      <c r="N1352" s="4" t="s">
        <v>20</v>
      </c>
      <c r="O1352" s="4" t="s">
        <v>316</v>
      </c>
      <c r="P1352" s="4" t="s">
        <v>316</v>
      </c>
      <c r="Q1352" s="4" t="s">
        <v>100</v>
      </c>
      <c r="R1352" s="9">
        <f t="shared" si="21"/>
        <v>2.7426806591823427E-5</v>
      </c>
    </row>
    <row r="1353" spans="1:18" hidden="1" x14ac:dyDescent="0.2">
      <c r="A1353" s="4">
        <v>1721</v>
      </c>
      <c r="B1353" s="2">
        <v>1368900</v>
      </c>
      <c r="C1353" s="2">
        <v>0</v>
      </c>
      <c r="D1353" s="4" t="s">
        <v>4739</v>
      </c>
      <c r="E1353" s="2">
        <v>1368900</v>
      </c>
      <c r="F1353" s="2">
        <v>260091</v>
      </c>
      <c r="G1353" s="2">
        <v>0</v>
      </c>
      <c r="H1353" s="4">
        <v>0</v>
      </c>
      <c r="I1353" s="4">
        <v>0</v>
      </c>
      <c r="J1353" s="4">
        <v>0</v>
      </c>
      <c r="K1353" s="4">
        <v>1628991</v>
      </c>
      <c r="L1353" s="4" t="s">
        <v>4737</v>
      </c>
      <c r="M1353" s="4" t="s">
        <v>4738</v>
      </c>
      <c r="N1353" s="4" t="s">
        <v>20</v>
      </c>
      <c r="O1353" s="4" t="s">
        <v>316</v>
      </c>
      <c r="P1353" s="4" t="s">
        <v>316</v>
      </c>
      <c r="Q1353" s="4" t="s">
        <v>100</v>
      </c>
      <c r="R1353" s="9">
        <f t="shared" si="21"/>
        <v>2.7268383439297505E-5</v>
      </c>
    </row>
    <row r="1354" spans="1:18" hidden="1" x14ac:dyDescent="0.2">
      <c r="A1354" s="4">
        <v>271</v>
      </c>
      <c r="B1354" s="2">
        <v>1364224</v>
      </c>
      <c r="C1354" s="2">
        <v>0</v>
      </c>
      <c r="D1354" s="4" t="s">
        <v>5856</v>
      </c>
      <c r="E1354" s="2">
        <v>1364224</v>
      </c>
      <c r="F1354" s="2">
        <v>259202.56</v>
      </c>
      <c r="G1354" s="2">
        <v>0</v>
      </c>
      <c r="H1354" s="4">
        <v>0</v>
      </c>
      <c r="I1354" s="4">
        <v>0</v>
      </c>
      <c r="J1354" s="4">
        <v>0</v>
      </c>
      <c r="K1354" s="4">
        <v>1623426.56</v>
      </c>
      <c r="L1354" s="4" t="s">
        <v>5854</v>
      </c>
      <c r="M1354" s="4" t="s">
        <v>5855</v>
      </c>
      <c r="N1354" s="4" t="s">
        <v>1961</v>
      </c>
      <c r="O1354" s="4" t="s">
        <v>201</v>
      </c>
      <c r="P1354" s="4" t="s">
        <v>201</v>
      </c>
      <c r="Q1354" s="4" t="s">
        <v>100</v>
      </c>
      <c r="R1354" s="9">
        <f t="shared" si="21"/>
        <v>2.717523787646446E-5</v>
      </c>
    </row>
    <row r="1355" spans="1:18" hidden="1" x14ac:dyDescent="0.2">
      <c r="A1355" s="4">
        <v>619</v>
      </c>
      <c r="B1355" s="2">
        <v>1362465</v>
      </c>
      <c r="C1355" s="2">
        <v>0</v>
      </c>
      <c r="D1355" s="4" t="s">
        <v>3814</v>
      </c>
      <c r="E1355" s="2">
        <v>1362465</v>
      </c>
      <c r="F1355" s="2">
        <v>258868.35</v>
      </c>
      <c r="G1355" s="2">
        <v>0</v>
      </c>
      <c r="H1355" s="4">
        <v>0</v>
      </c>
      <c r="I1355" s="4">
        <v>0</v>
      </c>
      <c r="J1355" s="4">
        <v>0</v>
      </c>
      <c r="K1355" s="4">
        <v>1621333.35</v>
      </c>
      <c r="L1355" s="4" t="s">
        <v>3812</v>
      </c>
      <c r="M1355" s="4" t="s">
        <v>3813</v>
      </c>
      <c r="N1355" s="4" t="s">
        <v>332</v>
      </c>
      <c r="O1355" s="4" t="s">
        <v>1127</v>
      </c>
      <c r="P1355" s="4" t="s">
        <v>1127</v>
      </c>
      <c r="Q1355" s="4" t="s">
        <v>100</v>
      </c>
      <c r="R1355" s="9">
        <f t="shared" si="21"/>
        <v>2.7140198730822174E-5</v>
      </c>
    </row>
    <row r="1356" spans="1:18" hidden="1" x14ac:dyDescent="0.2">
      <c r="A1356" s="4">
        <v>274</v>
      </c>
      <c r="B1356" s="2">
        <v>1360836</v>
      </c>
      <c r="C1356" s="2">
        <v>0</v>
      </c>
      <c r="D1356" s="4" t="s">
        <v>5859</v>
      </c>
      <c r="E1356" s="2">
        <v>1360836</v>
      </c>
      <c r="F1356" s="2">
        <v>258558.84</v>
      </c>
      <c r="G1356" s="2">
        <v>0</v>
      </c>
      <c r="H1356" s="4">
        <v>0</v>
      </c>
      <c r="I1356" s="4">
        <v>0</v>
      </c>
      <c r="J1356" s="4">
        <v>0</v>
      </c>
      <c r="K1356" s="4">
        <v>1619394.84</v>
      </c>
      <c r="L1356" s="4" t="s">
        <v>5857</v>
      </c>
      <c r="M1356" s="4" t="s">
        <v>5858</v>
      </c>
      <c r="N1356" s="4" t="s">
        <v>233</v>
      </c>
      <c r="O1356" s="4" t="s">
        <v>229</v>
      </c>
      <c r="P1356" s="4" t="s">
        <v>229</v>
      </c>
      <c r="Q1356" s="4" t="s">
        <v>100</v>
      </c>
      <c r="R1356" s="9">
        <f t="shared" si="21"/>
        <v>2.7107749175250099E-5</v>
      </c>
    </row>
    <row r="1357" spans="1:18" hidden="1" x14ac:dyDescent="0.2">
      <c r="A1357" s="4">
        <v>1376</v>
      </c>
      <c r="B1357" s="2">
        <v>1357114</v>
      </c>
      <c r="C1357" s="2">
        <v>0</v>
      </c>
      <c r="D1357" s="4" t="s">
        <v>4237</v>
      </c>
      <c r="E1357" s="2">
        <v>1357114</v>
      </c>
      <c r="F1357" s="2">
        <v>257851.66</v>
      </c>
      <c r="G1357" s="2">
        <v>33927.85</v>
      </c>
      <c r="H1357" s="4">
        <v>38677.75</v>
      </c>
      <c r="I1357" s="4">
        <v>0</v>
      </c>
      <c r="J1357" s="4">
        <v>72605.600000000006</v>
      </c>
      <c r="K1357" s="4">
        <v>1542360.06</v>
      </c>
      <c r="L1357" s="4" t="s">
        <v>4236</v>
      </c>
      <c r="M1357" s="4" t="s">
        <v>1006</v>
      </c>
      <c r="N1357" s="4" t="s">
        <v>306</v>
      </c>
      <c r="O1357" s="4" t="s">
        <v>42</v>
      </c>
      <c r="P1357" s="4" t="s">
        <v>42</v>
      </c>
      <c r="Q1357" s="4" t="s">
        <v>28</v>
      </c>
      <c r="R1357" s="9">
        <f t="shared" si="21"/>
        <v>2.7033607219547661E-5</v>
      </c>
    </row>
    <row r="1358" spans="1:18" hidden="1" x14ac:dyDescent="0.2">
      <c r="A1358" s="4">
        <v>1221</v>
      </c>
      <c r="B1358" s="2">
        <v>1362236</v>
      </c>
      <c r="C1358" s="2">
        <v>5739.6</v>
      </c>
      <c r="D1358" s="4" t="s">
        <v>3566</v>
      </c>
      <c r="E1358" s="2">
        <v>1356496.4</v>
      </c>
      <c r="F1358" s="2">
        <v>257734.32</v>
      </c>
      <c r="G1358" s="2">
        <v>0</v>
      </c>
      <c r="H1358" s="4">
        <v>0</v>
      </c>
      <c r="I1358" s="4">
        <v>0</v>
      </c>
      <c r="J1358" s="4">
        <v>0</v>
      </c>
      <c r="K1358" s="4">
        <v>1614230.72</v>
      </c>
      <c r="L1358" s="4" t="s">
        <v>3564</v>
      </c>
      <c r="M1358" s="4" t="s">
        <v>3565</v>
      </c>
      <c r="N1358" s="4" t="s">
        <v>20</v>
      </c>
      <c r="O1358" s="4" t="s">
        <v>1562</v>
      </c>
      <c r="P1358" s="4" t="s">
        <v>1562</v>
      </c>
      <c r="Q1358" s="4" t="s">
        <v>100</v>
      </c>
      <c r="R1358" s="9">
        <f t="shared" si="21"/>
        <v>2.7021304674721807E-5</v>
      </c>
    </row>
    <row r="1359" spans="1:18" hidden="1" x14ac:dyDescent="0.2">
      <c r="A1359" s="4">
        <v>1726</v>
      </c>
      <c r="B1359" s="2">
        <v>1342180</v>
      </c>
      <c r="C1359" s="2">
        <v>0</v>
      </c>
      <c r="D1359" s="4" t="s">
        <v>5862</v>
      </c>
      <c r="E1359" s="2">
        <v>1342180</v>
      </c>
      <c r="F1359" s="2">
        <v>255014.2</v>
      </c>
      <c r="G1359" s="2">
        <v>0</v>
      </c>
      <c r="H1359" s="4">
        <v>0</v>
      </c>
      <c r="I1359" s="4">
        <v>0</v>
      </c>
      <c r="J1359" s="4">
        <v>0</v>
      </c>
      <c r="K1359" s="4">
        <v>1597194.2</v>
      </c>
      <c r="L1359" s="4" t="s">
        <v>5860</v>
      </c>
      <c r="M1359" s="4" t="s">
        <v>5861</v>
      </c>
      <c r="N1359" s="4" t="s">
        <v>20</v>
      </c>
      <c r="O1359" s="4" t="s">
        <v>316</v>
      </c>
      <c r="P1359" s="4" t="s">
        <v>316</v>
      </c>
      <c r="Q1359" s="4" t="s">
        <v>100</v>
      </c>
      <c r="R1359" s="9">
        <f t="shared" si="21"/>
        <v>2.6736123080251533E-5</v>
      </c>
    </row>
    <row r="1360" spans="1:18" hidden="1" x14ac:dyDescent="0.2">
      <c r="A1360" s="4">
        <v>590</v>
      </c>
      <c r="B1360" s="2">
        <v>1319686</v>
      </c>
      <c r="C1360" s="2">
        <v>0</v>
      </c>
      <c r="D1360" s="4" t="s">
        <v>4205</v>
      </c>
      <c r="E1360" s="2">
        <v>1319686</v>
      </c>
      <c r="F1360" s="2">
        <v>250740.34</v>
      </c>
      <c r="G1360" s="2">
        <v>0</v>
      </c>
      <c r="H1360" s="4">
        <v>0</v>
      </c>
      <c r="I1360" s="4">
        <v>0</v>
      </c>
      <c r="J1360" s="4">
        <v>0</v>
      </c>
      <c r="K1360" s="4">
        <v>1570426.34</v>
      </c>
      <c r="L1360" s="4" t="s">
        <v>4203</v>
      </c>
      <c r="M1360" s="4" t="s">
        <v>4204</v>
      </c>
      <c r="N1360" s="4" t="s">
        <v>20</v>
      </c>
      <c r="O1360" s="4" t="s">
        <v>603</v>
      </c>
      <c r="P1360" s="4" t="s">
        <v>603</v>
      </c>
      <c r="Q1360" s="4" t="s">
        <v>100</v>
      </c>
      <c r="R1360" s="9">
        <f t="shared" si="21"/>
        <v>2.6288044318410964E-5</v>
      </c>
    </row>
    <row r="1361" spans="1:18" hidden="1" x14ac:dyDescent="0.2">
      <c r="A1361" s="4">
        <v>389</v>
      </c>
      <c r="B1361" s="2">
        <v>1300134</v>
      </c>
      <c r="C1361" s="2">
        <v>0</v>
      </c>
      <c r="D1361" s="4" t="s">
        <v>5054</v>
      </c>
      <c r="E1361" s="2">
        <v>1300134</v>
      </c>
      <c r="F1361" s="2">
        <v>247025.46</v>
      </c>
      <c r="G1361" s="2">
        <v>32503.35</v>
      </c>
      <c r="H1361" s="4">
        <v>0</v>
      </c>
      <c r="I1361" s="4">
        <v>0</v>
      </c>
      <c r="J1361" s="4">
        <v>32503.35</v>
      </c>
      <c r="K1361" s="4">
        <v>1514656.11</v>
      </c>
      <c r="L1361" s="4" t="s">
        <v>5052</v>
      </c>
      <c r="M1361" s="4" t="s">
        <v>5053</v>
      </c>
      <c r="N1361" s="4" t="s">
        <v>20</v>
      </c>
      <c r="O1361" s="4" t="s">
        <v>631</v>
      </c>
      <c r="P1361" s="4" t="s">
        <v>631</v>
      </c>
      <c r="Q1361" s="4" t="s">
        <v>100</v>
      </c>
      <c r="R1361" s="9">
        <f t="shared" si="21"/>
        <v>2.5898569971851575E-5</v>
      </c>
    </row>
    <row r="1362" spans="1:18" hidden="1" x14ac:dyDescent="0.2">
      <c r="A1362" s="4">
        <v>1808</v>
      </c>
      <c r="B1362" s="2">
        <v>1289030</v>
      </c>
      <c r="C1362" s="2">
        <v>0</v>
      </c>
      <c r="D1362" s="4" t="s">
        <v>3312</v>
      </c>
      <c r="E1362" s="2">
        <v>1289030</v>
      </c>
      <c r="F1362" s="2">
        <v>244915.7</v>
      </c>
      <c r="G1362" s="2">
        <v>0</v>
      </c>
      <c r="H1362" s="4">
        <v>0</v>
      </c>
      <c r="I1362" s="4">
        <v>0</v>
      </c>
      <c r="J1362" s="4">
        <v>0</v>
      </c>
      <c r="K1362" s="4">
        <v>1533945.7</v>
      </c>
      <c r="L1362" s="4" t="s">
        <v>3310</v>
      </c>
      <c r="M1362" s="4" t="s">
        <v>3311</v>
      </c>
      <c r="N1362" s="4" t="s">
        <v>20</v>
      </c>
      <c r="O1362" s="4" t="s">
        <v>1157</v>
      </c>
      <c r="P1362" s="4" t="s">
        <v>1157</v>
      </c>
      <c r="Q1362" s="4" t="s">
        <v>100</v>
      </c>
      <c r="R1362" s="9">
        <f t="shared" si="21"/>
        <v>2.567737914000852E-5</v>
      </c>
    </row>
    <row r="1363" spans="1:18" hidden="1" x14ac:dyDescent="0.2">
      <c r="A1363" s="4">
        <v>1456</v>
      </c>
      <c r="B1363" s="2">
        <v>1285234</v>
      </c>
      <c r="C1363" s="2">
        <v>0</v>
      </c>
      <c r="D1363" s="4" t="s">
        <v>5865</v>
      </c>
      <c r="E1363" s="2">
        <v>1285234</v>
      </c>
      <c r="F1363" s="2">
        <v>244194.46</v>
      </c>
      <c r="G1363" s="2">
        <v>0</v>
      </c>
      <c r="H1363" s="4">
        <v>0</v>
      </c>
      <c r="I1363" s="4">
        <v>0</v>
      </c>
      <c r="J1363" s="4">
        <v>0</v>
      </c>
      <c r="K1363" s="4">
        <v>1529428.46</v>
      </c>
      <c r="L1363" s="4" t="s">
        <v>5863</v>
      </c>
      <c r="M1363" s="4" t="s">
        <v>5864</v>
      </c>
      <c r="N1363" s="4"/>
      <c r="O1363" s="4" t="s">
        <v>900</v>
      </c>
      <c r="P1363" s="4" t="s">
        <v>900</v>
      </c>
      <c r="Q1363" s="4" t="s">
        <v>144</v>
      </c>
      <c r="R1363" s="9">
        <f t="shared" si="21"/>
        <v>2.5601763109958427E-5</v>
      </c>
    </row>
    <row r="1364" spans="1:18" hidden="1" x14ac:dyDescent="0.2">
      <c r="A1364" s="4">
        <v>963</v>
      </c>
      <c r="B1364" s="2">
        <v>1269882</v>
      </c>
      <c r="C1364" s="2">
        <v>0</v>
      </c>
      <c r="D1364" s="4" t="s">
        <v>5868</v>
      </c>
      <c r="E1364" s="2">
        <v>1269882</v>
      </c>
      <c r="F1364" s="2">
        <v>241277.58</v>
      </c>
      <c r="G1364" s="2">
        <v>0</v>
      </c>
      <c r="H1364" s="4">
        <v>0</v>
      </c>
      <c r="I1364" s="4">
        <v>0</v>
      </c>
      <c r="J1364" s="4">
        <v>0</v>
      </c>
      <c r="K1364" s="4">
        <v>1511159.58</v>
      </c>
      <c r="L1364" s="4" t="s">
        <v>5866</v>
      </c>
      <c r="M1364" s="4" t="s">
        <v>5867</v>
      </c>
      <c r="N1364" s="4" t="s">
        <v>20</v>
      </c>
      <c r="O1364" s="4" t="s">
        <v>2863</v>
      </c>
      <c r="P1364" s="4" t="s">
        <v>2863</v>
      </c>
      <c r="Q1364" s="4" t="s">
        <v>100</v>
      </c>
      <c r="R1364" s="9">
        <f t="shared" si="21"/>
        <v>2.5295952442590397E-5</v>
      </c>
    </row>
    <row r="1365" spans="1:18" hidden="1" x14ac:dyDescent="0.2">
      <c r="A1365" s="4">
        <v>1424</v>
      </c>
      <c r="B1365" s="2">
        <v>1265228</v>
      </c>
      <c r="C1365" s="2">
        <v>0</v>
      </c>
      <c r="D1365" s="4" t="s">
        <v>5871</v>
      </c>
      <c r="E1365" s="2">
        <v>1265228</v>
      </c>
      <c r="F1365" s="2">
        <v>240393.32</v>
      </c>
      <c r="G1365" s="2">
        <v>31630.7</v>
      </c>
      <c r="H1365" s="4">
        <v>0</v>
      </c>
      <c r="I1365" s="4">
        <v>0</v>
      </c>
      <c r="J1365" s="4">
        <v>31630.7</v>
      </c>
      <c r="K1365" s="4">
        <v>1473990.62</v>
      </c>
      <c r="L1365" s="4" t="s">
        <v>5869</v>
      </c>
      <c r="M1365" s="4" t="s">
        <v>5870</v>
      </c>
      <c r="N1365" s="4" t="s">
        <v>20</v>
      </c>
      <c r="O1365" s="4" t="s">
        <v>76</v>
      </c>
      <c r="P1365" s="4" t="s">
        <v>76</v>
      </c>
      <c r="Q1365" s="4" t="s">
        <v>1378</v>
      </c>
      <c r="R1365" s="9">
        <f t="shared" si="21"/>
        <v>2.5203245118076924E-5</v>
      </c>
    </row>
    <row r="1366" spans="1:18" hidden="1" x14ac:dyDescent="0.2">
      <c r="A1366" s="4">
        <v>253</v>
      </c>
      <c r="B1366" s="2">
        <v>1259429</v>
      </c>
      <c r="C1366" s="2">
        <v>0</v>
      </c>
      <c r="D1366" s="4" t="s">
        <v>4540</v>
      </c>
      <c r="E1366" s="2">
        <v>1259429</v>
      </c>
      <c r="F1366" s="2">
        <v>239291.51</v>
      </c>
      <c r="G1366" s="2">
        <v>0</v>
      </c>
      <c r="H1366" s="4">
        <v>0</v>
      </c>
      <c r="I1366" s="4">
        <v>0</v>
      </c>
      <c r="J1366" s="4">
        <v>0</v>
      </c>
      <c r="K1366" s="4">
        <v>1498720.51</v>
      </c>
      <c r="L1366" s="4" t="s">
        <v>4538</v>
      </c>
      <c r="M1366" s="4" t="s">
        <v>4539</v>
      </c>
      <c r="N1366" s="4" t="s">
        <v>20</v>
      </c>
      <c r="O1366" s="4" t="s">
        <v>1356</v>
      </c>
      <c r="P1366" s="4" t="s">
        <v>1356</v>
      </c>
      <c r="Q1366" s="4" t="s">
        <v>100</v>
      </c>
      <c r="R1366" s="9">
        <f t="shared" si="21"/>
        <v>2.5087729481022001E-5</v>
      </c>
    </row>
    <row r="1367" spans="1:18" hidden="1" x14ac:dyDescent="0.2">
      <c r="A1367" s="4">
        <v>978</v>
      </c>
      <c r="B1367" s="2">
        <v>1234768</v>
      </c>
      <c r="C1367" s="2">
        <v>0</v>
      </c>
      <c r="D1367" s="4" t="s">
        <v>5874</v>
      </c>
      <c r="E1367" s="2">
        <v>1234768</v>
      </c>
      <c r="F1367" s="2">
        <v>234605.92</v>
      </c>
      <c r="G1367" s="2">
        <v>0</v>
      </c>
      <c r="H1367" s="4">
        <v>0</v>
      </c>
      <c r="I1367" s="4">
        <v>0</v>
      </c>
      <c r="J1367" s="4">
        <v>0</v>
      </c>
      <c r="K1367" s="4">
        <v>1469373.92</v>
      </c>
      <c r="L1367" s="4" t="s">
        <v>5872</v>
      </c>
      <c r="M1367" s="4" t="s">
        <v>5873</v>
      </c>
      <c r="N1367" s="4" t="s">
        <v>482</v>
      </c>
      <c r="O1367" s="4" t="s">
        <v>89</v>
      </c>
      <c r="P1367" s="4" t="s">
        <v>1039</v>
      </c>
      <c r="Q1367" s="4" t="s">
        <v>100</v>
      </c>
      <c r="R1367" s="9">
        <f t="shared" si="21"/>
        <v>2.4596484244703414E-5</v>
      </c>
    </row>
    <row r="1368" spans="1:18" hidden="1" x14ac:dyDescent="0.2">
      <c r="A1368" s="4">
        <v>680</v>
      </c>
      <c r="B1368" s="2">
        <v>1227205</v>
      </c>
      <c r="C1368" s="2">
        <v>0</v>
      </c>
      <c r="D1368" s="4" t="s">
        <v>5877</v>
      </c>
      <c r="E1368" s="2">
        <v>1227205</v>
      </c>
      <c r="F1368" s="2">
        <v>233168.95</v>
      </c>
      <c r="G1368" s="2">
        <v>0</v>
      </c>
      <c r="H1368" s="4">
        <v>0</v>
      </c>
      <c r="I1368" s="4">
        <v>0</v>
      </c>
      <c r="J1368" s="4">
        <v>0</v>
      </c>
      <c r="K1368" s="4">
        <v>1460373.95</v>
      </c>
      <c r="L1368" s="4" t="s">
        <v>5875</v>
      </c>
      <c r="M1368" s="4" t="s">
        <v>5876</v>
      </c>
      <c r="N1368" s="4" t="s">
        <v>20</v>
      </c>
      <c r="O1368" s="4" t="s">
        <v>631</v>
      </c>
      <c r="P1368" s="4" t="s">
        <v>631</v>
      </c>
      <c r="Q1368" s="4" t="s">
        <v>100</v>
      </c>
      <c r="R1368" s="9">
        <f t="shared" si="21"/>
        <v>2.4445829862388118E-5</v>
      </c>
    </row>
    <row r="1369" spans="1:18" hidden="1" x14ac:dyDescent="0.2">
      <c r="A1369" s="4">
        <v>1711</v>
      </c>
      <c r="B1369" s="2">
        <v>1217656</v>
      </c>
      <c r="C1369" s="2">
        <v>0</v>
      </c>
      <c r="D1369" s="4" t="s">
        <v>2585</v>
      </c>
      <c r="E1369" s="2">
        <v>1217656</v>
      </c>
      <c r="F1369" s="2">
        <v>231354.64</v>
      </c>
      <c r="G1369" s="2">
        <v>0</v>
      </c>
      <c r="H1369" s="4">
        <v>0</v>
      </c>
      <c r="I1369" s="4">
        <v>0</v>
      </c>
      <c r="J1369" s="4">
        <v>0</v>
      </c>
      <c r="K1369" s="4">
        <v>1449010.64</v>
      </c>
      <c r="L1369" s="4" t="s">
        <v>2583</v>
      </c>
      <c r="M1369" s="4" t="s">
        <v>2584</v>
      </c>
      <c r="N1369" s="4" t="s">
        <v>714</v>
      </c>
      <c r="O1369" s="4" t="s">
        <v>382</v>
      </c>
      <c r="P1369" s="4" t="s">
        <v>382</v>
      </c>
      <c r="Q1369" s="4" t="s">
        <v>100</v>
      </c>
      <c r="R1369" s="9">
        <f t="shared" si="21"/>
        <v>2.425561451176948E-5</v>
      </c>
    </row>
    <row r="1370" spans="1:18" hidden="1" x14ac:dyDescent="0.2">
      <c r="A1370" s="4">
        <v>1912</v>
      </c>
      <c r="B1370" s="2">
        <v>1216215</v>
      </c>
      <c r="C1370" s="2">
        <v>0</v>
      </c>
      <c r="D1370" s="4" t="s">
        <v>5880</v>
      </c>
      <c r="E1370" s="2">
        <v>1216215</v>
      </c>
      <c r="F1370" s="2">
        <v>231080.85</v>
      </c>
      <c r="G1370" s="2">
        <v>0</v>
      </c>
      <c r="H1370" s="4">
        <v>0</v>
      </c>
      <c r="I1370" s="4">
        <v>0</v>
      </c>
      <c r="J1370" s="4">
        <v>0</v>
      </c>
      <c r="K1370" s="4">
        <v>1447295.85</v>
      </c>
      <c r="L1370" s="4" t="s">
        <v>5878</v>
      </c>
      <c r="M1370" s="4" t="s">
        <v>5879</v>
      </c>
      <c r="N1370" s="4" t="s">
        <v>20</v>
      </c>
      <c r="O1370" s="4" t="s">
        <v>257</v>
      </c>
      <c r="P1370" s="4" t="s">
        <v>257</v>
      </c>
      <c r="Q1370" s="4" t="s">
        <v>100</v>
      </c>
      <c r="R1370" s="9">
        <f t="shared" si="21"/>
        <v>2.42269099018374E-5</v>
      </c>
    </row>
    <row r="1371" spans="1:18" hidden="1" x14ac:dyDescent="0.2">
      <c r="A1371" s="4">
        <v>647</v>
      </c>
      <c r="B1371" s="2">
        <v>1205363</v>
      </c>
      <c r="C1371" s="2">
        <v>0</v>
      </c>
      <c r="D1371" s="4" t="s">
        <v>4470</v>
      </c>
      <c r="E1371" s="2">
        <v>1205363</v>
      </c>
      <c r="F1371" s="2">
        <v>229018.97</v>
      </c>
      <c r="G1371" s="2">
        <v>0</v>
      </c>
      <c r="H1371" s="4">
        <v>0</v>
      </c>
      <c r="I1371" s="4">
        <v>0</v>
      </c>
      <c r="J1371" s="4">
        <v>0</v>
      </c>
      <c r="K1371" s="4">
        <v>1434381.97</v>
      </c>
      <c r="L1371" s="4" t="s">
        <v>4468</v>
      </c>
      <c r="M1371" s="4" t="s">
        <v>4469</v>
      </c>
      <c r="N1371" s="4" t="s">
        <v>20</v>
      </c>
      <c r="O1371" s="4" t="s">
        <v>1517</v>
      </c>
      <c r="P1371" s="4" t="s">
        <v>1517</v>
      </c>
      <c r="Q1371" s="4" t="s">
        <v>100</v>
      </c>
      <c r="R1371" s="9">
        <f t="shared" si="21"/>
        <v>2.4010738890745825E-5</v>
      </c>
    </row>
    <row r="1372" spans="1:18" hidden="1" x14ac:dyDescent="0.2">
      <c r="A1372" s="4">
        <v>158</v>
      </c>
      <c r="B1372" s="2">
        <v>1204596</v>
      </c>
      <c r="C1372" s="2">
        <v>0</v>
      </c>
      <c r="D1372" s="4" t="s">
        <v>4410</v>
      </c>
      <c r="E1372" s="2">
        <v>1204596</v>
      </c>
      <c r="F1372" s="2">
        <v>228873.24</v>
      </c>
      <c r="G1372" s="2">
        <v>0</v>
      </c>
      <c r="H1372" s="4">
        <v>0</v>
      </c>
      <c r="I1372" s="4">
        <v>0</v>
      </c>
      <c r="J1372" s="4">
        <v>0</v>
      </c>
      <c r="K1372" s="4">
        <v>1433469.24</v>
      </c>
      <c r="L1372" s="4" t="s">
        <v>4408</v>
      </c>
      <c r="M1372" s="4" t="s">
        <v>4409</v>
      </c>
      <c r="N1372" s="4" t="s">
        <v>1421</v>
      </c>
      <c r="O1372" s="4" t="s">
        <v>340</v>
      </c>
      <c r="P1372" s="4" t="s">
        <v>340</v>
      </c>
      <c r="Q1372" s="4" t="s">
        <v>100</v>
      </c>
      <c r="R1372" s="9">
        <f t="shared" si="21"/>
        <v>2.3995460309331592E-5</v>
      </c>
    </row>
    <row r="1373" spans="1:18" hidden="1" x14ac:dyDescent="0.2">
      <c r="A1373" s="4">
        <v>1667</v>
      </c>
      <c r="B1373" s="2">
        <v>1203795.24</v>
      </c>
      <c r="C1373" s="2">
        <v>0</v>
      </c>
      <c r="D1373" s="4" t="s">
        <v>5883</v>
      </c>
      <c r="E1373" s="2">
        <v>1203795.24</v>
      </c>
      <c r="F1373" s="2">
        <v>228721.1</v>
      </c>
      <c r="G1373" s="2">
        <v>0</v>
      </c>
      <c r="H1373" s="4">
        <v>0</v>
      </c>
      <c r="I1373" s="4">
        <v>0</v>
      </c>
      <c r="J1373" s="4">
        <v>0</v>
      </c>
      <c r="K1373" s="4">
        <v>1432516.34</v>
      </c>
      <c r="L1373" s="4" t="s">
        <v>5881</v>
      </c>
      <c r="M1373" s="4" t="s">
        <v>5882</v>
      </c>
      <c r="N1373" s="4" t="s">
        <v>332</v>
      </c>
      <c r="O1373" s="4" t="s">
        <v>900</v>
      </c>
      <c r="P1373" s="4" t="s">
        <v>900</v>
      </c>
      <c r="Q1373" s="4" t="s">
        <v>144</v>
      </c>
      <c r="R1373" s="9">
        <f t="shared" si="21"/>
        <v>2.3979509231296052E-5</v>
      </c>
    </row>
    <row r="1374" spans="1:18" hidden="1" x14ac:dyDescent="0.2">
      <c r="A1374" s="4">
        <v>952</v>
      </c>
      <c r="B1374" s="2">
        <v>1194242</v>
      </c>
      <c r="C1374" s="2">
        <v>0</v>
      </c>
      <c r="D1374" s="4" t="s">
        <v>4518</v>
      </c>
      <c r="E1374" s="2">
        <v>1194242</v>
      </c>
      <c r="F1374" s="2">
        <v>226905.98</v>
      </c>
      <c r="G1374" s="2">
        <v>0</v>
      </c>
      <c r="H1374" s="4">
        <v>0</v>
      </c>
      <c r="I1374" s="4">
        <v>0</v>
      </c>
      <c r="J1374" s="4">
        <v>0</v>
      </c>
      <c r="K1374" s="4">
        <v>1421147.98</v>
      </c>
      <c r="L1374" s="4" t="s">
        <v>4516</v>
      </c>
      <c r="M1374" s="4" t="s">
        <v>4517</v>
      </c>
      <c r="N1374" s="4" t="s">
        <v>4519</v>
      </c>
      <c r="O1374" s="4" t="s">
        <v>382</v>
      </c>
      <c r="P1374" s="4" t="s">
        <v>382</v>
      </c>
      <c r="Q1374" s="4" t="s">
        <v>100</v>
      </c>
      <c r="R1374" s="9">
        <f t="shared" si="21"/>
        <v>2.3789209420201279E-5</v>
      </c>
    </row>
    <row r="1375" spans="1:18" hidden="1" x14ac:dyDescent="0.2">
      <c r="A1375" s="4">
        <v>1731</v>
      </c>
      <c r="B1375" s="2">
        <v>1175110</v>
      </c>
      <c r="C1375" s="2">
        <v>0</v>
      </c>
      <c r="D1375" s="4" t="s">
        <v>4383</v>
      </c>
      <c r="E1375" s="2">
        <v>1175110</v>
      </c>
      <c r="F1375" s="2">
        <v>223270.9</v>
      </c>
      <c r="G1375" s="2">
        <v>0</v>
      </c>
      <c r="H1375" s="4">
        <v>0</v>
      </c>
      <c r="I1375" s="4">
        <v>0</v>
      </c>
      <c r="J1375" s="4">
        <v>0</v>
      </c>
      <c r="K1375" s="4">
        <v>1398380.9</v>
      </c>
      <c r="L1375" s="4" t="s">
        <v>4381</v>
      </c>
      <c r="M1375" s="4" t="s">
        <v>4382</v>
      </c>
      <c r="N1375" s="4" t="s">
        <v>20</v>
      </c>
      <c r="O1375" s="4" t="s">
        <v>768</v>
      </c>
      <c r="P1375" s="4" t="s">
        <v>768</v>
      </c>
      <c r="Q1375" s="4" t="s">
        <v>100</v>
      </c>
      <c r="R1375" s="9">
        <f t="shared" si="21"/>
        <v>2.3408101441561026E-5</v>
      </c>
    </row>
    <row r="1376" spans="1:18" hidden="1" x14ac:dyDescent="0.2">
      <c r="A1376" s="4">
        <v>148</v>
      </c>
      <c r="B1376" s="2">
        <v>1175016</v>
      </c>
      <c r="C1376" s="2">
        <v>0</v>
      </c>
      <c r="D1376" s="4" t="s">
        <v>5886</v>
      </c>
      <c r="E1376" s="2">
        <v>1175016</v>
      </c>
      <c r="F1376" s="2">
        <v>223253.04</v>
      </c>
      <c r="G1376" s="2">
        <v>0</v>
      </c>
      <c r="H1376" s="4">
        <v>0</v>
      </c>
      <c r="I1376" s="4">
        <v>0</v>
      </c>
      <c r="J1376" s="4">
        <v>0</v>
      </c>
      <c r="K1376" s="4">
        <v>1398269.04</v>
      </c>
      <c r="L1376" s="4" t="s">
        <v>5884</v>
      </c>
      <c r="M1376" s="4" t="s">
        <v>5885</v>
      </c>
      <c r="N1376" s="4" t="s">
        <v>20</v>
      </c>
      <c r="O1376" s="4" t="s">
        <v>386</v>
      </c>
      <c r="P1376" s="4" t="s">
        <v>386</v>
      </c>
      <c r="Q1376" s="4" t="s">
        <v>1378</v>
      </c>
      <c r="R1376" s="9">
        <f t="shared" si="21"/>
        <v>2.3406228968741031E-5</v>
      </c>
    </row>
    <row r="1377" spans="1:18" hidden="1" x14ac:dyDescent="0.2">
      <c r="A1377" s="4">
        <v>653</v>
      </c>
      <c r="B1377" s="2">
        <v>1157374</v>
      </c>
      <c r="C1377" s="2">
        <v>0</v>
      </c>
      <c r="D1377" s="4" t="s">
        <v>4346</v>
      </c>
      <c r="E1377" s="2">
        <v>1157374</v>
      </c>
      <c r="F1377" s="2">
        <v>219901.06</v>
      </c>
      <c r="G1377" s="2">
        <v>0</v>
      </c>
      <c r="H1377" s="4">
        <v>0</v>
      </c>
      <c r="I1377" s="4">
        <v>0</v>
      </c>
      <c r="J1377" s="4">
        <v>0</v>
      </c>
      <c r="K1377" s="4">
        <v>1377275.06</v>
      </c>
      <c r="L1377" s="4" t="s">
        <v>4344</v>
      </c>
      <c r="M1377" s="4" t="s">
        <v>4345</v>
      </c>
      <c r="N1377" s="4" t="s">
        <v>20</v>
      </c>
      <c r="O1377" s="4" t="s">
        <v>925</v>
      </c>
      <c r="P1377" s="4" t="s">
        <v>925</v>
      </c>
      <c r="Q1377" s="4" t="s">
        <v>100</v>
      </c>
      <c r="R1377" s="9">
        <f t="shared" si="21"/>
        <v>2.3054801676290093E-5</v>
      </c>
    </row>
    <row r="1378" spans="1:18" hidden="1" x14ac:dyDescent="0.2">
      <c r="A1378" s="4">
        <v>621</v>
      </c>
      <c r="B1378" s="2">
        <v>1156912</v>
      </c>
      <c r="C1378" s="2">
        <v>0</v>
      </c>
      <c r="D1378" s="4" t="s">
        <v>5889</v>
      </c>
      <c r="E1378" s="2">
        <v>1156912</v>
      </c>
      <c r="F1378" s="2">
        <v>219813.28</v>
      </c>
      <c r="G1378" s="2">
        <v>0</v>
      </c>
      <c r="H1378" s="4">
        <v>0</v>
      </c>
      <c r="I1378" s="4">
        <v>0</v>
      </c>
      <c r="J1378" s="4">
        <v>0</v>
      </c>
      <c r="K1378" s="4">
        <v>1376725.28</v>
      </c>
      <c r="L1378" s="4" t="s">
        <v>5887</v>
      </c>
      <c r="M1378" s="4" t="s">
        <v>5888</v>
      </c>
      <c r="N1378" s="4" t="s">
        <v>104</v>
      </c>
      <c r="O1378" s="4" t="s">
        <v>105</v>
      </c>
      <c r="P1378" s="4" t="s">
        <v>105</v>
      </c>
      <c r="Q1378" s="4" t="s">
        <v>28</v>
      </c>
      <c r="R1378" s="9">
        <f t="shared" si="21"/>
        <v>2.3045598671579047E-5</v>
      </c>
    </row>
    <row r="1379" spans="1:18" x14ac:dyDescent="0.2">
      <c r="A1379" s="4">
        <v>816</v>
      </c>
      <c r="B1379" s="2">
        <v>1120340</v>
      </c>
      <c r="C1379" s="2">
        <v>0</v>
      </c>
      <c r="D1379" s="4" t="s">
        <v>5891</v>
      </c>
      <c r="E1379" s="2">
        <v>1120340</v>
      </c>
      <c r="F1379" s="2">
        <v>212864.6</v>
      </c>
      <c r="G1379" s="2">
        <v>0</v>
      </c>
      <c r="H1379" s="4">
        <v>0</v>
      </c>
      <c r="I1379" s="4">
        <v>0</v>
      </c>
      <c r="J1379" s="4">
        <v>0</v>
      </c>
      <c r="K1379" s="4">
        <v>1333204.6000000001</v>
      </c>
      <c r="L1379" s="4" t="s">
        <v>5890</v>
      </c>
      <c r="M1379" s="4" t="s">
        <v>81</v>
      </c>
      <c r="N1379" s="4" t="s">
        <v>20</v>
      </c>
      <c r="O1379" s="4" t="s">
        <v>71</v>
      </c>
      <c r="P1379" s="4" t="s">
        <v>71</v>
      </c>
      <c r="Q1379" s="4" t="s">
        <v>28</v>
      </c>
      <c r="R1379" s="9">
        <f t="shared" si="21"/>
        <v>2.2317087225058488E-5</v>
      </c>
    </row>
    <row r="1380" spans="1:18" hidden="1" x14ac:dyDescent="0.2">
      <c r="A1380" s="4">
        <v>478</v>
      </c>
      <c r="B1380" s="2">
        <v>1116520</v>
      </c>
      <c r="C1380" s="2">
        <v>0</v>
      </c>
      <c r="D1380" s="4" t="s">
        <v>2234</v>
      </c>
      <c r="E1380" s="2">
        <v>1116520</v>
      </c>
      <c r="F1380" s="2">
        <v>212138.8</v>
      </c>
      <c r="G1380" s="2">
        <v>0</v>
      </c>
      <c r="H1380" s="4">
        <v>0</v>
      </c>
      <c r="I1380" s="4">
        <v>0</v>
      </c>
      <c r="J1380" s="4">
        <v>0</v>
      </c>
      <c r="K1380" s="4">
        <v>1328658.8</v>
      </c>
      <c r="L1380" s="4" t="s">
        <v>2232</v>
      </c>
      <c r="M1380" s="4" t="s">
        <v>2233</v>
      </c>
      <c r="N1380" s="4" t="s">
        <v>572</v>
      </c>
      <c r="O1380" s="4" t="s">
        <v>105</v>
      </c>
      <c r="P1380" s="4" t="s">
        <v>105</v>
      </c>
      <c r="Q1380" s="4" t="s">
        <v>100</v>
      </c>
      <c r="R1380" s="9">
        <f t="shared" si="21"/>
        <v>2.2240993116841588E-5</v>
      </c>
    </row>
    <row r="1381" spans="1:18" hidden="1" x14ac:dyDescent="0.2">
      <c r="A1381" s="4">
        <v>226</v>
      </c>
      <c r="B1381" s="2">
        <v>1115651</v>
      </c>
      <c r="C1381" s="2">
        <v>0</v>
      </c>
      <c r="D1381" s="4" t="s">
        <v>5894</v>
      </c>
      <c r="E1381" s="2">
        <v>1115651</v>
      </c>
      <c r="F1381" s="2">
        <v>211973.69</v>
      </c>
      <c r="G1381" s="2">
        <v>0</v>
      </c>
      <c r="H1381" s="4">
        <v>0</v>
      </c>
      <c r="I1381" s="4">
        <v>0</v>
      </c>
      <c r="J1381" s="4">
        <v>0</v>
      </c>
      <c r="K1381" s="4">
        <v>1327624.69</v>
      </c>
      <c r="L1381" s="4" t="s">
        <v>5892</v>
      </c>
      <c r="M1381" s="4" t="s">
        <v>5893</v>
      </c>
      <c r="N1381" s="4" t="s">
        <v>1588</v>
      </c>
      <c r="O1381" s="4" t="s">
        <v>89</v>
      </c>
      <c r="P1381" s="4" t="s">
        <v>89</v>
      </c>
      <c r="Q1381" s="4" t="s">
        <v>100</v>
      </c>
      <c r="R1381" s="9">
        <f t="shared" si="21"/>
        <v>2.2223682703218424E-5</v>
      </c>
    </row>
    <row r="1382" spans="1:18" hidden="1" x14ac:dyDescent="0.2">
      <c r="A1382" s="4">
        <v>1999</v>
      </c>
      <c r="B1382" s="2">
        <v>1099520</v>
      </c>
      <c r="C1382" s="2">
        <v>0</v>
      </c>
      <c r="D1382" s="4" t="s">
        <v>3423</v>
      </c>
      <c r="E1382" s="2">
        <v>1099520</v>
      </c>
      <c r="F1382" s="2">
        <v>208908.79999999999</v>
      </c>
      <c r="G1382" s="2">
        <v>0</v>
      </c>
      <c r="H1382" s="4">
        <v>0</v>
      </c>
      <c r="I1382" s="4">
        <v>0</v>
      </c>
      <c r="J1382" s="4">
        <v>0</v>
      </c>
      <c r="K1382" s="4">
        <v>1308428.8</v>
      </c>
      <c r="L1382" s="4" t="s">
        <v>3421</v>
      </c>
      <c r="M1382" s="4" t="s">
        <v>3422</v>
      </c>
      <c r="N1382" s="4" t="s">
        <v>648</v>
      </c>
      <c r="O1382" s="4" t="s">
        <v>340</v>
      </c>
      <c r="P1382" s="4" t="s">
        <v>340</v>
      </c>
      <c r="Q1382" s="4" t="s">
        <v>100</v>
      </c>
      <c r="R1382" s="9">
        <f t="shared" si="21"/>
        <v>2.190235441535276E-5</v>
      </c>
    </row>
    <row r="1383" spans="1:18" hidden="1" x14ac:dyDescent="0.2">
      <c r="A1383" s="4">
        <v>405</v>
      </c>
      <c r="B1383" s="2">
        <v>1097231</v>
      </c>
      <c r="C1383" s="2">
        <v>0</v>
      </c>
      <c r="D1383" s="4" t="s">
        <v>5897</v>
      </c>
      <c r="E1383" s="2">
        <v>1097231</v>
      </c>
      <c r="F1383" s="2">
        <v>208473.89</v>
      </c>
      <c r="G1383" s="2">
        <v>0</v>
      </c>
      <c r="H1383" s="4">
        <v>0</v>
      </c>
      <c r="I1383" s="4">
        <v>0</v>
      </c>
      <c r="J1383" s="4">
        <v>0</v>
      </c>
      <c r="K1383" s="4">
        <v>1305704.8899999999</v>
      </c>
      <c r="L1383" s="4" t="s">
        <v>5895</v>
      </c>
      <c r="M1383" s="4" t="s">
        <v>5896</v>
      </c>
      <c r="N1383" s="4" t="s">
        <v>20</v>
      </c>
      <c r="O1383" s="4" t="s">
        <v>2863</v>
      </c>
      <c r="P1383" s="4" t="s">
        <v>2863</v>
      </c>
      <c r="Q1383" s="4" t="s">
        <v>100</v>
      </c>
      <c r="R1383" s="9">
        <f t="shared" si="21"/>
        <v>2.185675771019347E-5</v>
      </c>
    </row>
    <row r="1384" spans="1:18" hidden="1" x14ac:dyDescent="0.2">
      <c r="A1384" s="4">
        <v>1751</v>
      </c>
      <c r="B1384" s="2">
        <v>1095991</v>
      </c>
      <c r="C1384" s="2">
        <v>0</v>
      </c>
      <c r="D1384" s="4" t="s">
        <v>5900</v>
      </c>
      <c r="E1384" s="2">
        <v>1095991</v>
      </c>
      <c r="F1384" s="2">
        <v>208238.29</v>
      </c>
      <c r="G1384" s="2">
        <v>0</v>
      </c>
      <c r="H1384" s="4">
        <v>0</v>
      </c>
      <c r="I1384" s="4">
        <v>0</v>
      </c>
      <c r="J1384" s="4">
        <v>0</v>
      </c>
      <c r="K1384" s="4">
        <v>1304229.29</v>
      </c>
      <c r="L1384" s="4" t="s">
        <v>5898</v>
      </c>
      <c r="M1384" s="4" t="s">
        <v>5899</v>
      </c>
      <c r="N1384" s="4" t="s">
        <v>572</v>
      </c>
      <c r="O1384" s="4" t="s">
        <v>105</v>
      </c>
      <c r="P1384" s="4" t="s">
        <v>105</v>
      </c>
      <c r="Q1384" s="4" t="s">
        <v>100</v>
      </c>
      <c r="R1384" s="9">
        <f t="shared" si="21"/>
        <v>2.1832057004908403E-5</v>
      </c>
    </row>
    <row r="1385" spans="1:18" hidden="1" x14ac:dyDescent="0.2">
      <c r="A1385" s="4">
        <v>608</v>
      </c>
      <c r="B1385" s="2">
        <v>1095250</v>
      </c>
      <c r="C1385" s="2">
        <v>0</v>
      </c>
      <c r="D1385" s="4" t="s">
        <v>4700</v>
      </c>
      <c r="E1385" s="2">
        <v>1095250</v>
      </c>
      <c r="F1385" s="2">
        <v>208097.5</v>
      </c>
      <c r="G1385" s="2">
        <v>0</v>
      </c>
      <c r="H1385" s="4">
        <v>0</v>
      </c>
      <c r="I1385" s="4">
        <v>0</v>
      </c>
      <c r="J1385" s="4">
        <v>0</v>
      </c>
      <c r="K1385" s="4">
        <v>1303347.5</v>
      </c>
      <c r="L1385" s="4" t="s">
        <v>4698</v>
      </c>
      <c r="M1385" s="4" t="s">
        <v>4699</v>
      </c>
      <c r="N1385" s="4" t="s">
        <v>20</v>
      </c>
      <c r="O1385" s="4" t="s">
        <v>2863</v>
      </c>
      <c r="P1385" s="4" t="s">
        <v>2863</v>
      </c>
      <c r="Q1385" s="4" t="s">
        <v>100</v>
      </c>
      <c r="R1385" s="9">
        <f t="shared" si="21"/>
        <v>2.1817296341508212E-5</v>
      </c>
    </row>
    <row r="1386" spans="1:18" hidden="1" x14ac:dyDescent="0.2">
      <c r="A1386" s="4">
        <v>931</v>
      </c>
      <c r="B1386" s="2">
        <v>1091796</v>
      </c>
      <c r="C1386" s="2">
        <v>0</v>
      </c>
      <c r="D1386" s="4" t="s">
        <v>1245</v>
      </c>
      <c r="E1386" s="2">
        <v>1091796</v>
      </c>
      <c r="F1386" s="2">
        <v>207441.24</v>
      </c>
      <c r="G1386" s="2">
        <v>0</v>
      </c>
      <c r="H1386" s="4">
        <v>0</v>
      </c>
      <c r="I1386" s="4">
        <v>0</v>
      </c>
      <c r="J1386" s="4">
        <v>0</v>
      </c>
      <c r="K1386" s="4">
        <v>1299237.24</v>
      </c>
      <c r="L1386" s="4" t="s">
        <v>1243</v>
      </c>
      <c r="M1386" s="4" t="s">
        <v>1244</v>
      </c>
      <c r="N1386" s="4" t="s">
        <v>104</v>
      </c>
      <c r="O1386" s="4" t="s">
        <v>105</v>
      </c>
      <c r="P1386" s="4" t="s">
        <v>105</v>
      </c>
      <c r="Q1386" s="4" t="s">
        <v>100</v>
      </c>
      <c r="R1386" s="9">
        <f t="shared" si="21"/>
        <v>2.1748492925335131E-5</v>
      </c>
    </row>
    <row r="1387" spans="1:18" hidden="1" x14ac:dyDescent="0.2">
      <c r="A1387" s="4">
        <v>1737</v>
      </c>
      <c r="B1387" s="2">
        <v>1089520</v>
      </c>
      <c r="C1387" s="2">
        <v>0</v>
      </c>
      <c r="D1387" s="4" t="s">
        <v>5903</v>
      </c>
      <c r="E1387" s="2">
        <v>1089520</v>
      </c>
      <c r="F1387" s="2">
        <v>207008.8</v>
      </c>
      <c r="G1387" s="2">
        <v>0</v>
      </c>
      <c r="H1387" s="4">
        <v>0</v>
      </c>
      <c r="I1387" s="4">
        <v>0</v>
      </c>
      <c r="J1387" s="4">
        <v>0</v>
      </c>
      <c r="K1387" s="4">
        <v>1296528.8</v>
      </c>
      <c r="L1387" s="4" t="s">
        <v>5901</v>
      </c>
      <c r="M1387" s="4" t="s">
        <v>5902</v>
      </c>
      <c r="N1387" s="4" t="s">
        <v>20</v>
      </c>
      <c r="O1387" s="4" t="s">
        <v>71</v>
      </c>
      <c r="P1387" s="4" t="s">
        <v>71</v>
      </c>
      <c r="Q1387" s="4" t="s">
        <v>100</v>
      </c>
      <c r="R1387" s="9">
        <f t="shared" si="21"/>
        <v>2.170315517918286E-5</v>
      </c>
    </row>
    <row r="1388" spans="1:18" hidden="1" x14ac:dyDescent="0.2">
      <c r="A1388" s="4">
        <v>710</v>
      </c>
      <c r="B1388" s="2">
        <v>1071312</v>
      </c>
      <c r="C1388" s="2">
        <v>0</v>
      </c>
      <c r="D1388" s="4" t="s">
        <v>5315</v>
      </c>
      <c r="E1388" s="2">
        <v>1071312</v>
      </c>
      <c r="F1388" s="2">
        <v>203549.28</v>
      </c>
      <c r="G1388" s="2">
        <v>0</v>
      </c>
      <c r="H1388" s="4">
        <v>0</v>
      </c>
      <c r="I1388" s="4">
        <v>0</v>
      </c>
      <c r="J1388" s="4">
        <v>0</v>
      </c>
      <c r="K1388" s="4">
        <v>1274861.28</v>
      </c>
      <c r="L1388" s="4" t="s">
        <v>5313</v>
      </c>
      <c r="M1388" s="4" t="s">
        <v>5314</v>
      </c>
      <c r="N1388" s="4" t="s">
        <v>20</v>
      </c>
      <c r="O1388" s="4" t="s">
        <v>692</v>
      </c>
      <c r="P1388" s="4" t="s">
        <v>692</v>
      </c>
      <c r="Q1388" s="4" t="s">
        <v>100</v>
      </c>
      <c r="R1388" s="9">
        <f t="shared" si="21"/>
        <v>2.1340453209964707E-5</v>
      </c>
    </row>
    <row r="1389" spans="1:18" hidden="1" x14ac:dyDescent="0.2">
      <c r="A1389" s="4">
        <v>157</v>
      </c>
      <c r="B1389" s="2">
        <v>1068480</v>
      </c>
      <c r="C1389" s="2">
        <v>0</v>
      </c>
      <c r="D1389" s="4" t="s">
        <v>3121</v>
      </c>
      <c r="E1389" s="2">
        <v>1068480</v>
      </c>
      <c r="F1389" s="2">
        <v>203011.20000000001</v>
      </c>
      <c r="G1389" s="2">
        <v>0</v>
      </c>
      <c r="H1389" s="4">
        <v>0</v>
      </c>
      <c r="I1389" s="4">
        <v>0</v>
      </c>
      <c r="J1389" s="4">
        <v>0</v>
      </c>
      <c r="K1389" s="4">
        <v>1271491.2</v>
      </c>
      <c r="L1389" s="4" t="s">
        <v>3119</v>
      </c>
      <c r="M1389" s="4" t="s">
        <v>3120</v>
      </c>
      <c r="N1389" s="4" t="s">
        <v>2135</v>
      </c>
      <c r="O1389" s="4" t="s">
        <v>59</v>
      </c>
      <c r="P1389" s="4" t="s">
        <v>59</v>
      </c>
      <c r="Q1389" s="4" t="s">
        <v>100</v>
      </c>
      <c r="R1389" s="9">
        <f t="shared" si="21"/>
        <v>2.1284039986281391E-5</v>
      </c>
    </row>
    <row r="1390" spans="1:18" hidden="1" x14ac:dyDescent="0.2">
      <c r="A1390" s="4">
        <v>476</v>
      </c>
      <c r="B1390" s="2">
        <v>1058580</v>
      </c>
      <c r="C1390" s="2">
        <v>0</v>
      </c>
      <c r="D1390" s="4" t="s">
        <v>5906</v>
      </c>
      <c r="E1390" s="2">
        <v>1058580</v>
      </c>
      <c r="F1390" s="2">
        <v>0</v>
      </c>
      <c r="G1390" s="2">
        <v>26464.5</v>
      </c>
      <c r="H1390" s="4">
        <v>0</v>
      </c>
      <c r="I1390" s="4">
        <v>0</v>
      </c>
      <c r="J1390" s="4">
        <v>26464.5</v>
      </c>
      <c r="K1390" s="4">
        <v>1032115.5</v>
      </c>
      <c r="L1390" s="4" t="s">
        <v>5904</v>
      </c>
      <c r="M1390" s="4" t="s">
        <v>5905</v>
      </c>
      <c r="N1390" s="4" t="s">
        <v>368</v>
      </c>
      <c r="O1390" s="4" t="s">
        <v>76</v>
      </c>
      <c r="P1390" s="4" t="s">
        <v>76</v>
      </c>
      <c r="Q1390" s="4" t="s">
        <v>1378</v>
      </c>
      <c r="R1390" s="9">
        <f t="shared" si="21"/>
        <v>2.1086832742473191E-5</v>
      </c>
    </row>
    <row r="1391" spans="1:18" hidden="1" x14ac:dyDescent="0.2">
      <c r="A1391" s="4">
        <v>898</v>
      </c>
      <c r="B1391" s="2">
        <v>1042680</v>
      </c>
      <c r="C1391" s="2">
        <v>0</v>
      </c>
      <c r="D1391" s="4" t="s">
        <v>3509</v>
      </c>
      <c r="E1391" s="2">
        <v>1042680</v>
      </c>
      <c r="F1391" s="2">
        <v>198109.2</v>
      </c>
      <c r="G1391" s="2">
        <v>0</v>
      </c>
      <c r="H1391" s="4">
        <v>0</v>
      </c>
      <c r="I1391" s="4">
        <v>0</v>
      </c>
      <c r="J1391" s="4">
        <v>0</v>
      </c>
      <c r="K1391" s="4">
        <v>1240789.2</v>
      </c>
      <c r="L1391" s="4" t="s">
        <v>3507</v>
      </c>
      <c r="M1391" s="4" t="s">
        <v>3508</v>
      </c>
      <c r="N1391" s="4" t="s">
        <v>20</v>
      </c>
      <c r="O1391" s="4" t="s">
        <v>540</v>
      </c>
      <c r="P1391" s="4" t="s">
        <v>540</v>
      </c>
      <c r="Q1391" s="4" t="s">
        <v>100</v>
      </c>
      <c r="R1391" s="9">
        <f t="shared" si="21"/>
        <v>2.0770105956963051E-5</v>
      </c>
    </row>
    <row r="1392" spans="1:18" hidden="1" x14ac:dyDescent="0.2">
      <c r="A1392" s="4">
        <v>1819</v>
      </c>
      <c r="B1392" s="2">
        <v>1048702</v>
      </c>
      <c r="C1392" s="2">
        <v>8439.0300000000007</v>
      </c>
      <c r="D1392" s="4" t="s">
        <v>3928</v>
      </c>
      <c r="E1392" s="2">
        <v>1040262.97</v>
      </c>
      <c r="F1392" s="2">
        <v>197649.96</v>
      </c>
      <c r="G1392" s="2">
        <v>0</v>
      </c>
      <c r="H1392" s="4">
        <v>0</v>
      </c>
      <c r="I1392" s="4">
        <v>0</v>
      </c>
      <c r="J1392" s="4">
        <v>0</v>
      </c>
      <c r="K1392" s="4">
        <v>1237912.93</v>
      </c>
      <c r="L1392" s="4" t="s">
        <v>3926</v>
      </c>
      <c r="M1392" s="4" t="s">
        <v>3927</v>
      </c>
      <c r="N1392" s="4" t="s">
        <v>20</v>
      </c>
      <c r="O1392" s="4" t="s">
        <v>1356</v>
      </c>
      <c r="P1392" s="4" t="s">
        <v>1356</v>
      </c>
      <c r="Q1392" s="4" t="s">
        <v>100</v>
      </c>
      <c r="R1392" s="9">
        <f t="shared" si="21"/>
        <v>2.072195890398308E-5</v>
      </c>
    </row>
    <row r="1393" spans="1:18" hidden="1" x14ac:dyDescent="0.2">
      <c r="A1393" s="4">
        <v>312</v>
      </c>
      <c r="B1393" s="2">
        <v>1036483</v>
      </c>
      <c r="C1393" s="2">
        <v>0</v>
      </c>
      <c r="D1393" s="4" t="s">
        <v>5909</v>
      </c>
      <c r="E1393" s="2">
        <v>1036483</v>
      </c>
      <c r="F1393" s="2">
        <v>196931.77</v>
      </c>
      <c r="G1393" s="2">
        <v>0</v>
      </c>
      <c r="H1393" s="4">
        <v>0</v>
      </c>
      <c r="I1393" s="4">
        <v>0</v>
      </c>
      <c r="J1393" s="4">
        <v>0</v>
      </c>
      <c r="K1393" s="4">
        <v>1233414.77</v>
      </c>
      <c r="L1393" s="4" t="s">
        <v>5907</v>
      </c>
      <c r="M1393" s="4" t="s">
        <v>5908</v>
      </c>
      <c r="N1393" s="4" t="s">
        <v>819</v>
      </c>
      <c r="O1393" s="4" t="s">
        <v>93</v>
      </c>
      <c r="P1393" s="4" t="s">
        <v>93</v>
      </c>
      <c r="Q1393" s="4" t="s">
        <v>100</v>
      </c>
      <c r="R1393" s="9">
        <f t="shared" si="21"/>
        <v>2.0646662190308567E-5</v>
      </c>
    </row>
    <row r="1394" spans="1:18" hidden="1" x14ac:dyDescent="0.2">
      <c r="A1394" s="4">
        <v>895</v>
      </c>
      <c r="B1394" s="2">
        <v>1036067</v>
      </c>
      <c r="C1394" s="2">
        <v>0</v>
      </c>
      <c r="D1394" s="4" t="s">
        <v>4170</v>
      </c>
      <c r="E1394" s="2">
        <v>1036067</v>
      </c>
      <c r="F1394" s="2">
        <v>196852.73</v>
      </c>
      <c r="G1394" s="2">
        <v>0</v>
      </c>
      <c r="H1394" s="4">
        <v>0</v>
      </c>
      <c r="I1394" s="4">
        <v>0</v>
      </c>
      <c r="J1394" s="4">
        <v>0</v>
      </c>
      <c r="K1394" s="4">
        <v>1232919.73</v>
      </c>
      <c r="L1394" s="4" t="s">
        <v>4168</v>
      </c>
      <c r="M1394" s="4" t="s">
        <v>4169</v>
      </c>
      <c r="N1394" s="4" t="s">
        <v>20</v>
      </c>
      <c r="O1394" s="4" t="s">
        <v>631</v>
      </c>
      <c r="P1394" s="4" t="s">
        <v>631</v>
      </c>
      <c r="Q1394" s="4" t="s">
        <v>100</v>
      </c>
      <c r="R1394" s="9">
        <f t="shared" si="21"/>
        <v>2.0638375502083899E-5</v>
      </c>
    </row>
    <row r="1395" spans="1:18" hidden="1" x14ac:dyDescent="0.2">
      <c r="A1395" s="4">
        <v>1695</v>
      </c>
      <c r="B1395" s="2">
        <v>1029323</v>
      </c>
      <c r="C1395" s="2">
        <v>0</v>
      </c>
      <c r="D1395" s="4" t="s">
        <v>5912</v>
      </c>
      <c r="E1395" s="2">
        <v>1029323</v>
      </c>
      <c r="F1395" s="2">
        <v>195571.37</v>
      </c>
      <c r="G1395" s="2">
        <v>0</v>
      </c>
      <c r="H1395" s="4">
        <v>0</v>
      </c>
      <c r="I1395" s="4">
        <v>0</v>
      </c>
      <c r="J1395" s="4">
        <v>0</v>
      </c>
      <c r="K1395" s="4">
        <v>1224894.3700000001</v>
      </c>
      <c r="L1395" s="4" t="s">
        <v>5910</v>
      </c>
      <c r="M1395" s="4" t="s">
        <v>5911</v>
      </c>
      <c r="N1395" s="4" t="s">
        <v>20</v>
      </c>
      <c r="O1395" s="4" t="s">
        <v>1562</v>
      </c>
      <c r="P1395" s="4" t="s">
        <v>1562</v>
      </c>
      <c r="Q1395" s="4" t="s">
        <v>100</v>
      </c>
      <c r="R1395" s="9">
        <f t="shared" si="21"/>
        <v>2.0504035537210919E-5</v>
      </c>
    </row>
    <row r="1396" spans="1:18" hidden="1" x14ac:dyDescent="0.2">
      <c r="A1396" s="4">
        <v>531</v>
      </c>
      <c r="B1396" s="2">
        <v>1025312</v>
      </c>
      <c r="C1396" s="2">
        <v>0</v>
      </c>
      <c r="D1396" s="4" t="s">
        <v>4319</v>
      </c>
      <c r="E1396" s="2">
        <v>1025312</v>
      </c>
      <c r="F1396" s="2">
        <v>194809.28</v>
      </c>
      <c r="G1396" s="2">
        <v>0</v>
      </c>
      <c r="H1396" s="4">
        <v>0</v>
      </c>
      <c r="I1396" s="4">
        <v>0</v>
      </c>
      <c r="J1396" s="4">
        <v>0</v>
      </c>
      <c r="K1396" s="4">
        <v>1220121.28</v>
      </c>
      <c r="L1396" s="4" t="s">
        <v>4317</v>
      </c>
      <c r="M1396" s="4" t="s">
        <v>4318</v>
      </c>
      <c r="N1396" s="4" t="s">
        <v>20</v>
      </c>
      <c r="O1396" s="4" t="s">
        <v>372</v>
      </c>
      <c r="P1396" s="4" t="s">
        <v>372</v>
      </c>
      <c r="Q1396" s="4" t="s">
        <v>100</v>
      </c>
      <c r="R1396" s="9">
        <f t="shared" si="21"/>
        <v>2.0424136723583172E-5</v>
      </c>
    </row>
    <row r="1397" spans="1:18" hidden="1" x14ac:dyDescent="0.2">
      <c r="A1397" s="4">
        <v>1722</v>
      </c>
      <c r="B1397" s="2">
        <v>1023728</v>
      </c>
      <c r="C1397" s="2">
        <v>0</v>
      </c>
      <c r="D1397" s="4" t="s">
        <v>5915</v>
      </c>
      <c r="E1397" s="2">
        <v>1023728</v>
      </c>
      <c r="F1397" s="2">
        <v>194508.32</v>
      </c>
      <c r="G1397" s="2">
        <v>0</v>
      </c>
      <c r="H1397" s="4">
        <v>0</v>
      </c>
      <c r="I1397" s="4">
        <v>0</v>
      </c>
      <c r="J1397" s="4">
        <v>0</v>
      </c>
      <c r="K1397" s="4">
        <v>1218236.32</v>
      </c>
      <c r="L1397" s="4" t="s">
        <v>5913</v>
      </c>
      <c r="M1397" s="4" t="s">
        <v>5914</v>
      </c>
      <c r="N1397" s="4" t="s">
        <v>20</v>
      </c>
      <c r="O1397" s="4" t="s">
        <v>1549</v>
      </c>
      <c r="P1397" s="4" t="s">
        <v>1549</v>
      </c>
      <c r="Q1397" s="4" t="s">
        <v>100</v>
      </c>
      <c r="R1397" s="9">
        <f t="shared" si="21"/>
        <v>2.0392583564573858E-5</v>
      </c>
    </row>
    <row r="1398" spans="1:18" hidden="1" x14ac:dyDescent="0.2">
      <c r="A1398" s="4">
        <v>551</v>
      </c>
      <c r="B1398" s="2">
        <v>1014242</v>
      </c>
      <c r="C1398" s="2">
        <v>0</v>
      </c>
      <c r="D1398" s="4" t="s">
        <v>5918</v>
      </c>
      <c r="E1398" s="2">
        <v>1014242</v>
      </c>
      <c r="F1398" s="2">
        <v>191755.98</v>
      </c>
      <c r="G1398" s="2">
        <v>0</v>
      </c>
      <c r="H1398" s="4">
        <v>0</v>
      </c>
      <c r="I1398" s="4">
        <v>0</v>
      </c>
      <c r="J1398" s="4">
        <v>0</v>
      </c>
      <c r="K1398" s="4">
        <v>1205997.98</v>
      </c>
      <c r="L1398" s="4" t="s">
        <v>5916</v>
      </c>
      <c r="M1398" s="4" t="s">
        <v>5917</v>
      </c>
      <c r="N1398" s="4" t="s">
        <v>20</v>
      </c>
      <c r="O1398" s="4" t="s">
        <v>900</v>
      </c>
      <c r="P1398" s="4" t="s">
        <v>900</v>
      </c>
      <c r="Q1398" s="4" t="s">
        <v>144</v>
      </c>
      <c r="R1398" s="9">
        <f t="shared" si="21"/>
        <v>2.0203623169143091E-5</v>
      </c>
    </row>
    <row r="1399" spans="1:18" hidden="1" x14ac:dyDescent="0.2">
      <c r="A1399" s="4">
        <v>1543</v>
      </c>
      <c r="B1399" s="2">
        <v>1006257</v>
      </c>
      <c r="C1399" s="2">
        <v>0</v>
      </c>
      <c r="D1399" s="4" t="s">
        <v>4289</v>
      </c>
      <c r="E1399" s="2">
        <v>1006257</v>
      </c>
      <c r="F1399" s="2">
        <v>191188.83</v>
      </c>
      <c r="G1399" s="2">
        <v>0</v>
      </c>
      <c r="H1399" s="4">
        <v>0</v>
      </c>
      <c r="I1399" s="4">
        <v>0</v>
      </c>
      <c r="J1399" s="4">
        <v>0</v>
      </c>
      <c r="K1399" s="4">
        <v>1197445.83</v>
      </c>
      <c r="L1399" s="4" t="s">
        <v>4287</v>
      </c>
      <c r="M1399" s="4" t="s">
        <v>4288</v>
      </c>
      <c r="N1399" s="4" t="s">
        <v>20</v>
      </c>
      <c r="O1399" s="4" t="s">
        <v>257</v>
      </c>
      <c r="P1399" s="4" t="s">
        <v>257</v>
      </c>
      <c r="Q1399" s="4" t="s">
        <v>100</v>
      </c>
      <c r="R1399" s="9">
        <f t="shared" si="21"/>
        <v>2.0044562579061427E-5</v>
      </c>
    </row>
    <row r="1400" spans="1:18" hidden="1" x14ac:dyDescent="0.2">
      <c r="A1400" s="4">
        <v>56</v>
      </c>
      <c r="B1400" s="2">
        <v>997825</v>
      </c>
      <c r="C1400" s="2">
        <v>0</v>
      </c>
      <c r="D1400" s="4" t="s">
        <v>5921</v>
      </c>
      <c r="E1400" s="2">
        <v>997825</v>
      </c>
      <c r="F1400" s="2">
        <v>189586.75</v>
      </c>
      <c r="G1400" s="2">
        <v>0</v>
      </c>
      <c r="H1400" s="4">
        <v>0</v>
      </c>
      <c r="I1400" s="4">
        <v>0</v>
      </c>
      <c r="J1400" s="4">
        <v>0</v>
      </c>
      <c r="K1400" s="4">
        <v>1187411.75</v>
      </c>
      <c r="L1400" s="4" t="s">
        <v>5919</v>
      </c>
      <c r="M1400" s="4" t="s">
        <v>5920</v>
      </c>
      <c r="N1400" s="4" t="s">
        <v>236</v>
      </c>
      <c r="O1400" s="4" t="s">
        <v>76</v>
      </c>
      <c r="P1400" s="4" t="s">
        <v>76</v>
      </c>
      <c r="Q1400" s="4" t="s">
        <v>585</v>
      </c>
      <c r="R1400" s="9">
        <f t="shared" si="21"/>
        <v>1.987659778312297E-5</v>
      </c>
    </row>
    <row r="1401" spans="1:18" hidden="1" x14ac:dyDescent="0.2">
      <c r="A1401" s="4">
        <v>1109</v>
      </c>
      <c r="B1401" s="2">
        <v>987397</v>
      </c>
      <c r="C1401" s="2">
        <v>0</v>
      </c>
      <c r="D1401" s="4" t="s">
        <v>5924</v>
      </c>
      <c r="E1401" s="2">
        <v>987397</v>
      </c>
      <c r="F1401" s="2">
        <v>187605.43</v>
      </c>
      <c r="G1401" s="2">
        <v>0</v>
      </c>
      <c r="H1401" s="4">
        <v>0</v>
      </c>
      <c r="I1401" s="4">
        <v>0</v>
      </c>
      <c r="J1401" s="4">
        <v>0</v>
      </c>
      <c r="K1401" s="4">
        <v>1175002.43</v>
      </c>
      <c r="L1401" s="4" t="s">
        <v>5922</v>
      </c>
      <c r="M1401" s="4" t="s">
        <v>5923</v>
      </c>
      <c r="N1401" s="4" t="s">
        <v>20</v>
      </c>
      <c r="O1401" s="4" t="s">
        <v>3938</v>
      </c>
      <c r="P1401" s="4" t="s">
        <v>3938</v>
      </c>
      <c r="Q1401" s="4" t="s">
        <v>1378</v>
      </c>
      <c r="R1401" s="9">
        <f t="shared" si="21"/>
        <v>1.9668872819644998E-5</v>
      </c>
    </row>
    <row r="1402" spans="1:18" hidden="1" x14ac:dyDescent="0.2">
      <c r="A1402" s="4">
        <v>860</v>
      </c>
      <c r="B1402" s="2">
        <v>982816</v>
      </c>
      <c r="C1402" s="2">
        <v>0</v>
      </c>
      <c r="D1402" s="4" t="s">
        <v>4703</v>
      </c>
      <c r="E1402" s="2">
        <v>982816</v>
      </c>
      <c r="F1402" s="2">
        <v>186735.04</v>
      </c>
      <c r="G1402" s="2">
        <v>0</v>
      </c>
      <c r="H1402" s="4">
        <v>0</v>
      </c>
      <c r="I1402" s="4">
        <v>0</v>
      </c>
      <c r="J1402" s="4">
        <v>0</v>
      </c>
      <c r="K1402" s="4">
        <v>1169551.04</v>
      </c>
      <c r="L1402" s="4" t="s">
        <v>4701</v>
      </c>
      <c r="M1402" s="4" t="s">
        <v>4702</v>
      </c>
      <c r="N1402" s="4" t="s">
        <v>674</v>
      </c>
      <c r="O1402" s="4" t="s">
        <v>89</v>
      </c>
      <c r="P1402" s="4" t="s">
        <v>89</v>
      </c>
      <c r="Q1402" s="4" t="s">
        <v>100</v>
      </c>
      <c r="R1402" s="9">
        <f t="shared" si="21"/>
        <v>1.9577619649555566E-5</v>
      </c>
    </row>
    <row r="1403" spans="1:18" hidden="1" x14ac:dyDescent="0.2">
      <c r="A1403" s="4">
        <v>1814</v>
      </c>
      <c r="B1403" s="2">
        <v>972942</v>
      </c>
      <c r="C1403" s="2">
        <v>0</v>
      </c>
      <c r="D1403" s="4" t="s">
        <v>5927</v>
      </c>
      <c r="E1403" s="2">
        <v>972942</v>
      </c>
      <c r="F1403" s="2">
        <v>184858.98</v>
      </c>
      <c r="G1403" s="2">
        <v>0</v>
      </c>
      <c r="H1403" s="4">
        <v>0</v>
      </c>
      <c r="I1403" s="4">
        <v>0</v>
      </c>
      <c r="J1403" s="4">
        <v>0</v>
      </c>
      <c r="K1403" s="4">
        <v>1157800.98</v>
      </c>
      <c r="L1403" s="4" t="s">
        <v>5925</v>
      </c>
      <c r="M1403" s="4" t="s">
        <v>5926</v>
      </c>
      <c r="N1403" s="4" t="s">
        <v>20</v>
      </c>
      <c r="O1403" s="4" t="s">
        <v>2863</v>
      </c>
      <c r="P1403" s="4" t="s">
        <v>2863</v>
      </c>
      <c r="Q1403" s="4" t="s">
        <v>100</v>
      </c>
      <c r="R1403" s="9">
        <f t="shared" si="21"/>
        <v>1.9380930323761408E-5</v>
      </c>
    </row>
    <row r="1404" spans="1:18" hidden="1" x14ac:dyDescent="0.2">
      <c r="A1404" s="4">
        <v>241</v>
      </c>
      <c r="B1404" s="2">
        <v>969105</v>
      </c>
      <c r="C1404" s="2">
        <v>0</v>
      </c>
      <c r="D1404" s="4" t="s">
        <v>3889</v>
      </c>
      <c r="E1404" s="2">
        <v>969105</v>
      </c>
      <c r="F1404" s="2">
        <v>184129.95</v>
      </c>
      <c r="G1404" s="2">
        <v>0</v>
      </c>
      <c r="H1404" s="4">
        <v>0</v>
      </c>
      <c r="I1404" s="4">
        <v>0</v>
      </c>
      <c r="J1404" s="4">
        <v>0</v>
      </c>
      <c r="K1404" s="4">
        <v>1153234.95</v>
      </c>
      <c r="L1404" s="4" t="s">
        <v>3887</v>
      </c>
      <c r="M1404" s="4" t="s">
        <v>3888</v>
      </c>
      <c r="N1404" s="4" t="s">
        <v>20</v>
      </c>
      <c r="O1404" s="4" t="s">
        <v>540</v>
      </c>
      <c r="P1404" s="4" t="s">
        <v>540</v>
      </c>
      <c r="Q1404" s="4" t="s">
        <v>100</v>
      </c>
      <c r="R1404" s="9">
        <f t="shared" si="21"/>
        <v>1.930449757684302E-5</v>
      </c>
    </row>
    <row r="1405" spans="1:18" hidden="1" x14ac:dyDescent="0.2">
      <c r="A1405" s="4">
        <v>972</v>
      </c>
      <c r="B1405" s="2">
        <v>965422</v>
      </c>
      <c r="C1405" s="2">
        <v>0</v>
      </c>
      <c r="D1405" s="4" t="s">
        <v>4910</v>
      </c>
      <c r="E1405" s="2">
        <v>965422</v>
      </c>
      <c r="F1405" s="2">
        <v>183430.18</v>
      </c>
      <c r="G1405" s="2">
        <v>0</v>
      </c>
      <c r="H1405" s="4">
        <v>0</v>
      </c>
      <c r="I1405" s="4">
        <v>0</v>
      </c>
      <c r="J1405" s="4">
        <v>0</v>
      </c>
      <c r="K1405" s="4">
        <v>1148852.18</v>
      </c>
      <c r="L1405" s="4" t="s">
        <v>4908</v>
      </c>
      <c r="M1405" s="4" t="s">
        <v>4909</v>
      </c>
      <c r="N1405" s="4" t="s">
        <v>20</v>
      </c>
      <c r="O1405" s="4" t="s">
        <v>631</v>
      </c>
      <c r="P1405" s="4" t="s">
        <v>631</v>
      </c>
      <c r="Q1405" s="4" t="s">
        <v>100</v>
      </c>
      <c r="R1405" s="9">
        <f t="shared" si="21"/>
        <v>1.9231132498161646E-5</v>
      </c>
    </row>
    <row r="1406" spans="1:18" hidden="1" x14ac:dyDescent="0.2">
      <c r="A1406" s="4">
        <v>1047</v>
      </c>
      <c r="B1406" s="2">
        <v>965082</v>
      </c>
      <c r="C1406" s="2">
        <v>0</v>
      </c>
      <c r="D1406" s="4" t="s">
        <v>5930</v>
      </c>
      <c r="E1406" s="2">
        <v>965082</v>
      </c>
      <c r="F1406" s="2">
        <v>183365.58</v>
      </c>
      <c r="G1406" s="2">
        <v>0</v>
      </c>
      <c r="H1406" s="4">
        <v>0</v>
      </c>
      <c r="I1406" s="4">
        <v>0</v>
      </c>
      <c r="J1406" s="4">
        <v>0</v>
      </c>
      <c r="K1406" s="4">
        <v>1148447.58</v>
      </c>
      <c r="L1406" s="4" t="s">
        <v>5928</v>
      </c>
      <c r="M1406" s="4" t="s">
        <v>5929</v>
      </c>
      <c r="N1406" s="4" t="s">
        <v>1421</v>
      </c>
      <c r="O1406" s="4" t="s">
        <v>1891</v>
      </c>
      <c r="P1406" s="4" t="s">
        <v>1891</v>
      </c>
      <c r="Q1406" s="4" t="s">
        <v>585</v>
      </c>
      <c r="R1406" s="9">
        <f t="shared" si="21"/>
        <v>1.9224359724131868E-5</v>
      </c>
    </row>
    <row r="1407" spans="1:18" hidden="1" x14ac:dyDescent="0.2">
      <c r="A1407" s="4">
        <v>1906</v>
      </c>
      <c r="B1407" s="2">
        <v>957210</v>
      </c>
      <c r="C1407" s="2">
        <v>0</v>
      </c>
      <c r="D1407" s="4" t="s">
        <v>3913</v>
      </c>
      <c r="E1407" s="2">
        <v>957210</v>
      </c>
      <c r="F1407" s="2">
        <v>181869.9</v>
      </c>
      <c r="G1407" s="2">
        <v>0</v>
      </c>
      <c r="H1407" s="4">
        <v>0</v>
      </c>
      <c r="I1407" s="4">
        <v>0</v>
      </c>
      <c r="J1407" s="4">
        <v>0</v>
      </c>
      <c r="K1407" s="4">
        <v>1139079.8999999999</v>
      </c>
      <c r="L1407" s="4" t="s">
        <v>3911</v>
      </c>
      <c r="M1407" s="4" t="s">
        <v>3912</v>
      </c>
      <c r="N1407" s="4" t="s">
        <v>20</v>
      </c>
      <c r="O1407" s="4" t="s">
        <v>2863</v>
      </c>
      <c r="P1407" s="4" t="s">
        <v>2863</v>
      </c>
      <c r="Q1407" s="4" t="s">
        <v>100</v>
      </c>
      <c r="R1407" s="9">
        <f t="shared" si="21"/>
        <v>1.9067550085418922E-5</v>
      </c>
    </row>
    <row r="1408" spans="1:18" hidden="1" x14ac:dyDescent="0.2">
      <c r="A1408" s="4">
        <v>1962</v>
      </c>
      <c r="B1408" s="2">
        <v>957155</v>
      </c>
      <c r="C1408" s="2">
        <v>0</v>
      </c>
      <c r="D1408" s="4" t="s">
        <v>4793</v>
      </c>
      <c r="E1408" s="2">
        <v>957155</v>
      </c>
      <c r="F1408" s="2">
        <v>181859.45</v>
      </c>
      <c r="G1408" s="2">
        <v>0</v>
      </c>
      <c r="H1408" s="4">
        <v>0</v>
      </c>
      <c r="I1408" s="4">
        <v>0</v>
      </c>
      <c r="J1408" s="4">
        <v>0</v>
      </c>
      <c r="K1408" s="4">
        <v>1139014.45</v>
      </c>
      <c r="L1408" s="4" t="s">
        <v>4791</v>
      </c>
      <c r="M1408" s="4" t="s">
        <v>4792</v>
      </c>
      <c r="N1408" s="4" t="s">
        <v>1143</v>
      </c>
      <c r="O1408" s="4" t="s">
        <v>340</v>
      </c>
      <c r="P1408" s="4" t="s">
        <v>340</v>
      </c>
      <c r="Q1408" s="4" t="s">
        <v>100</v>
      </c>
      <c r="R1408" s="9">
        <f t="shared" si="21"/>
        <v>1.9066454489619991E-5</v>
      </c>
    </row>
    <row r="1409" spans="1:18" hidden="1" x14ac:dyDescent="0.2">
      <c r="A1409" s="4">
        <v>1256</v>
      </c>
      <c r="B1409" s="2">
        <v>933511</v>
      </c>
      <c r="C1409" s="2">
        <v>0</v>
      </c>
      <c r="D1409" s="4" t="s">
        <v>5933</v>
      </c>
      <c r="E1409" s="2">
        <v>933511</v>
      </c>
      <c r="F1409" s="2">
        <v>177367.09</v>
      </c>
      <c r="G1409" s="2">
        <v>0</v>
      </c>
      <c r="H1409" s="4">
        <v>0</v>
      </c>
      <c r="I1409" s="4">
        <v>0</v>
      </c>
      <c r="J1409" s="4">
        <v>0</v>
      </c>
      <c r="K1409" s="4">
        <v>1110878.0900000001</v>
      </c>
      <c r="L1409" s="4" t="s">
        <v>5931</v>
      </c>
      <c r="M1409" s="4" t="s">
        <v>5932</v>
      </c>
      <c r="N1409" s="4" t="s">
        <v>20</v>
      </c>
      <c r="O1409" s="4" t="s">
        <v>2863</v>
      </c>
      <c r="P1409" s="4" t="s">
        <v>2863</v>
      </c>
      <c r="Q1409" s="4" t="s">
        <v>100</v>
      </c>
      <c r="R1409" s="9">
        <f t="shared" si="21"/>
        <v>1.8595467815619878E-5</v>
      </c>
    </row>
    <row r="1410" spans="1:18" hidden="1" x14ac:dyDescent="0.2">
      <c r="A1410" s="4">
        <v>301</v>
      </c>
      <c r="B1410" s="2">
        <v>931600</v>
      </c>
      <c r="C1410" s="2">
        <v>0</v>
      </c>
      <c r="D1410" s="4" t="s">
        <v>5936</v>
      </c>
      <c r="E1410" s="2">
        <v>931600</v>
      </c>
      <c r="F1410" s="2">
        <v>177004</v>
      </c>
      <c r="G1410" s="2">
        <v>0</v>
      </c>
      <c r="H1410" s="4">
        <v>0</v>
      </c>
      <c r="I1410" s="4">
        <v>0</v>
      </c>
      <c r="J1410" s="4">
        <v>0</v>
      </c>
      <c r="K1410" s="4">
        <v>1108604</v>
      </c>
      <c r="L1410" s="4" t="s">
        <v>5934</v>
      </c>
      <c r="M1410" s="4" t="s">
        <v>5935</v>
      </c>
      <c r="N1410" s="4" t="s">
        <v>648</v>
      </c>
      <c r="O1410" s="4" t="s">
        <v>76</v>
      </c>
      <c r="P1410" s="4" t="s">
        <v>76</v>
      </c>
      <c r="Q1410" s="4" t="s">
        <v>1378</v>
      </c>
      <c r="R1410" s="9">
        <f t="shared" si="21"/>
        <v>1.8557400841587812E-5</v>
      </c>
    </row>
    <row r="1411" spans="1:18" hidden="1" x14ac:dyDescent="0.2">
      <c r="A1411" s="4">
        <v>1414</v>
      </c>
      <c r="B1411" s="2">
        <v>930416</v>
      </c>
      <c r="C1411" s="2">
        <v>0</v>
      </c>
      <c r="D1411" s="4" t="s">
        <v>5939</v>
      </c>
      <c r="E1411" s="2">
        <v>930416</v>
      </c>
      <c r="F1411" s="2">
        <v>176779.04</v>
      </c>
      <c r="G1411" s="2">
        <v>0</v>
      </c>
      <c r="H1411" s="4">
        <v>0</v>
      </c>
      <c r="I1411" s="4">
        <v>0</v>
      </c>
      <c r="J1411" s="4">
        <v>0</v>
      </c>
      <c r="K1411" s="4">
        <v>1107195.04</v>
      </c>
      <c r="L1411" s="4" t="s">
        <v>5937</v>
      </c>
      <c r="M1411" s="4" t="s">
        <v>5938</v>
      </c>
      <c r="N1411" s="4" t="s">
        <v>2167</v>
      </c>
      <c r="O1411" s="4" t="s">
        <v>386</v>
      </c>
      <c r="P1411" s="4" t="s">
        <v>386</v>
      </c>
      <c r="Q1411" s="4" t="s">
        <v>1378</v>
      </c>
      <c r="R1411" s="9">
        <f t="shared" ref="R1411:R1474" si="22">E1411/$E$2034</f>
        <v>1.8533815652025295E-5</v>
      </c>
    </row>
    <row r="1412" spans="1:18" hidden="1" x14ac:dyDescent="0.2">
      <c r="A1412" s="4">
        <v>1522</v>
      </c>
      <c r="B1412" s="2">
        <v>928822</v>
      </c>
      <c r="C1412" s="2">
        <v>0</v>
      </c>
      <c r="D1412" s="4" t="s">
        <v>5942</v>
      </c>
      <c r="E1412" s="2">
        <v>928822</v>
      </c>
      <c r="F1412" s="2">
        <v>176476.18</v>
      </c>
      <c r="G1412" s="2">
        <v>0</v>
      </c>
      <c r="H1412" s="4">
        <v>0</v>
      </c>
      <c r="I1412" s="4">
        <v>0</v>
      </c>
      <c r="J1412" s="4">
        <v>0</v>
      </c>
      <c r="K1412" s="4">
        <v>1105298.18</v>
      </c>
      <c r="L1412" s="4" t="s">
        <v>5940</v>
      </c>
      <c r="M1412" s="4" t="s">
        <v>5941</v>
      </c>
      <c r="N1412" s="4" t="s">
        <v>20</v>
      </c>
      <c r="O1412" s="4" t="s">
        <v>768</v>
      </c>
      <c r="P1412" s="4" t="s">
        <v>768</v>
      </c>
      <c r="Q1412" s="4" t="s">
        <v>100</v>
      </c>
      <c r="R1412" s="9">
        <f t="shared" si="22"/>
        <v>1.8502063293779814E-5</v>
      </c>
    </row>
    <row r="1413" spans="1:18" hidden="1" x14ac:dyDescent="0.2">
      <c r="A1413" s="4">
        <v>1988</v>
      </c>
      <c r="B1413" s="2">
        <v>920730</v>
      </c>
      <c r="C1413" s="2">
        <v>0</v>
      </c>
      <c r="D1413" s="4" t="s">
        <v>2426</v>
      </c>
      <c r="E1413" s="2">
        <v>920730</v>
      </c>
      <c r="F1413" s="2">
        <v>174938.7</v>
      </c>
      <c r="G1413" s="2">
        <v>0</v>
      </c>
      <c r="H1413" s="4">
        <v>0</v>
      </c>
      <c r="I1413" s="4">
        <v>0</v>
      </c>
      <c r="J1413" s="4">
        <v>0</v>
      </c>
      <c r="K1413" s="4">
        <v>1095668.7</v>
      </c>
      <c r="L1413" s="4" t="s">
        <v>2424</v>
      </c>
      <c r="M1413" s="4" t="s">
        <v>2425</v>
      </c>
      <c r="N1413" s="4" t="s">
        <v>381</v>
      </c>
      <c r="O1413" s="4" t="s">
        <v>382</v>
      </c>
      <c r="P1413" s="4" t="s">
        <v>382</v>
      </c>
      <c r="Q1413" s="4" t="s">
        <v>100</v>
      </c>
      <c r="R1413" s="9">
        <f t="shared" si="22"/>
        <v>1.8340871271871132E-5</v>
      </c>
    </row>
    <row r="1414" spans="1:18" hidden="1" x14ac:dyDescent="0.2">
      <c r="A1414" s="4">
        <v>1283</v>
      </c>
      <c r="B1414" s="2">
        <v>919368</v>
      </c>
      <c r="C1414" s="2">
        <v>0</v>
      </c>
      <c r="D1414" s="4" t="s">
        <v>5945</v>
      </c>
      <c r="E1414" s="2">
        <v>919368</v>
      </c>
      <c r="F1414" s="2">
        <v>170879.92</v>
      </c>
      <c r="G1414" s="2">
        <v>0</v>
      </c>
      <c r="H1414" s="4">
        <v>0</v>
      </c>
      <c r="I1414" s="4">
        <v>0</v>
      </c>
      <c r="J1414" s="4">
        <v>0</v>
      </c>
      <c r="K1414" s="4">
        <v>1090247.92</v>
      </c>
      <c r="L1414" s="4" t="s">
        <v>5943</v>
      </c>
      <c r="M1414" s="4" t="s">
        <v>5944</v>
      </c>
      <c r="N1414" s="4" t="s">
        <v>20</v>
      </c>
      <c r="O1414" s="4" t="s">
        <v>900</v>
      </c>
      <c r="P1414" s="4" t="s">
        <v>900</v>
      </c>
      <c r="Q1414" s="4" t="s">
        <v>144</v>
      </c>
      <c r="R1414" s="9">
        <f t="shared" si="22"/>
        <v>1.831374033590479E-5</v>
      </c>
    </row>
    <row r="1415" spans="1:18" hidden="1" x14ac:dyDescent="0.2">
      <c r="A1415" s="4">
        <v>110</v>
      </c>
      <c r="B1415" s="2">
        <v>915957</v>
      </c>
      <c r="C1415" s="2">
        <v>0</v>
      </c>
      <c r="D1415" s="4" t="s">
        <v>5078</v>
      </c>
      <c r="E1415" s="2">
        <v>915957</v>
      </c>
      <c r="F1415" s="2">
        <v>174031.83</v>
      </c>
      <c r="G1415" s="2">
        <v>0</v>
      </c>
      <c r="H1415" s="4">
        <v>0</v>
      </c>
      <c r="I1415" s="4">
        <v>0</v>
      </c>
      <c r="J1415" s="4">
        <v>0</v>
      </c>
      <c r="K1415" s="4">
        <v>1089988.83</v>
      </c>
      <c r="L1415" s="4" t="s">
        <v>5076</v>
      </c>
      <c r="M1415" s="4" t="s">
        <v>5077</v>
      </c>
      <c r="N1415" s="4" t="s">
        <v>20</v>
      </c>
      <c r="O1415" s="4" t="s">
        <v>316</v>
      </c>
      <c r="P1415" s="4" t="s">
        <v>316</v>
      </c>
      <c r="Q1415" s="4" t="s">
        <v>100</v>
      </c>
      <c r="R1415" s="9">
        <f t="shared" si="22"/>
        <v>1.8245793476447239E-5</v>
      </c>
    </row>
    <row r="1416" spans="1:18" hidden="1" x14ac:dyDescent="0.2">
      <c r="A1416" s="4">
        <v>1719</v>
      </c>
      <c r="B1416" s="2">
        <v>915169</v>
      </c>
      <c r="C1416" s="2">
        <v>0</v>
      </c>
      <c r="D1416" s="4" t="s">
        <v>5711</v>
      </c>
      <c r="E1416" s="2">
        <v>915169</v>
      </c>
      <c r="F1416" s="2">
        <v>173882.11</v>
      </c>
      <c r="G1416" s="2">
        <v>0</v>
      </c>
      <c r="H1416" s="4">
        <v>0</v>
      </c>
      <c r="I1416" s="4">
        <v>0</v>
      </c>
      <c r="J1416" s="4">
        <v>0</v>
      </c>
      <c r="K1416" s="4">
        <v>1089051.1100000001</v>
      </c>
      <c r="L1416" s="4" t="s">
        <v>5709</v>
      </c>
      <c r="M1416" s="4" t="s">
        <v>5710</v>
      </c>
      <c r="N1416" s="4" t="s">
        <v>20</v>
      </c>
      <c r="O1416" s="4" t="s">
        <v>692</v>
      </c>
      <c r="P1416" s="4" t="s">
        <v>603</v>
      </c>
      <c r="Q1416" s="4" t="s">
        <v>100</v>
      </c>
      <c r="R1416" s="9">
        <f t="shared" si="22"/>
        <v>1.8230096576637051E-5</v>
      </c>
    </row>
    <row r="1417" spans="1:18" hidden="1" x14ac:dyDescent="0.2">
      <c r="A1417" s="4">
        <v>1651</v>
      </c>
      <c r="B1417" s="2">
        <v>913876</v>
      </c>
      <c r="C1417" s="2">
        <v>0</v>
      </c>
      <c r="D1417" s="4" t="s">
        <v>4814</v>
      </c>
      <c r="E1417" s="2">
        <v>913876</v>
      </c>
      <c r="F1417" s="2">
        <v>173636.44</v>
      </c>
      <c r="G1417" s="2">
        <v>0</v>
      </c>
      <c r="H1417" s="4">
        <v>0</v>
      </c>
      <c r="I1417" s="4">
        <v>0</v>
      </c>
      <c r="J1417" s="4">
        <v>0</v>
      </c>
      <c r="K1417" s="4">
        <v>1087512.44</v>
      </c>
      <c r="L1417" s="4" t="s">
        <v>4812</v>
      </c>
      <c r="M1417" s="4" t="s">
        <v>4813</v>
      </c>
      <c r="N1417" s="4" t="s">
        <v>20</v>
      </c>
      <c r="O1417" s="4" t="s">
        <v>1157</v>
      </c>
      <c r="P1417" s="4" t="s">
        <v>1157</v>
      </c>
      <c r="Q1417" s="4" t="s">
        <v>100</v>
      </c>
      <c r="R1417" s="9">
        <f t="shared" si="22"/>
        <v>1.8204340115400281E-5</v>
      </c>
    </row>
    <row r="1418" spans="1:18" hidden="1" x14ac:dyDescent="0.2">
      <c r="A1418" s="4">
        <v>1885</v>
      </c>
      <c r="B1418" s="2">
        <v>911055</v>
      </c>
      <c r="C1418" s="2">
        <v>0</v>
      </c>
      <c r="D1418" s="4" t="s">
        <v>5948</v>
      </c>
      <c r="E1418" s="2">
        <v>911055</v>
      </c>
      <c r="F1418" s="2">
        <v>173100.45</v>
      </c>
      <c r="G1418" s="2">
        <v>0</v>
      </c>
      <c r="H1418" s="4">
        <v>0</v>
      </c>
      <c r="I1418" s="4">
        <v>0</v>
      </c>
      <c r="J1418" s="4">
        <v>0</v>
      </c>
      <c r="K1418" s="4">
        <v>1084155.45</v>
      </c>
      <c r="L1418" s="4" t="s">
        <v>5946</v>
      </c>
      <c r="M1418" s="4" t="s">
        <v>5947</v>
      </c>
      <c r="N1418" s="4" t="s">
        <v>20</v>
      </c>
      <c r="O1418" s="4" t="s">
        <v>1356</v>
      </c>
      <c r="P1418" s="4" t="s">
        <v>1356</v>
      </c>
      <c r="Q1418" s="4" t="s">
        <v>100</v>
      </c>
      <c r="R1418" s="9">
        <f t="shared" si="22"/>
        <v>1.8148146010876753E-5</v>
      </c>
    </row>
    <row r="1419" spans="1:18" hidden="1" x14ac:dyDescent="0.2">
      <c r="A1419" s="4">
        <v>627</v>
      </c>
      <c r="B1419" s="2">
        <v>910851</v>
      </c>
      <c r="C1419" s="2">
        <v>0</v>
      </c>
      <c r="D1419" s="4" t="s">
        <v>4724</v>
      </c>
      <c r="E1419" s="2">
        <v>910851</v>
      </c>
      <c r="F1419" s="2">
        <v>173061.69</v>
      </c>
      <c r="G1419" s="2">
        <v>0</v>
      </c>
      <c r="H1419" s="4">
        <v>0</v>
      </c>
      <c r="I1419" s="4">
        <v>0</v>
      </c>
      <c r="J1419" s="4">
        <v>0</v>
      </c>
      <c r="K1419" s="4">
        <v>1083912.69</v>
      </c>
      <c r="L1419" s="4" t="s">
        <v>4722</v>
      </c>
      <c r="M1419" s="4" t="s">
        <v>4723</v>
      </c>
      <c r="N1419" s="4" t="s">
        <v>20</v>
      </c>
      <c r="O1419" s="4" t="s">
        <v>1356</v>
      </c>
      <c r="P1419" s="4" t="s">
        <v>1356</v>
      </c>
      <c r="Q1419" s="4" t="s">
        <v>100</v>
      </c>
      <c r="R1419" s="9">
        <f t="shared" si="22"/>
        <v>1.8144082346458887E-5</v>
      </c>
    </row>
    <row r="1420" spans="1:18" hidden="1" x14ac:dyDescent="0.2">
      <c r="A1420" s="4">
        <v>943</v>
      </c>
      <c r="B1420" s="2">
        <v>910470</v>
      </c>
      <c r="C1420" s="2">
        <v>0</v>
      </c>
      <c r="D1420" s="4" t="s">
        <v>4624</v>
      </c>
      <c r="E1420" s="2">
        <v>910470</v>
      </c>
      <c r="F1420" s="2">
        <v>172989.3</v>
      </c>
      <c r="G1420" s="2">
        <v>0</v>
      </c>
      <c r="H1420" s="4">
        <v>0</v>
      </c>
      <c r="I1420" s="4">
        <v>0</v>
      </c>
      <c r="J1420" s="4">
        <v>0</v>
      </c>
      <c r="K1420" s="4">
        <v>1083459.3</v>
      </c>
      <c r="L1420" s="4" t="s">
        <v>4622</v>
      </c>
      <c r="M1420" s="4" t="s">
        <v>4623</v>
      </c>
      <c r="N1420" s="4" t="s">
        <v>20</v>
      </c>
      <c r="O1420" s="4" t="s">
        <v>316</v>
      </c>
      <c r="P1420" s="4" t="s">
        <v>316</v>
      </c>
      <c r="Q1420" s="4" t="s">
        <v>100</v>
      </c>
      <c r="R1420" s="9">
        <f t="shared" si="22"/>
        <v>1.8136492855560814E-5</v>
      </c>
    </row>
    <row r="1421" spans="1:18" hidden="1" x14ac:dyDescent="0.2">
      <c r="A1421" s="4">
        <v>1672</v>
      </c>
      <c r="B1421" s="2">
        <v>918469</v>
      </c>
      <c r="C1421" s="2">
        <v>8970.8700000000008</v>
      </c>
      <c r="D1421" s="4" t="s">
        <v>4261</v>
      </c>
      <c r="E1421" s="2">
        <v>909498.13</v>
      </c>
      <c r="F1421" s="2">
        <v>172804.64</v>
      </c>
      <c r="G1421" s="2">
        <v>0</v>
      </c>
      <c r="H1421" s="4">
        <v>0</v>
      </c>
      <c r="I1421" s="4">
        <v>0</v>
      </c>
      <c r="J1421" s="4">
        <v>0</v>
      </c>
      <c r="K1421" s="4">
        <v>1082302.77</v>
      </c>
      <c r="L1421" s="4" t="s">
        <v>4259</v>
      </c>
      <c r="M1421" s="4" t="s">
        <v>4260</v>
      </c>
      <c r="N1421" s="4" t="s">
        <v>20</v>
      </c>
      <c r="O1421" s="4" t="s">
        <v>261</v>
      </c>
      <c r="P1421" s="4" t="s">
        <v>261</v>
      </c>
      <c r="Q1421" s="4" t="s">
        <v>100</v>
      </c>
      <c r="R1421" s="9">
        <f t="shared" si="22"/>
        <v>1.811713327939517E-5</v>
      </c>
    </row>
    <row r="1422" spans="1:18" hidden="1" x14ac:dyDescent="0.2">
      <c r="A1422" s="4">
        <v>751</v>
      </c>
      <c r="B1422" s="2">
        <v>903832</v>
      </c>
      <c r="C1422" s="2">
        <v>0</v>
      </c>
      <c r="D1422" s="4" t="s">
        <v>2037</v>
      </c>
      <c r="E1422" s="2">
        <v>903832</v>
      </c>
      <c r="F1422" s="2">
        <v>171728.08</v>
      </c>
      <c r="G1422" s="2">
        <v>0</v>
      </c>
      <c r="H1422" s="4">
        <v>0</v>
      </c>
      <c r="I1422" s="4">
        <v>0</v>
      </c>
      <c r="J1422" s="4">
        <v>0</v>
      </c>
      <c r="K1422" s="4">
        <v>1075560.08</v>
      </c>
      <c r="L1422" s="4" t="s">
        <v>2035</v>
      </c>
      <c r="M1422" s="4" t="s">
        <v>2036</v>
      </c>
      <c r="N1422" s="4" t="s">
        <v>20</v>
      </c>
      <c r="O1422" s="4" t="s">
        <v>631</v>
      </c>
      <c r="P1422" s="4" t="s">
        <v>631</v>
      </c>
      <c r="Q1422" s="4" t="s">
        <v>100</v>
      </c>
      <c r="R1422" s="9">
        <f t="shared" si="22"/>
        <v>1.8004264402591234E-5</v>
      </c>
    </row>
    <row r="1423" spans="1:18" hidden="1" x14ac:dyDescent="0.2">
      <c r="A1423" s="4">
        <v>58</v>
      </c>
      <c r="B1423" s="2">
        <v>896997</v>
      </c>
      <c r="C1423" s="2">
        <v>0</v>
      </c>
      <c r="D1423" s="4" t="s">
        <v>4449</v>
      </c>
      <c r="E1423" s="2">
        <v>896997</v>
      </c>
      <c r="F1423" s="2">
        <v>170429.43</v>
      </c>
      <c r="G1423" s="2">
        <v>0</v>
      </c>
      <c r="H1423" s="4">
        <v>0</v>
      </c>
      <c r="I1423" s="4">
        <v>0</v>
      </c>
      <c r="J1423" s="4">
        <v>0</v>
      </c>
      <c r="K1423" s="4">
        <v>1067426.43</v>
      </c>
      <c r="L1423" s="4" t="s">
        <v>4447</v>
      </c>
      <c r="M1423" s="4" t="s">
        <v>4448</v>
      </c>
      <c r="N1423" s="4" t="s">
        <v>1143</v>
      </c>
      <c r="O1423" s="4" t="s">
        <v>340</v>
      </c>
      <c r="P1423" s="4" t="s">
        <v>340</v>
      </c>
      <c r="Q1423" s="4" t="s">
        <v>100</v>
      </c>
      <c r="R1423" s="9">
        <f t="shared" si="22"/>
        <v>1.786811172466911E-5</v>
      </c>
    </row>
    <row r="1424" spans="1:18" hidden="1" x14ac:dyDescent="0.2">
      <c r="A1424" s="4">
        <v>939</v>
      </c>
      <c r="B1424" s="2">
        <v>875612</v>
      </c>
      <c r="C1424" s="2">
        <v>0</v>
      </c>
      <c r="D1424" s="4" t="s">
        <v>4132</v>
      </c>
      <c r="E1424" s="2">
        <v>875612</v>
      </c>
      <c r="F1424" s="2">
        <v>166366.28</v>
      </c>
      <c r="G1424" s="2">
        <v>0</v>
      </c>
      <c r="H1424" s="4">
        <v>0</v>
      </c>
      <c r="I1424" s="4">
        <v>0</v>
      </c>
      <c r="J1424" s="4">
        <v>0</v>
      </c>
      <c r="K1424" s="4">
        <v>1041978.28</v>
      </c>
      <c r="L1424" s="4" t="s">
        <v>4130</v>
      </c>
      <c r="M1424" s="4" t="s">
        <v>4131</v>
      </c>
      <c r="N1424" s="4" t="s">
        <v>20</v>
      </c>
      <c r="O1424" s="4" t="s">
        <v>316</v>
      </c>
      <c r="P1424" s="4" t="s">
        <v>316</v>
      </c>
      <c r="Q1424" s="4" t="s">
        <v>100</v>
      </c>
      <c r="R1424" s="9">
        <f t="shared" si="22"/>
        <v>1.744212415811978E-5</v>
      </c>
    </row>
    <row r="1425" spans="1:18" hidden="1" x14ac:dyDescent="0.2">
      <c r="A1425" s="4">
        <v>1074</v>
      </c>
      <c r="B1425" s="2">
        <v>865074</v>
      </c>
      <c r="C1425" s="2">
        <v>0</v>
      </c>
      <c r="D1425" s="4" t="s">
        <v>3473</v>
      </c>
      <c r="E1425" s="2">
        <v>865074</v>
      </c>
      <c r="F1425" s="2">
        <v>164364.06</v>
      </c>
      <c r="G1425" s="2">
        <v>0</v>
      </c>
      <c r="H1425" s="4">
        <v>0</v>
      </c>
      <c r="I1425" s="4">
        <v>0</v>
      </c>
      <c r="J1425" s="4">
        <v>0</v>
      </c>
      <c r="K1425" s="4">
        <v>1029438.06</v>
      </c>
      <c r="L1425" s="4" t="s">
        <v>3471</v>
      </c>
      <c r="M1425" s="4" t="s">
        <v>3472</v>
      </c>
      <c r="N1425" s="4" t="s">
        <v>20</v>
      </c>
      <c r="O1425" s="4" t="s">
        <v>2863</v>
      </c>
      <c r="P1425" s="4" t="s">
        <v>2863</v>
      </c>
      <c r="Q1425" s="4" t="s">
        <v>100</v>
      </c>
      <c r="R1425" s="9">
        <f t="shared" si="22"/>
        <v>1.7232208003043941E-5</v>
      </c>
    </row>
    <row r="1426" spans="1:18" hidden="1" x14ac:dyDescent="0.2">
      <c r="A1426" s="4">
        <v>1331</v>
      </c>
      <c r="B1426" s="2">
        <v>854784</v>
      </c>
      <c r="C1426" s="2">
        <v>0</v>
      </c>
      <c r="D1426" s="4" t="s">
        <v>4107</v>
      </c>
      <c r="E1426" s="2">
        <v>854784</v>
      </c>
      <c r="F1426" s="2">
        <v>162408.95999999999</v>
      </c>
      <c r="G1426" s="2">
        <v>0</v>
      </c>
      <c r="H1426" s="4">
        <v>0</v>
      </c>
      <c r="I1426" s="4">
        <v>0</v>
      </c>
      <c r="J1426" s="4">
        <v>0</v>
      </c>
      <c r="K1426" s="4">
        <v>1017192.96</v>
      </c>
      <c r="L1426" s="4" t="s">
        <v>4105</v>
      </c>
      <c r="M1426" s="4" t="s">
        <v>4106</v>
      </c>
      <c r="N1426" s="4" t="s">
        <v>20</v>
      </c>
      <c r="O1426" s="4" t="s">
        <v>1517</v>
      </c>
      <c r="P1426" s="4" t="s">
        <v>603</v>
      </c>
      <c r="Q1426" s="4" t="s">
        <v>100</v>
      </c>
      <c r="R1426" s="9">
        <f t="shared" si="22"/>
        <v>1.7027231989025115E-5</v>
      </c>
    </row>
    <row r="1427" spans="1:18" hidden="1" x14ac:dyDescent="0.2">
      <c r="A1427" s="4">
        <v>349</v>
      </c>
      <c r="B1427" s="2">
        <v>844433</v>
      </c>
      <c r="C1427" s="2">
        <v>0</v>
      </c>
      <c r="D1427" s="4" t="s">
        <v>3965</v>
      </c>
      <c r="E1427" s="2">
        <v>844433</v>
      </c>
      <c r="F1427" s="2">
        <v>160442.26999999999</v>
      </c>
      <c r="G1427" s="2">
        <v>0</v>
      </c>
      <c r="H1427" s="4">
        <v>0</v>
      </c>
      <c r="I1427" s="4">
        <v>0</v>
      </c>
      <c r="J1427" s="4">
        <v>0</v>
      </c>
      <c r="K1427" s="4">
        <v>1004875.27</v>
      </c>
      <c r="L1427" s="4" t="s">
        <v>3963</v>
      </c>
      <c r="M1427" s="4" t="s">
        <v>3964</v>
      </c>
      <c r="N1427" s="4" t="s">
        <v>142</v>
      </c>
      <c r="O1427" s="4" t="s">
        <v>340</v>
      </c>
      <c r="P1427" s="4" t="s">
        <v>340</v>
      </c>
      <c r="Q1427" s="4" t="s">
        <v>100</v>
      </c>
      <c r="R1427" s="9">
        <f t="shared" si="22"/>
        <v>1.6821040859665651E-5</v>
      </c>
    </row>
    <row r="1428" spans="1:18" hidden="1" x14ac:dyDescent="0.2">
      <c r="A1428" s="4">
        <v>1036</v>
      </c>
      <c r="B1428" s="2">
        <v>843361.52</v>
      </c>
      <c r="C1428" s="2">
        <v>0</v>
      </c>
      <c r="D1428" s="4" t="s">
        <v>3021</v>
      </c>
      <c r="E1428" s="2">
        <v>843361.52</v>
      </c>
      <c r="F1428" s="2">
        <v>160238.69</v>
      </c>
      <c r="G1428" s="2">
        <v>0</v>
      </c>
      <c r="H1428" s="4">
        <v>0</v>
      </c>
      <c r="I1428" s="4">
        <v>0</v>
      </c>
      <c r="J1428" s="4">
        <v>0</v>
      </c>
      <c r="K1428" s="4">
        <v>1003600.21</v>
      </c>
      <c r="L1428" s="4" t="s">
        <v>3019</v>
      </c>
      <c r="M1428" s="4" t="s">
        <v>3020</v>
      </c>
      <c r="N1428" s="4" t="s">
        <v>142</v>
      </c>
      <c r="O1428" s="4" t="s">
        <v>76</v>
      </c>
      <c r="P1428" s="4" t="s">
        <v>76</v>
      </c>
      <c r="Q1428" s="4" t="s">
        <v>144</v>
      </c>
      <c r="R1428" s="9">
        <f t="shared" si="22"/>
        <v>1.6799697059908519E-5</v>
      </c>
    </row>
    <row r="1429" spans="1:18" hidden="1" x14ac:dyDescent="0.2">
      <c r="A1429" s="4">
        <v>927</v>
      </c>
      <c r="B1429" s="2">
        <v>839146</v>
      </c>
      <c r="C1429" s="2">
        <v>0</v>
      </c>
      <c r="D1429" s="4" t="s">
        <v>5951</v>
      </c>
      <c r="E1429" s="2">
        <v>839146</v>
      </c>
      <c r="F1429" s="2">
        <v>159437.74</v>
      </c>
      <c r="G1429" s="2">
        <v>20978.65</v>
      </c>
      <c r="H1429" s="4">
        <v>0</v>
      </c>
      <c r="I1429" s="4">
        <v>0</v>
      </c>
      <c r="J1429" s="4">
        <v>20978.65</v>
      </c>
      <c r="K1429" s="4">
        <v>977605.09</v>
      </c>
      <c r="L1429" s="4" t="s">
        <v>5949</v>
      </c>
      <c r="M1429" s="4" t="s">
        <v>5950</v>
      </c>
      <c r="N1429" s="4" t="s">
        <v>233</v>
      </c>
      <c r="O1429" s="4" t="s">
        <v>229</v>
      </c>
      <c r="P1429" s="4" t="s">
        <v>229</v>
      </c>
      <c r="Q1429" s="4" t="s">
        <v>100</v>
      </c>
      <c r="R1429" s="9">
        <f t="shared" si="22"/>
        <v>1.6715724223502625E-5</v>
      </c>
    </row>
    <row r="1430" spans="1:18" hidden="1" x14ac:dyDescent="0.2">
      <c r="A1430" s="4">
        <v>893</v>
      </c>
      <c r="B1430" s="2">
        <v>829463</v>
      </c>
      <c r="C1430" s="2">
        <v>0</v>
      </c>
      <c r="D1430" s="4" t="s">
        <v>3151</v>
      </c>
      <c r="E1430" s="2">
        <v>829463</v>
      </c>
      <c r="F1430" s="2">
        <v>157597.97</v>
      </c>
      <c r="G1430" s="2">
        <v>0</v>
      </c>
      <c r="H1430" s="4">
        <v>0</v>
      </c>
      <c r="I1430" s="4">
        <v>0</v>
      </c>
      <c r="J1430" s="4">
        <v>0</v>
      </c>
      <c r="K1430" s="4">
        <v>987060.97</v>
      </c>
      <c r="L1430" s="4" t="s">
        <v>3149</v>
      </c>
      <c r="M1430" s="4" t="s">
        <v>3150</v>
      </c>
      <c r="N1430" s="4" t="s">
        <v>20</v>
      </c>
      <c r="O1430" s="4" t="s">
        <v>1043</v>
      </c>
      <c r="P1430" s="4" t="s">
        <v>1043</v>
      </c>
      <c r="Q1430" s="4" t="s">
        <v>100</v>
      </c>
      <c r="R1430" s="9">
        <f t="shared" si="22"/>
        <v>1.6522839603119311E-5</v>
      </c>
    </row>
    <row r="1431" spans="1:18" hidden="1" x14ac:dyDescent="0.2">
      <c r="A1431" s="4">
        <v>446</v>
      </c>
      <c r="B1431" s="2">
        <v>823223.1</v>
      </c>
      <c r="C1431" s="2">
        <v>0</v>
      </c>
      <c r="D1431" s="4" t="s">
        <v>5954</v>
      </c>
      <c r="E1431" s="2">
        <v>823223.1</v>
      </c>
      <c r="F1431" s="2">
        <v>156412.39000000001</v>
      </c>
      <c r="G1431" s="2">
        <v>0</v>
      </c>
      <c r="H1431" s="4">
        <v>0</v>
      </c>
      <c r="I1431" s="4">
        <v>0</v>
      </c>
      <c r="J1431" s="4">
        <v>0</v>
      </c>
      <c r="K1431" s="4">
        <v>979635.49</v>
      </c>
      <c r="L1431" s="4" t="s">
        <v>5952</v>
      </c>
      <c r="M1431" s="4" t="s">
        <v>5953</v>
      </c>
      <c r="N1431" s="4" t="s">
        <v>558</v>
      </c>
      <c r="O1431" s="4" t="s">
        <v>900</v>
      </c>
      <c r="P1431" s="4" t="s">
        <v>900</v>
      </c>
      <c r="Q1431" s="4" t="s">
        <v>144</v>
      </c>
      <c r="R1431" s="9">
        <f t="shared" si="22"/>
        <v>1.6398541271741655E-5</v>
      </c>
    </row>
    <row r="1432" spans="1:18" hidden="1" x14ac:dyDescent="0.2">
      <c r="A1432" s="4">
        <v>142</v>
      </c>
      <c r="B1432" s="2">
        <v>818097</v>
      </c>
      <c r="C1432" s="2">
        <v>0</v>
      </c>
      <c r="D1432" s="4" t="s">
        <v>3189</v>
      </c>
      <c r="E1432" s="2">
        <v>818097</v>
      </c>
      <c r="F1432" s="2">
        <v>155438.43</v>
      </c>
      <c r="G1432" s="2">
        <v>0</v>
      </c>
      <c r="H1432" s="4">
        <v>0</v>
      </c>
      <c r="I1432" s="4">
        <v>0</v>
      </c>
      <c r="J1432" s="4">
        <v>0</v>
      </c>
      <c r="K1432" s="4">
        <v>973535.43</v>
      </c>
      <c r="L1432" s="4" t="s">
        <v>3187</v>
      </c>
      <c r="M1432" s="4" t="s">
        <v>3188</v>
      </c>
      <c r="N1432" s="4" t="s">
        <v>434</v>
      </c>
      <c r="O1432" s="4" t="s">
        <v>382</v>
      </c>
      <c r="P1432" s="4" t="s">
        <v>382</v>
      </c>
      <c r="Q1432" s="4" t="s">
        <v>100</v>
      </c>
      <c r="R1432" s="9">
        <f t="shared" si="22"/>
        <v>1.6296429751288603E-5</v>
      </c>
    </row>
    <row r="1433" spans="1:18" hidden="1" x14ac:dyDescent="0.2">
      <c r="A1433" s="4">
        <v>269</v>
      </c>
      <c r="B1433" s="2">
        <v>812490</v>
      </c>
      <c r="C1433" s="2">
        <v>0</v>
      </c>
      <c r="D1433" s="4" t="s">
        <v>5018</v>
      </c>
      <c r="E1433" s="2">
        <v>812490</v>
      </c>
      <c r="F1433" s="2">
        <v>154373.1</v>
      </c>
      <c r="G1433" s="2">
        <v>0</v>
      </c>
      <c r="H1433" s="4">
        <v>0</v>
      </c>
      <c r="I1433" s="4">
        <v>0</v>
      </c>
      <c r="J1433" s="4">
        <v>0</v>
      </c>
      <c r="K1433" s="4">
        <v>966863.1</v>
      </c>
      <c r="L1433" s="4" t="s">
        <v>5016</v>
      </c>
      <c r="M1433" s="4" t="s">
        <v>5017</v>
      </c>
      <c r="N1433" s="4" t="s">
        <v>20</v>
      </c>
      <c r="O1433" s="4" t="s">
        <v>1562</v>
      </c>
      <c r="P1433" s="4" t="s">
        <v>1562</v>
      </c>
      <c r="Q1433" s="4" t="s">
        <v>100</v>
      </c>
      <c r="R1433" s="9">
        <f t="shared" si="22"/>
        <v>1.6184738739568141E-5</v>
      </c>
    </row>
    <row r="1434" spans="1:18" hidden="1" x14ac:dyDescent="0.2">
      <c r="A1434" s="4">
        <v>594</v>
      </c>
      <c r="B1434" s="2">
        <v>810455</v>
      </c>
      <c r="C1434" s="2">
        <v>0</v>
      </c>
      <c r="D1434" s="4" t="s">
        <v>5957</v>
      </c>
      <c r="E1434" s="2">
        <v>810455</v>
      </c>
      <c r="F1434" s="2">
        <v>153036.45000000001</v>
      </c>
      <c r="G1434" s="2">
        <v>0</v>
      </c>
      <c r="H1434" s="4">
        <v>0</v>
      </c>
      <c r="I1434" s="4">
        <v>0</v>
      </c>
      <c r="J1434" s="4">
        <v>0</v>
      </c>
      <c r="K1434" s="4">
        <v>963491.45</v>
      </c>
      <c r="L1434" s="4" t="s">
        <v>5955</v>
      </c>
      <c r="M1434" s="4" t="s">
        <v>5956</v>
      </c>
      <c r="N1434" s="4" t="s">
        <v>20</v>
      </c>
      <c r="O1434" s="4" t="s">
        <v>900</v>
      </c>
      <c r="P1434" s="4" t="s">
        <v>900</v>
      </c>
      <c r="Q1434" s="4" t="s">
        <v>144</v>
      </c>
      <c r="R1434" s="9">
        <f t="shared" si="22"/>
        <v>1.6144201695007569E-5</v>
      </c>
    </row>
    <row r="1435" spans="1:18" hidden="1" x14ac:dyDescent="0.2">
      <c r="A1435" s="4">
        <v>1699</v>
      </c>
      <c r="B1435" s="2">
        <v>808572</v>
      </c>
      <c r="C1435" s="2">
        <v>0</v>
      </c>
      <c r="D1435" s="4" t="s">
        <v>4754</v>
      </c>
      <c r="E1435" s="2">
        <v>808572</v>
      </c>
      <c r="F1435" s="2">
        <v>153628.68</v>
      </c>
      <c r="G1435" s="2">
        <v>0</v>
      </c>
      <c r="H1435" s="4">
        <v>0</v>
      </c>
      <c r="I1435" s="4">
        <v>0</v>
      </c>
      <c r="J1435" s="4">
        <v>0</v>
      </c>
      <c r="K1435" s="4">
        <v>962200.68</v>
      </c>
      <c r="L1435" s="4" t="s">
        <v>4752</v>
      </c>
      <c r="M1435" s="4" t="s">
        <v>4753</v>
      </c>
      <c r="N1435" s="4" t="s">
        <v>20</v>
      </c>
      <c r="O1435" s="4" t="s">
        <v>316</v>
      </c>
      <c r="P1435" s="4" t="s">
        <v>316</v>
      </c>
      <c r="Q1435" s="4" t="s">
        <v>100</v>
      </c>
      <c r="R1435" s="9">
        <f t="shared" si="22"/>
        <v>1.6106692478836776E-5</v>
      </c>
    </row>
    <row r="1436" spans="1:18" hidden="1" x14ac:dyDescent="0.2">
      <c r="A1436" s="4">
        <v>1644</v>
      </c>
      <c r="B1436" s="2">
        <v>807134</v>
      </c>
      <c r="C1436" s="2">
        <v>0</v>
      </c>
      <c r="D1436" s="4" t="s">
        <v>5960</v>
      </c>
      <c r="E1436" s="2">
        <v>807134</v>
      </c>
      <c r="F1436" s="2">
        <v>153355.46</v>
      </c>
      <c r="G1436" s="2">
        <v>0</v>
      </c>
      <c r="H1436" s="4">
        <v>0</v>
      </c>
      <c r="I1436" s="4">
        <v>0</v>
      </c>
      <c r="J1436" s="4">
        <v>0</v>
      </c>
      <c r="K1436" s="4">
        <v>960489.46</v>
      </c>
      <c r="L1436" s="4" t="s">
        <v>5958</v>
      </c>
      <c r="M1436" s="4" t="s">
        <v>5959</v>
      </c>
      <c r="N1436" s="4" t="s">
        <v>20</v>
      </c>
      <c r="O1436" s="4" t="s">
        <v>3938</v>
      </c>
      <c r="P1436" s="4" t="s">
        <v>3938</v>
      </c>
      <c r="Q1436" s="4" t="s">
        <v>1378</v>
      </c>
      <c r="R1436" s="9">
        <f t="shared" si="22"/>
        <v>1.6078047628675544E-5</v>
      </c>
    </row>
    <row r="1437" spans="1:18" hidden="1" x14ac:dyDescent="0.2">
      <c r="A1437" s="4">
        <v>601</v>
      </c>
      <c r="B1437" s="2">
        <v>793668</v>
      </c>
      <c r="C1437" s="2">
        <v>0</v>
      </c>
      <c r="D1437" s="4" t="s">
        <v>4095</v>
      </c>
      <c r="E1437" s="2">
        <v>793668</v>
      </c>
      <c r="F1437" s="2">
        <v>150796.92000000001</v>
      </c>
      <c r="G1437" s="2">
        <v>0</v>
      </c>
      <c r="H1437" s="4">
        <v>0</v>
      </c>
      <c r="I1437" s="4">
        <v>0</v>
      </c>
      <c r="J1437" s="4">
        <v>0</v>
      </c>
      <c r="K1437" s="4">
        <v>944464.92</v>
      </c>
      <c r="L1437" s="4" t="s">
        <v>4093</v>
      </c>
      <c r="M1437" s="4" t="s">
        <v>4094</v>
      </c>
      <c r="N1437" s="4" t="s">
        <v>504</v>
      </c>
      <c r="O1437" s="4" t="s">
        <v>3938</v>
      </c>
      <c r="P1437" s="4" t="s">
        <v>3938</v>
      </c>
      <c r="Q1437" s="4" t="s">
        <v>1378</v>
      </c>
      <c r="R1437" s="9">
        <f t="shared" si="22"/>
        <v>1.5809805937249159E-5</v>
      </c>
    </row>
    <row r="1438" spans="1:18" hidden="1" x14ac:dyDescent="0.2">
      <c r="A1438" s="4">
        <v>1876</v>
      </c>
      <c r="B1438" s="2">
        <v>793332</v>
      </c>
      <c r="C1438" s="2">
        <v>0</v>
      </c>
      <c r="D1438" s="4" t="s">
        <v>4443</v>
      </c>
      <c r="E1438" s="2">
        <v>793332</v>
      </c>
      <c r="F1438" s="2">
        <v>150733.07999999999</v>
      </c>
      <c r="G1438" s="2">
        <v>0</v>
      </c>
      <c r="H1438" s="4">
        <v>0</v>
      </c>
      <c r="I1438" s="4">
        <v>0</v>
      </c>
      <c r="J1438" s="4">
        <v>0</v>
      </c>
      <c r="K1438" s="4">
        <v>944065.08</v>
      </c>
      <c r="L1438" s="4" t="s">
        <v>4441</v>
      </c>
      <c r="M1438" s="4" t="s">
        <v>4442</v>
      </c>
      <c r="N1438" s="4" t="s">
        <v>20</v>
      </c>
      <c r="O1438" s="4" t="s">
        <v>316</v>
      </c>
      <c r="P1438" s="4" t="s">
        <v>316</v>
      </c>
      <c r="Q1438" s="4" t="s">
        <v>100</v>
      </c>
      <c r="R1438" s="9">
        <f t="shared" si="22"/>
        <v>1.580311284291385E-5</v>
      </c>
    </row>
    <row r="1439" spans="1:18" hidden="1" x14ac:dyDescent="0.2">
      <c r="A1439" s="4">
        <v>449</v>
      </c>
      <c r="B1439" s="2">
        <v>804669</v>
      </c>
      <c r="C1439" s="2">
        <v>14266.95</v>
      </c>
      <c r="D1439" s="4" t="s">
        <v>5306</v>
      </c>
      <c r="E1439" s="2">
        <v>790402.05</v>
      </c>
      <c r="F1439" s="2">
        <v>150176.39000000001</v>
      </c>
      <c r="G1439" s="2">
        <v>0</v>
      </c>
      <c r="H1439" s="4">
        <v>0</v>
      </c>
      <c r="I1439" s="4">
        <v>0</v>
      </c>
      <c r="J1439" s="4">
        <v>0</v>
      </c>
      <c r="K1439" s="4">
        <v>940578.44</v>
      </c>
      <c r="L1439" s="4" t="s">
        <v>5304</v>
      </c>
      <c r="M1439" s="4" t="s">
        <v>5305</v>
      </c>
      <c r="N1439" s="4" t="s">
        <v>20</v>
      </c>
      <c r="O1439" s="4" t="s">
        <v>2863</v>
      </c>
      <c r="P1439" s="4" t="s">
        <v>2863</v>
      </c>
      <c r="Q1439" s="4" t="s">
        <v>100</v>
      </c>
      <c r="R1439" s="9">
        <f t="shared" si="22"/>
        <v>1.5744748462712249E-5</v>
      </c>
    </row>
    <row r="1440" spans="1:18" hidden="1" x14ac:dyDescent="0.2">
      <c r="A1440" s="4">
        <v>1393</v>
      </c>
      <c r="B1440" s="2">
        <v>787722</v>
      </c>
      <c r="C1440" s="2">
        <v>0</v>
      </c>
      <c r="D1440" s="4" t="s">
        <v>5963</v>
      </c>
      <c r="E1440" s="2">
        <v>787722</v>
      </c>
      <c r="F1440" s="2">
        <v>149667.18</v>
      </c>
      <c r="G1440" s="2">
        <v>0</v>
      </c>
      <c r="H1440" s="4">
        <v>0</v>
      </c>
      <c r="I1440" s="4">
        <v>0</v>
      </c>
      <c r="J1440" s="4">
        <v>0</v>
      </c>
      <c r="K1440" s="4">
        <v>937389.18</v>
      </c>
      <c r="L1440" s="4" t="s">
        <v>5961</v>
      </c>
      <c r="M1440" s="4" t="s">
        <v>5962</v>
      </c>
      <c r="N1440" s="4" t="s">
        <v>186</v>
      </c>
      <c r="O1440" s="4" t="s">
        <v>59</v>
      </c>
      <c r="P1440" s="4" t="s">
        <v>59</v>
      </c>
      <c r="Q1440" s="4" t="s">
        <v>100</v>
      </c>
      <c r="R1440" s="9">
        <f t="shared" si="22"/>
        <v>1.5691362071422536E-5</v>
      </c>
    </row>
    <row r="1441" spans="1:18" hidden="1" x14ac:dyDescent="0.2">
      <c r="A1441" s="4">
        <v>1200</v>
      </c>
      <c r="B1441" s="2">
        <v>797050</v>
      </c>
      <c r="C1441" s="2">
        <v>12628.56</v>
      </c>
      <c r="D1441" s="4" t="s">
        <v>5966</v>
      </c>
      <c r="E1441" s="2">
        <v>784421.44</v>
      </c>
      <c r="F1441" s="2">
        <v>149040.07</v>
      </c>
      <c r="G1441" s="2">
        <v>0</v>
      </c>
      <c r="H1441" s="4">
        <v>0</v>
      </c>
      <c r="I1441" s="4">
        <v>0</v>
      </c>
      <c r="J1441" s="4">
        <v>0</v>
      </c>
      <c r="K1441" s="4">
        <v>933461.51</v>
      </c>
      <c r="L1441" s="4" t="s">
        <v>5964</v>
      </c>
      <c r="M1441" s="4" t="s">
        <v>5965</v>
      </c>
      <c r="N1441" s="4" t="s">
        <v>1143</v>
      </c>
      <c r="O1441" s="4" t="s">
        <v>340</v>
      </c>
      <c r="P1441" s="4" t="s">
        <v>340</v>
      </c>
      <c r="Q1441" s="4" t="s">
        <v>100</v>
      </c>
      <c r="R1441" s="9">
        <f t="shared" si="22"/>
        <v>1.5625615168329241E-5</v>
      </c>
    </row>
    <row r="1442" spans="1:18" hidden="1" x14ac:dyDescent="0.2">
      <c r="A1442" s="4">
        <v>1260</v>
      </c>
      <c r="B1442" s="2">
        <v>791692</v>
      </c>
      <c r="C1442" s="2">
        <v>16217.92</v>
      </c>
      <c r="D1442" s="4" t="s">
        <v>5969</v>
      </c>
      <c r="E1442" s="2">
        <v>775474.08</v>
      </c>
      <c r="F1442" s="2">
        <v>147340.07999999999</v>
      </c>
      <c r="G1442" s="2">
        <v>0</v>
      </c>
      <c r="H1442" s="4">
        <v>0</v>
      </c>
      <c r="I1442" s="4">
        <v>0</v>
      </c>
      <c r="J1442" s="4">
        <v>0</v>
      </c>
      <c r="K1442" s="4">
        <v>922814.16</v>
      </c>
      <c r="L1442" s="4" t="s">
        <v>5967</v>
      </c>
      <c r="M1442" s="4" t="s">
        <v>5968</v>
      </c>
      <c r="N1442" s="4" t="s">
        <v>20</v>
      </c>
      <c r="O1442" s="4" t="s">
        <v>2863</v>
      </c>
      <c r="P1442" s="4" t="s">
        <v>2863</v>
      </c>
      <c r="Q1442" s="4" t="s">
        <v>100</v>
      </c>
      <c r="R1442" s="9">
        <f t="shared" si="22"/>
        <v>1.5447384440555531E-5</v>
      </c>
    </row>
    <row r="1443" spans="1:18" hidden="1" x14ac:dyDescent="0.2">
      <c r="A1443" s="4">
        <v>1396</v>
      </c>
      <c r="B1443" s="2">
        <v>770094</v>
      </c>
      <c r="C1443" s="2">
        <v>0</v>
      </c>
      <c r="D1443" s="4" t="s">
        <v>5972</v>
      </c>
      <c r="E1443" s="2">
        <v>770094</v>
      </c>
      <c r="F1443" s="2">
        <v>146317.85999999999</v>
      </c>
      <c r="G1443" s="2">
        <v>0</v>
      </c>
      <c r="H1443" s="4">
        <v>0</v>
      </c>
      <c r="I1443" s="4">
        <v>0</v>
      </c>
      <c r="J1443" s="4">
        <v>0</v>
      </c>
      <c r="K1443" s="4">
        <v>916411.86</v>
      </c>
      <c r="L1443" s="4" t="s">
        <v>5970</v>
      </c>
      <c r="M1443" s="4" t="s">
        <v>5971</v>
      </c>
      <c r="N1443" s="4" t="s">
        <v>20</v>
      </c>
      <c r="O1443" s="4" t="s">
        <v>1157</v>
      </c>
      <c r="P1443" s="4" t="s">
        <v>1157</v>
      </c>
      <c r="Q1443" s="4" t="s">
        <v>100</v>
      </c>
      <c r="R1443" s="9">
        <f t="shared" si="22"/>
        <v>1.5340213657902238E-5</v>
      </c>
    </row>
    <row r="1444" spans="1:18" hidden="1" x14ac:dyDescent="0.2">
      <c r="A1444" s="4">
        <v>1758</v>
      </c>
      <c r="B1444" s="2">
        <v>760068</v>
      </c>
      <c r="C1444" s="2">
        <v>0</v>
      </c>
      <c r="D1444" s="4" t="s">
        <v>4564</v>
      </c>
      <c r="E1444" s="2">
        <v>760068</v>
      </c>
      <c r="F1444" s="2">
        <v>144412.92000000001</v>
      </c>
      <c r="G1444" s="2">
        <v>0</v>
      </c>
      <c r="H1444" s="4">
        <v>0</v>
      </c>
      <c r="I1444" s="4">
        <v>0</v>
      </c>
      <c r="J1444" s="4">
        <v>0</v>
      </c>
      <c r="K1444" s="4">
        <v>904480.92</v>
      </c>
      <c r="L1444" s="4" t="s">
        <v>4562</v>
      </c>
      <c r="M1444" s="4" t="s">
        <v>4563</v>
      </c>
      <c r="N1444" s="4" t="s">
        <v>20</v>
      </c>
      <c r="O1444" s="4" t="s">
        <v>631</v>
      </c>
      <c r="P1444" s="4" t="s">
        <v>631</v>
      </c>
      <c r="Q1444" s="4" t="s">
        <v>100</v>
      </c>
      <c r="R1444" s="9">
        <f t="shared" si="22"/>
        <v>1.5140496503718296E-5</v>
      </c>
    </row>
    <row r="1445" spans="1:18" hidden="1" x14ac:dyDescent="0.2">
      <c r="A1445" s="4">
        <v>1129</v>
      </c>
      <c r="B1445" s="2">
        <v>758853</v>
      </c>
      <c r="C1445" s="2">
        <v>0</v>
      </c>
      <c r="D1445" s="4" t="s">
        <v>5975</v>
      </c>
      <c r="E1445" s="2">
        <v>758853</v>
      </c>
      <c r="F1445" s="2">
        <v>144182.07</v>
      </c>
      <c r="G1445" s="2">
        <v>0</v>
      </c>
      <c r="H1445" s="4">
        <v>0</v>
      </c>
      <c r="I1445" s="4">
        <v>0</v>
      </c>
      <c r="J1445" s="4">
        <v>0</v>
      </c>
      <c r="K1445" s="4">
        <v>903035.07</v>
      </c>
      <c r="L1445" s="4" t="s">
        <v>5973</v>
      </c>
      <c r="M1445" s="4" t="s">
        <v>5974</v>
      </c>
      <c r="N1445" s="4" t="s">
        <v>20</v>
      </c>
      <c r="O1445" s="4" t="s">
        <v>3938</v>
      </c>
      <c r="P1445" s="4" t="s">
        <v>3938</v>
      </c>
      <c r="Q1445" s="4" t="s">
        <v>1378</v>
      </c>
      <c r="R1445" s="9">
        <f t="shared" si="22"/>
        <v>1.5116293796523653E-5</v>
      </c>
    </row>
    <row r="1446" spans="1:18" hidden="1" x14ac:dyDescent="0.2">
      <c r="A1446" s="4">
        <v>1944</v>
      </c>
      <c r="B1446" s="2">
        <v>756924.76</v>
      </c>
      <c r="C1446" s="2">
        <v>0</v>
      </c>
      <c r="D1446" s="4" t="s">
        <v>5978</v>
      </c>
      <c r="E1446" s="2">
        <v>756924.76</v>
      </c>
      <c r="F1446" s="2">
        <v>143815.70000000001</v>
      </c>
      <c r="G1446" s="2">
        <v>0</v>
      </c>
      <c r="H1446" s="4">
        <v>0</v>
      </c>
      <c r="I1446" s="4">
        <v>0</v>
      </c>
      <c r="J1446" s="4">
        <v>0</v>
      </c>
      <c r="K1446" s="4">
        <v>900740.46</v>
      </c>
      <c r="L1446" s="4" t="s">
        <v>5976</v>
      </c>
      <c r="M1446" s="4" t="s">
        <v>5977</v>
      </c>
      <c r="N1446" s="4" t="s">
        <v>368</v>
      </c>
      <c r="O1446" s="4" t="s">
        <v>900</v>
      </c>
      <c r="P1446" s="4" t="s">
        <v>900</v>
      </c>
      <c r="Q1446" s="4" t="s">
        <v>144</v>
      </c>
      <c r="R1446" s="9">
        <f t="shared" si="22"/>
        <v>1.5077883403008429E-5</v>
      </c>
    </row>
    <row r="1447" spans="1:18" hidden="1" x14ac:dyDescent="0.2">
      <c r="A1447" s="4">
        <v>1338</v>
      </c>
      <c r="B1447" s="2">
        <v>756594</v>
      </c>
      <c r="C1447" s="2">
        <v>0</v>
      </c>
      <c r="D1447" s="4" t="s">
        <v>4763</v>
      </c>
      <c r="E1447" s="2">
        <v>756594</v>
      </c>
      <c r="F1447" s="2">
        <v>143752.85999999999</v>
      </c>
      <c r="G1447" s="2">
        <v>0</v>
      </c>
      <c r="H1447" s="4">
        <v>0</v>
      </c>
      <c r="I1447" s="4">
        <v>0</v>
      </c>
      <c r="J1447" s="4">
        <v>0</v>
      </c>
      <c r="K1447" s="4">
        <v>900346.86</v>
      </c>
      <c r="L1447" s="4" t="s">
        <v>4761</v>
      </c>
      <c r="M1447" s="4" t="s">
        <v>4762</v>
      </c>
      <c r="N1447" s="4" t="s">
        <v>20</v>
      </c>
      <c r="O1447" s="4" t="s">
        <v>1562</v>
      </c>
      <c r="P1447" s="4" t="s">
        <v>1562</v>
      </c>
      <c r="Q1447" s="4" t="s">
        <v>100</v>
      </c>
      <c r="R1447" s="9">
        <f t="shared" si="22"/>
        <v>1.5071294689072874E-5</v>
      </c>
    </row>
    <row r="1448" spans="1:18" hidden="1" x14ac:dyDescent="0.2">
      <c r="A1448" s="4">
        <v>1637</v>
      </c>
      <c r="B1448" s="2">
        <v>794332</v>
      </c>
      <c r="C1448" s="2">
        <v>46450.879999999997</v>
      </c>
      <c r="D1448" s="4" t="s">
        <v>3761</v>
      </c>
      <c r="E1448" s="2">
        <v>747881.12</v>
      </c>
      <c r="F1448" s="2">
        <v>142097.41</v>
      </c>
      <c r="G1448" s="2">
        <v>0</v>
      </c>
      <c r="H1448" s="4">
        <v>0</v>
      </c>
      <c r="I1448" s="4">
        <v>0</v>
      </c>
      <c r="J1448" s="4">
        <v>0</v>
      </c>
      <c r="K1448" s="4">
        <v>889978.53</v>
      </c>
      <c r="L1448" s="4" t="s">
        <v>3759</v>
      </c>
      <c r="M1448" s="4" t="s">
        <v>3760</v>
      </c>
      <c r="N1448" s="4" t="s">
        <v>20</v>
      </c>
      <c r="O1448" s="4" t="s">
        <v>2863</v>
      </c>
      <c r="P1448" s="4" t="s">
        <v>2863</v>
      </c>
      <c r="Q1448" s="4" t="s">
        <v>100</v>
      </c>
      <c r="R1448" s="9">
        <f t="shared" si="22"/>
        <v>1.4897734784988874E-5</v>
      </c>
    </row>
    <row r="1449" spans="1:18" hidden="1" x14ac:dyDescent="0.2">
      <c r="A1449" s="4">
        <v>1132</v>
      </c>
      <c r="B1449" s="2">
        <v>743278</v>
      </c>
      <c r="C1449" s="2">
        <v>0</v>
      </c>
      <c r="D1449" s="4" t="s">
        <v>3275</v>
      </c>
      <c r="E1449" s="2">
        <v>743278</v>
      </c>
      <c r="F1449" s="2">
        <v>141222.82</v>
      </c>
      <c r="G1449" s="2">
        <v>0</v>
      </c>
      <c r="H1449" s="4">
        <v>0</v>
      </c>
      <c r="I1449" s="4">
        <v>0</v>
      </c>
      <c r="J1449" s="4">
        <v>0</v>
      </c>
      <c r="K1449" s="4">
        <v>884500.82</v>
      </c>
      <c r="L1449" s="4" t="s">
        <v>3273</v>
      </c>
      <c r="M1449" s="4" t="s">
        <v>3274</v>
      </c>
      <c r="N1449" s="4" t="s">
        <v>20</v>
      </c>
      <c r="O1449" s="4" t="s">
        <v>2863</v>
      </c>
      <c r="P1449" s="4" t="s">
        <v>2863</v>
      </c>
      <c r="Q1449" s="4" t="s">
        <v>100</v>
      </c>
      <c r="R1449" s="9">
        <f t="shared" si="22"/>
        <v>1.4806040986189035E-5</v>
      </c>
    </row>
    <row r="1450" spans="1:18" hidden="1" x14ac:dyDescent="0.2">
      <c r="A1450" s="4">
        <v>2012</v>
      </c>
      <c r="B1450" s="2">
        <v>742822</v>
      </c>
      <c r="C1450" s="2">
        <v>0</v>
      </c>
      <c r="D1450" s="4" t="s">
        <v>4038</v>
      </c>
      <c r="E1450" s="2">
        <v>742822</v>
      </c>
      <c r="F1450" s="2">
        <v>141136.18</v>
      </c>
      <c r="G1450" s="2">
        <v>0</v>
      </c>
      <c r="H1450" s="4">
        <v>0</v>
      </c>
      <c r="I1450" s="4">
        <v>0</v>
      </c>
      <c r="J1450" s="4">
        <v>0</v>
      </c>
      <c r="K1450" s="4">
        <v>883958.18</v>
      </c>
      <c r="L1450" s="4" t="s">
        <v>4036</v>
      </c>
      <c r="M1450" s="4" t="s">
        <v>4037</v>
      </c>
      <c r="N1450" s="4" t="s">
        <v>20</v>
      </c>
      <c r="O1450" s="4" t="s">
        <v>768</v>
      </c>
      <c r="P1450" s="4" t="s">
        <v>768</v>
      </c>
      <c r="Q1450" s="4" t="s">
        <v>100</v>
      </c>
      <c r="R1450" s="9">
        <f t="shared" si="22"/>
        <v>1.4796957501019688E-5</v>
      </c>
    </row>
    <row r="1451" spans="1:18" hidden="1" x14ac:dyDescent="0.2">
      <c r="A1451" s="4">
        <v>247</v>
      </c>
      <c r="B1451" s="2">
        <v>742644</v>
      </c>
      <c r="C1451" s="2">
        <v>0</v>
      </c>
      <c r="D1451" s="4" t="s">
        <v>4395</v>
      </c>
      <c r="E1451" s="2">
        <v>742644</v>
      </c>
      <c r="F1451" s="2">
        <v>141102.35999999999</v>
      </c>
      <c r="G1451" s="2">
        <v>0</v>
      </c>
      <c r="H1451" s="4">
        <v>0</v>
      </c>
      <c r="I1451" s="4">
        <v>0</v>
      </c>
      <c r="J1451" s="4">
        <v>0</v>
      </c>
      <c r="K1451" s="4">
        <v>883746.36</v>
      </c>
      <c r="L1451" s="4" t="s">
        <v>4393</v>
      </c>
      <c r="M1451" s="4" t="s">
        <v>4394</v>
      </c>
      <c r="N1451" s="4" t="s">
        <v>104</v>
      </c>
      <c r="O1451" s="4" t="s">
        <v>105</v>
      </c>
      <c r="P1451" s="4" t="s">
        <v>105</v>
      </c>
      <c r="Q1451" s="4" t="s">
        <v>100</v>
      </c>
      <c r="R1451" s="9">
        <f t="shared" si="22"/>
        <v>1.4793411754615864E-5</v>
      </c>
    </row>
    <row r="1452" spans="1:18" hidden="1" x14ac:dyDescent="0.2">
      <c r="A1452" s="4">
        <v>1494</v>
      </c>
      <c r="B1452" s="2">
        <v>733880</v>
      </c>
      <c r="C1452" s="2">
        <v>0</v>
      </c>
      <c r="D1452" s="4" t="s">
        <v>5981</v>
      </c>
      <c r="E1452" s="2">
        <v>733880</v>
      </c>
      <c r="F1452" s="2">
        <v>139437.20000000001</v>
      </c>
      <c r="G1452" s="2">
        <v>0</v>
      </c>
      <c r="H1452" s="4">
        <v>0</v>
      </c>
      <c r="I1452" s="4">
        <v>0</v>
      </c>
      <c r="J1452" s="4">
        <v>0</v>
      </c>
      <c r="K1452" s="4">
        <v>873317.2</v>
      </c>
      <c r="L1452" s="4" t="s">
        <v>5979</v>
      </c>
      <c r="M1452" s="4" t="s">
        <v>5980</v>
      </c>
      <c r="N1452" s="4" t="s">
        <v>1437</v>
      </c>
      <c r="O1452" s="4" t="s">
        <v>382</v>
      </c>
      <c r="P1452" s="4" t="s">
        <v>382</v>
      </c>
      <c r="Q1452" s="4" t="s">
        <v>100</v>
      </c>
      <c r="R1452" s="9">
        <f t="shared" si="22"/>
        <v>1.4618833544036565E-5</v>
      </c>
    </row>
    <row r="1453" spans="1:18" hidden="1" x14ac:dyDescent="0.2">
      <c r="A1453" s="4">
        <v>799</v>
      </c>
      <c r="B1453" s="2">
        <v>729701</v>
      </c>
      <c r="C1453" s="2">
        <v>0</v>
      </c>
      <c r="D1453" s="4" t="s">
        <v>4422</v>
      </c>
      <c r="E1453" s="2">
        <v>729701</v>
      </c>
      <c r="F1453" s="2">
        <v>138643.19</v>
      </c>
      <c r="G1453" s="2">
        <v>0</v>
      </c>
      <c r="H1453" s="4">
        <v>0</v>
      </c>
      <c r="I1453" s="4">
        <v>0</v>
      </c>
      <c r="J1453" s="4">
        <v>0</v>
      </c>
      <c r="K1453" s="4">
        <v>868344.19</v>
      </c>
      <c r="L1453" s="4" t="s">
        <v>4420</v>
      </c>
      <c r="M1453" s="4" t="s">
        <v>4421</v>
      </c>
      <c r="N1453" s="4" t="s">
        <v>1143</v>
      </c>
      <c r="O1453" s="4" t="s">
        <v>340</v>
      </c>
      <c r="P1453" s="4" t="s">
        <v>340</v>
      </c>
      <c r="Q1453" s="4" t="s">
        <v>100</v>
      </c>
      <c r="R1453" s="9">
        <f t="shared" si="22"/>
        <v>1.4535588183241164E-5</v>
      </c>
    </row>
    <row r="1454" spans="1:18" hidden="1" x14ac:dyDescent="0.2">
      <c r="A1454" s="4">
        <v>666</v>
      </c>
      <c r="B1454" s="2">
        <v>716415</v>
      </c>
      <c r="C1454" s="2">
        <v>0</v>
      </c>
      <c r="D1454" s="4" t="s">
        <v>2299</v>
      </c>
      <c r="E1454" s="2">
        <v>716415</v>
      </c>
      <c r="F1454" s="2">
        <v>136118.85</v>
      </c>
      <c r="G1454" s="2">
        <v>0</v>
      </c>
      <c r="H1454" s="4">
        <v>0</v>
      </c>
      <c r="I1454" s="4">
        <v>0</v>
      </c>
      <c r="J1454" s="4">
        <v>0</v>
      </c>
      <c r="K1454" s="4">
        <v>852533.85</v>
      </c>
      <c r="L1454" s="4" t="s">
        <v>2297</v>
      </c>
      <c r="M1454" s="4" t="s">
        <v>2298</v>
      </c>
      <c r="N1454" s="4" t="s">
        <v>20</v>
      </c>
      <c r="O1454" s="4" t="s">
        <v>71</v>
      </c>
      <c r="P1454" s="4" t="s">
        <v>71</v>
      </c>
      <c r="Q1454" s="4" t="s">
        <v>100</v>
      </c>
      <c r="R1454" s="9">
        <f t="shared" si="22"/>
        <v>1.4270932078065836E-5</v>
      </c>
    </row>
    <row r="1455" spans="1:18" hidden="1" x14ac:dyDescent="0.2">
      <c r="A1455" s="4">
        <v>1153</v>
      </c>
      <c r="B1455" s="2">
        <v>716121</v>
      </c>
      <c r="C1455" s="2">
        <v>0</v>
      </c>
      <c r="D1455" s="4" t="s">
        <v>2125</v>
      </c>
      <c r="E1455" s="2">
        <v>716121</v>
      </c>
      <c r="F1455" s="2">
        <v>136062.99</v>
      </c>
      <c r="G1455" s="2">
        <v>0</v>
      </c>
      <c r="H1455" s="4">
        <v>0</v>
      </c>
      <c r="I1455" s="4">
        <v>0</v>
      </c>
      <c r="J1455" s="4">
        <v>0</v>
      </c>
      <c r="K1455" s="4">
        <v>852183.99</v>
      </c>
      <c r="L1455" s="4" t="s">
        <v>2124</v>
      </c>
      <c r="M1455" s="4" t="s">
        <v>132</v>
      </c>
      <c r="N1455" s="4" t="s">
        <v>32</v>
      </c>
      <c r="O1455" s="4" t="s">
        <v>33</v>
      </c>
      <c r="P1455" s="4" t="s">
        <v>33</v>
      </c>
      <c r="Q1455" s="4" t="s">
        <v>28</v>
      </c>
      <c r="R1455" s="9">
        <f t="shared" si="22"/>
        <v>1.4265075620522441E-5</v>
      </c>
    </row>
    <row r="1456" spans="1:18" hidden="1" x14ac:dyDescent="0.2">
      <c r="A1456" s="4">
        <v>1623</v>
      </c>
      <c r="B1456" s="2">
        <v>696635</v>
      </c>
      <c r="C1456" s="2">
        <v>0</v>
      </c>
      <c r="D1456" s="4" t="s">
        <v>5984</v>
      </c>
      <c r="E1456" s="2">
        <v>696635</v>
      </c>
      <c r="F1456" s="2">
        <v>132360.65</v>
      </c>
      <c r="G1456" s="2">
        <v>0</v>
      </c>
      <c r="H1456" s="4">
        <v>0</v>
      </c>
      <c r="I1456" s="4">
        <v>0</v>
      </c>
      <c r="J1456" s="4">
        <v>0</v>
      </c>
      <c r="K1456" s="4">
        <v>828995.65</v>
      </c>
      <c r="L1456" s="4" t="s">
        <v>5982</v>
      </c>
      <c r="M1456" s="4" t="s">
        <v>5983</v>
      </c>
      <c r="N1456" s="4" t="s">
        <v>20</v>
      </c>
      <c r="O1456" s="4" t="s">
        <v>1043</v>
      </c>
      <c r="P1456" s="4" t="s">
        <v>1043</v>
      </c>
      <c r="Q1456" s="4" t="s">
        <v>100</v>
      </c>
      <c r="R1456" s="9">
        <f t="shared" si="22"/>
        <v>1.3876915988921774E-5</v>
      </c>
    </row>
    <row r="1457" spans="1:18" hidden="1" x14ac:dyDescent="0.2">
      <c r="A1457" s="4">
        <v>1354</v>
      </c>
      <c r="B1457" s="2">
        <v>694200</v>
      </c>
      <c r="C1457" s="2">
        <v>0</v>
      </c>
      <c r="D1457" s="4" t="s">
        <v>4832</v>
      </c>
      <c r="E1457" s="2">
        <v>694200</v>
      </c>
      <c r="F1457" s="2">
        <v>131898</v>
      </c>
      <c r="G1457" s="2">
        <v>0</v>
      </c>
      <c r="H1457" s="4">
        <v>0</v>
      </c>
      <c r="I1457" s="4">
        <v>0</v>
      </c>
      <c r="J1457" s="4">
        <v>0</v>
      </c>
      <c r="K1457" s="4">
        <v>826098</v>
      </c>
      <c r="L1457" s="4" t="s">
        <v>4830</v>
      </c>
      <c r="M1457" s="4" t="s">
        <v>4831</v>
      </c>
      <c r="N1457" s="4" t="s">
        <v>427</v>
      </c>
      <c r="O1457" s="4" t="s">
        <v>89</v>
      </c>
      <c r="P1457" s="4" t="s">
        <v>89</v>
      </c>
      <c r="Q1457" s="4" t="s">
        <v>100</v>
      </c>
      <c r="R1457" s="9">
        <f t="shared" si="22"/>
        <v>1.3828410974914404E-5</v>
      </c>
    </row>
    <row r="1458" spans="1:18" hidden="1" x14ac:dyDescent="0.2">
      <c r="A1458" s="4">
        <v>929</v>
      </c>
      <c r="B1458" s="2">
        <v>684658</v>
      </c>
      <c r="C1458" s="2">
        <v>0</v>
      </c>
      <c r="D1458" s="4" t="s">
        <v>5987</v>
      </c>
      <c r="E1458" s="2">
        <v>684658</v>
      </c>
      <c r="F1458" s="2">
        <v>130085.02</v>
      </c>
      <c r="G1458" s="2">
        <v>17116.45</v>
      </c>
      <c r="H1458" s="4">
        <v>0</v>
      </c>
      <c r="I1458" s="4">
        <v>0</v>
      </c>
      <c r="J1458" s="4">
        <v>17116.45</v>
      </c>
      <c r="K1458" s="4">
        <v>797626.57</v>
      </c>
      <c r="L1458" s="4" t="s">
        <v>5985</v>
      </c>
      <c r="M1458" s="4" t="s">
        <v>5986</v>
      </c>
      <c r="N1458" s="4" t="s">
        <v>20</v>
      </c>
      <c r="O1458" s="4" t="s">
        <v>257</v>
      </c>
      <c r="P1458" s="4" t="s">
        <v>257</v>
      </c>
      <c r="Q1458" s="4" t="s">
        <v>100</v>
      </c>
      <c r="R1458" s="9">
        <f t="shared" si="22"/>
        <v>1.3638335063761086E-5</v>
      </c>
    </row>
    <row r="1459" spans="1:18" hidden="1" x14ac:dyDescent="0.2">
      <c r="A1459" s="4">
        <v>64</v>
      </c>
      <c r="B1459" s="2">
        <v>682945</v>
      </c>
      <c r="C1459" s="2">
        <v>0</v>
      </c>
      <c r="D1459" s="4" t="s">
        <v>4246</v>
      </c>
      <c r="E1459" s="2">
        <v>682945</v>
      </c>
      <c r="F1459" s="2">
        <v>129759.55</v>
      </c>
      <c r="G1459" s="2">
        <v>0</v>
      </c>
      <c r="H1459" s="4">
        <v>0</v>
      </c>
      <c r="I1459" s="4">
        <v>0</v>
      </c>
      <c r="J1459" s="4">
        <v>0</v>
      </c>
      <c r="K1459" s="4">
        <v>812704.55</v>
      </c>
      <c r="L1459" s="4" t="s">
        <v>4244</v>
      </c>
      <c r="M1459" s="4" t="s">
        <v>4245</v>
      </c>
      <c r="N1459" s="4" t="s">
        <v>20</v>
      </c>
      <c r="O1459" s="4" t="s">
        <v>1517</v>
      </c>
      <c r="P1459" s="4" t="s">
        <v>1517</v>
      </c>
      <c r="Q1459" s="4" t="s">
        <v>100</v>
      </c>
      <c r="R1459" s="9">
        <f t="shared" si="22"/>
        <v>1.3604212234605182E-5</v>
      </c>
    </row>
    <row r="1460" spans="1:18" hidden="1" x14ac:dyDescent="0.2">
      <c r="A1460" s="4">
        <v>1131</v>
      </c>
      <c r="B1460" s="2">
        <v>690342</v>
      </c>
      <c r="C1460" s="2">
        <v>11479.2</v>
      </c>
      <c r="D1460" s="4" t="s">
        <v>4718</v>
      </c>
      <c r="E1460" s="2">
        <v>678862.8</v>
      </c>
      <c r="F1460" s="2">
        <v>128983.93</v>
      </c>
      <c r="G1460" s="2">
        <v>0</v>
      </c>
      <c r="H1460" s="4">
        <v>0</v>
      </c>
      <c r="I1460" s="4">
        <v>0</v>
      </c>
      <c r="J1460" s="4">
        <v>0</v>
      </c>
      <c r="K1460" s="4">
        <v>807846.73</v>
      </c>
      <c r="L1460" s="4" t="s">
        <v>4716</v>
      </c>
      <c r="M1460" s="4" t="s">
        <v>4717</v>
      </c>
      <c r="N1460" s="4" t="s">
        <v>20</v>
      </c>
      <c r="O1460" s="4" t="s">
        <v>2863</v>
      </c>
      <c r="P1460" s="4" t="s">
        <v>2863</v>
      </c>
      <c r="Q1460" s="4" t="s">
        <v>100</v>
      </c>
      <c r="R1460" s="9">
        <f t="shared" si="22"/>
        <v>1.3522895122415907E-5</v>
      </c>
    </row>
    <row r="1461" spans="1:18" hidden="1" x14ac:dyDescent="0.2">
      <c r="A1461" s="4">
        <v>1114</v>
      </c>
      <c r="B1461" s="2">
        <v>669823</v>
      </c>
      <c r="C1461" s="2">
        <v>0</v>
      </c>
      <c r="D1461" s="4" t="s">
        <v>4817</v>
      </c>
      <c r="E1461" s="2">
        <v>669823</v>
      </c>
      <c r="F1461" s="2">
        <v>127266.37</v>
      </c>
      <c r="G1461" s="2">
        <v>0</v>
      </c>
      <c r="H1461" s="4">
        <v>0</v>
      </c>
      <c r="I1461" s="4">
        <v>0</v>
      </c>
      <c r="J1461" s="4">
        <v>0</v>
      </c>
      <c r="K1461" s="4">
        <v>797089.37</v>
      </c>
      <c r="L1461" s="4" t="s">
        <v>4815</v>
      </c>
      <c r="M1461" s="4" t="s">
        <v>4816</v>
      </c>
      <c r="N1461" s="4" t="s">
        <v>20</v>
      </c>
      <c r="O1461" s="4" t="s">
        <v>2863</v>
      </c>
      <c r="P1461" s="4" t="s">
        <v>2863</v>
      </c>
      <c r="Q1461" s="4" t="s">
        <v>100</v>
      </c>
      <c r="R1461" s="9">
        <f t="shared" si="22"/>
        <v>1.3342822996903041E-5</v>
      </c>
    </row>
    <row r="1462" spans="1:18" hidden="1" x14ac:dyDescent="0.2">
      <c r="A1462" s="4">
        <v>1810</v>
      </c>
      <c r="B1462" s="2">
        <v>668436</v>
      </c>
      <c r="C1462" s="2">
        <v>0</v>
      </c>
      <c r="D1462" s="4" t="s">
        <v>3776</v>
      </c>
      <c r="E1462" s="2">
        <v>668436</v>
      </c>
      <c r="F1462" s="2">
        <v>127002.84</v>
      </c>
      <c r="G1462" s="2">
        <v>0</v>
      </c>
      <c r="H1462" s="4">
        <v>0</v>
      </c>
      <c r="I1462" s="4">
        <v>0</v>
      </c>
      <c r="J1462" s="4">
        <v>0</v>
      </c>
      <c r="K1462" s="4">
        <v>795438.84</v>
      </c>
      <c r="L1462" s="4" t="s">
        <v>3774</v>
      </c>
      <c r="M1462" s="4" t="s">
        <v>3775</v>
      </c>
      <c r="N1462" s="4" t="s">
        <v>20</v>
      </c>
      <c r="O1462" s="4" t="s">
        <v>603</v>
      </c>
      <c r="P1462" s="4" t="s">
        <v>603</v>
      </c>
      <c r="Q1462" s="4" t="s">
        <v>100</v>
      </c>
      <c r="R1462" s="9">
        <f t="shared" si="22"/>
        <v>1.3315194062846276E-5</v>
      </c>
    </row>
    <row r="1463" spans="1:18" hidden="1" x14ac:dyDescent="0.2">
      <c r="A1463" s="4">
        <v>876</v>
      </c>
      <c r="B1463" s="2">
        <v>719449</v>
      </c>
      <c r="C1463" s="2">
        <v>52884.92</v>
      </c>
      <c r="D1463" s="4" t="s">
        <v>5990</v>
      </c>
      <c r="E1463" s="2">
        <v>666564.07999999996</v>
      </c>
      <c r="F1463" s="2">
        <v>126647.18</v>
      </c>
      <c r="G1463" s="2">
        <v>0</v>
      </c>
      <c r="H1463" s="4">
        <v>0</v>
      </c>
      <c r="I1463" s="4">
        <v>0</v>
      </c>
      <c r="J1463" s="4">
        <v>0</v>
      </c>
      <c r="K1463" s="4">
        <v>793211.26</v>
      </c>
      <c r="L1463" s="4" t="s">
        <v>5988</v>
      </c>
      <c r="M1463" s="4" t="s">
        <v>5989</v>
      </c>
      <c r="N1463" s="4" t="s">
        <v>20</v>
      </c>
      <c r="O1463" s="4" t="s">
        <v>2863</v>
      </c>
      <c r="P1463" s="4" t="s">
        <v>2863</v>
      </c>
      <c r="Q1463" s="4" t="s">
        <v>100</v>
      </c>
      <c r="R1463" s="9">
        <f t="shared" si="22"/>
        <v>1.3277905559429158E-5</v>
      </c>
    </row>
    <row r="1464" spans="1:18" hidden="1" x14ac:dyDescent="0.2">
      <c r="A1464" s="4">
        <v>62</v>
      </c>
      <c r="B1464" s="2">
        <v>662336</v>
      </c>
      <c r="C1464" s="2">
        <v>0</v>
      </c>
      <c r="D1464" s="4" t="s">
        <v>5993</v>
      </c>
      <c r="E1464" s="2">
        <v>662336</v>
      </c>
      <c r="F1464" s="2">
        <v>123943.84</v>
      </c>
      <c r="G1464" s="2">
        <v>0</v>
      </c>
      <c r="H1464" s="4">
        <v>0</v>
      </c>
      <c r="I1464" s="4">
        <v>0</v>
      </c>
      <c r="J1464" s="4">
        <v>0</v>
      </c>
      <c r="K1464" s="4">
        <v>786279.84</v>
      </c>
      <c r="L1464" s="4" t="s">
        <v>5991</v>
      </c>
      <c r="M1464" s="4" t="s">
        <v>5992</v>
      </c>
      <c r="N1464" s="4" t="s">
        <v>20</v>
      </c>
      <c r="O1464" s="4" t="s">
        <v>900</v>
      </c>
      <c r="P1464" s="4" t="s">
        <v>900</v>
      </c>
      <c r="Q1464" s="4" t="s">
        <v>144</v>
      </c>
      <c r="R1464" s="9">
        <f t="shared" si="22"/>
        <v>1.3193682528782638E-5</v>
      </c>
    </row>
    <row r="1465" spans="1:18" hidden="1" x14ac:dyDescent="0.2">
      <c r="A1465" s="4">
        <v>902</v>
      </c>
      <c r="B1465" s="2">
        <v>654200</v>
      </c>
      <c r="C1465" s="2">
        <v>0</v>
      </c>
      <c r="D1465" s="4" t="s">
        <v>5996</v>
      </c>
      <c r="E1465" s="2">
        <v>654200</v>
      </c>
      <c r="F1465" s="2">
        <v>124298</v>
      </c>
      <c r="G1465" s="2">
        <v>0</v>
      </c>
      <c r="H1465" s="4">
        <v>0</v>
      </c>
      <c r="I1465" s="4">
        <v>0</v>
      </c>
      <c r="J1465" s="4">
        <v>0</v>
      </c>
      <c r="K1465" s="4">
        <v>778498</v>
      </c>
      <c r="L1465" s="4" t="s">
        <v>5994</v>
      </c>
      <c r="M1465" s="4" t="s">
        <v>5995</v>
      </c>
      <c r="N1465" s="4" t="s">
        <v>20</v>
      </c>
      <c r="O1465" s="4" t="s">
        <v>692</v>
      </c>
      <c r="P1465" s="4" t="s">
        <v>1039</v>
      </c>
      <c r="Q1465" s="4" t="s">
        <v>100</v>
      </c>
      <c r="R1465" s="9">
        <f t="shared" si="22"/>
        <v>1.3031614030234808E-5</v>
      </c>
    </row>
    <row r="1466" spans="1:18" hidden="1" x14ac:dyDescent="0.2">
      <c r="A1466" s="4">
        <v>1048</v>
      </c>
      <c r="B1466" s="2">
        <v>646050</v>
      </c>
      <c r="C1466" s="2">
        <v>0</v>
      </c>
      <c r="D1466" s="4" t="s">
        <v>4349</v>
      </c>
      <c r="E1466" s="2">
        <v>646050</v>
      </c>
      <c r="F1466" s="2">
        <v>122749.5</v>
      </c>
      <c r="G1466" s="2">
        <v>16151.25</v>
      </c>
      <c r="H1466" s="4">
        <v>0</v>
      </c>
      <c r="I1466" s="4">
        <v>0</v>
      </c>
      <c r="J1466" s="4">
        <v>16151.25</v>
      </c>
      <c r="K1466" s="4">
        <v>752648.25</v>
      </c>
      <c r="L1466" s="4" t="s">
        <v>4347</v>
      </c>
      <c r="M1466" s="4" t="s">
        <v>4348</v>
      </c>
      <c r="N1466" s="4" t="s">
        <v>20</v>
      </c>
      <c r="O1466" s="4" t="s">
        <v>386</v>
      </c>
      <c r="P1466" s="4" t="s">
        <v>386</v>
      </c>
      <c r="Q1466" s="4" t="s">
        <v>408</v>
      </c>
      <c r="R1466" s="9">
        <f t="shared" si="22"/>
        <v>1.286926665275634E-5</v>
      </c>
    </row>
    <row r="1467" spans="1:18" hidden="1" x14ac:dyDescent="0.2">
      <c r="A1467" s="4">
        <v>1917</v>
      </c>
      <c r="B1467" s="2">
        <v>642542</v>
      </c>
      <c r="C1467" s="2">
        <v>0</v>
      </c>
      <c r="D1467" s="4" t="s">
        <v>5999</v>
      </c>
      <c r="E1467" s="2">
        <v>642542</v>
      </c>
      <c r="F1467" s="2">
        <v>122082.98</v>
      </c>
      <c r="G1467" s="2">
        <v>0</v>
      </c>
      <c r="H1467" s="4">
        <v>0</v>
      </c>
      <c r="I1467" s="4">
        <v>0</v>
      </c>
      <c r="J1467" s="4">
        <v>0</v>
      </c>
      <c r="K1467" s="4">
        <v>764624.98</v>
      </c>
      <c r="L1467" s="4" t="s">
        <v>5997</v>
      </c>
      <c r="M1467" s="4" t="s">
        <v>5998</v>
      </c>
      <c r="N1467" s="4" t="s">
        <v>20</v>
      </c>
      <c r="O1467" s="4" t="s">
        <v>768</v>
      </c>
      <c r="P1467" s="4" t="s">
        <v>768</v>
      </c>
      <c r="Q1467" s="4" t="s">
        <v>100</v>
      </c>
      <c r="R1467" s="9">
        <f t="shared" si="22"/>
        <v>1.279938756070794E-5</v>
      </c>
    </row>
    <row r="1468" spans="1:18" hidden="1" x14ac:dyDescent="0.2">
      <c r="A1468" s="4">
        <v>1557</v>
      </c>
      <c r="B1468" s="2">
        <v>633028</v>
      </c>
      <c r="C1468" s="2">
        <v>0</v>
      </c>
      <c r="D1468" s="4" t="s">
        <v>3584</v>
      </c>
      <c r="E1468" s="2">
        <v>633028</v>
      </c>
      <c r="F1468" s="2">
        <v>120275.32</v>
      </c>
      <c r="G1468" s="2">
        <v>0</v>
      </c>
      <c r="H1468" s="4">
        <v>0</v>
      </c>
      <c r="I1468" s="4">
        <v>0</v>
      </c>
      <c r="J1468" s="4">
        <v>0</v>
      </c>
      <c r="K1468" s="4">
        <v>753303.32</v>
      </c>
      <c r="L1468" s="4" t="s">
        <v>6000</v>
      </c>
      <c r="M1468" s="4" t="s">
        <v>3583</v>
      </c>
      <c r="N1468" s="4" t="s">
        <v>20</v>
      </c>
      <c r="O1468" s="4" t="s">
        <v>2863</v>
      </c>
      <c r="P1468" s="4" t="s">
        <v>2863</v>
      </c>
      <c r="Q1468" s="4" t="s">
        <v>100</v>
      </c>
      <c r="R1468" s="9">
        <f t="shared" si="22"/>
        <v>1.2609869407415896E-5</v>
      </c>
    </row>
    <row r="1469" spans="1:18" hidden="1" x14ac:dyDescent="0.2">
      <c r="A1469" s="4">
        <v>485</v>
      </c>
      <c r="B1469" s="2">
        <v>627736</v>
      </c>
      <c r="C1469" s="2">
        <v>0</v>
      </c>
      <c r="D1469" s="4" t="s">
        <v>6003</v>
      </c>
      <c r="E1469" s="2">
        <v>627736</v>
      </c>
      <c r="F1469" s="2">
        <v>119269.84</v>
      </c>
      <c r="G1469" s="2">
        <v>0</v>
      </c>
      <c r="H1469" s="4">
        <v>0</v>
      </c>
      <c r="I1469" s="4">
        <v>0</v>
      </c>
      <c r="J1469" s="4">
        <v>0</v>
      </c>
      <c r="K1469" s="4">
        <v>747005.84</v>
      </c>
      <c r="L1469" s="4" t="s">
        <v>6001</v>
      </c>
      <c r="M1469" s="4" t="s">
        <v>6002</v>
      </c>
      <c r="N1469" s="4" t="s">
        <v>332</v>
      </c>
      <c r="O1469" s="4" t="s">
        <v>1127</v>
      </c>
      <c r="P1469" s="4" t="s">
        <v>1039</v>
      </c>
      <c r="Q1469" s="4" t="s">
        <v>100</v>
      </c>
      <c r="R1469" s="9">
        <f t="shared" si="22"/>
        <v>1.2504453171634786E-5</v>
      </c>
    </row>
    <row r="1470" spans="1:18" hidden="1" x14ac:dyDescent="0.2">
      <c r="A1470" s="4">
        <v>53</v>
      </c>
      <c r="B1470" s="2">
        <v>623408</v>
      </c>
      <c r="C1470" s="2">
        <v>0</v>
      </c>
      <c r="D1470" s="4" t="s">
        <v>6006</v>
      </c>
      <c r="E1470" s="2">
        <v>623408</v>
      </c>
      <c r="F1470" s="2">
        <v>118447.52</v>
      </c>
      <c r="G1470" s="2">
        <v>0</v>
      </c>
      <c r="H1470" s="4">
        <v>0</v>
      </c>
      <c r="I1470" s="4">
        <v>0</v>
      </c>
      <c r="J1470" s="4">
        <v>0</v>
      </c>
      <c r="K1470" s="4">
        <v>741855.52</v>
      </c>
      <c r="L1470" s="4" t="s">
        <v>6004</v>
      </c>
      <c r="M1470" s="4" t="s">
        <v>6005</v>
      </c>
      <c r="N1470" s="4" t="s">
        <v>233</v>
      </c>
      <c r="O1470" s="4" t="s">
        <v>229</v>
      </c>
      <c r="P1470" s="4" t="s">
        <v>229</v>
      </c>
      <c r="Q1470" s="4" t="s">
        <v>100</v>
      </c>
      <c r="R1470" s="9">
        <f t="shared" si="22"/>
        <v>1.2418239742220454E-5</v>
      </c>
    </row>
    <row r="1471" spans="1:18" hidden="1" x14ac:dyDescent="0.2">
      <c r="A1471" s="4">
        <v>420</v>
      </c>
      <c r="B1471" s="2">
        <v>618192</v>
      </c>
      <c r="C1471" s="2">
        <v>0</v>
      </c>
      <c r="D1471" s="4" t="s">
        <v>6008</v>
      </c>
      <c r="E1471" s="2">
        <v>618192</v>
      </c>
      <c r="F1471" s="2">
        <v>117456.48</v>
      </c>
      <c r="G1471" s="2">
        <v>15454.8</v>
      </c>
      <c r="H1471" s="4">
        <v>17618.47</v>
      </c>
      <c r="I1471" s="4">
        <v>0</v>
      </c>
      <c r="J1471" s="4">
        <v>33073.269999999997</v>
      </c>
      <c r="K1471" s="4">
        <v>702575.21</v>
      </c>
      <c r="L1471" s="4" t="s">
        <v>6007</v>
      </c>
      <c r="M1471" s="4" t="s">
        <v>137</v>
      </c>
      <c r="N1471" s="4" t="s">
        <v>236</v>
      </c>
      <c r="O1471" s="4" t="s">
        <v>237</v>
      </c>
      <c r="P1471" s="4" t="s">
        <v>237</v>
      </c>
      <c r="Q1471" s="4" t="s">
        <v>22</v>
      </c>
      <c r="R1471" s="9">
        <f t="shared" si="22"/>
        <v>1.2314337420634233E-5</v>
      </c>
    </row>
    <row r="1472" spans="1:18" hidden="1" x14ac:dyDescent="0.2">
      <c r="A1472" s="4">
        <v>1862</v>
      </c>
      <c r="B1472" s="2">
        <v>616908</v>
      </c>
      <c r="C1472" s="2">
        <v>0</v>
      </c>
      <c r="D1472" s="4" t="s">
        <v>3710</v>
      </c>
      <c r="E1472" s="2">
        <v>616908</v>
      </c>
      <c r="F1472" s="2">
        <v>117212.52</v>
      </c>
      <c r="G1472" s="2">
        <v>0</v>
      </c>
      <c r="H1472" s="4">
        <v>0</v>
      </c>
      <c r="I1472" s="4">
        <v>0</v>
      </c>
      <c r="J1472" s="4">
        <v>0</v>
      </c>
      <c r="K1472" s="4">
        <v>734120.52</v>
      </c>
      <c r="L1472" s="4" t="s">
        <v>3708</v>
      </c>
      <c r="M1472" s="4" t="s">
        <v>3709</v>
      </c>
      <c r="N1472" s="4" t="s">
        <v>142</v>
      </c>
      <c r="O1472" s="4" t="s">
        <v>340</v>
      </c>
      <c r="P1472" s="4" t="s">
        <v>340</v>
      </c>
      <c r="Q1472" s="4" t="s">
        <v>100</v>
      </c>
      <c r="R1472" s="9">
        <f t="shared" si="22"/>
        <v>1.2288760238710019E-5</v>
      </c>
    </row>
    <row r="1473" spans="1:18" hidden="1" x14ac:dyDescent="0.2">
      <c r="A1473" s="4">
        <v>175</v>
      </c>
      <c r="B1473" s="2">
        <v>610932</v>
      </c>
      <c r="C1473" s="2">
        <v>0</v>
      </c>
      <c r="D1473" s="4" t="s">
        <v>6011</v>
      </c>
      <c r="E1473" s="2">
        <v>610932</v>
      </c>
      <c r="F1473" s="2">
        <v>116077.08</v>
      </c>
      <c r="G1473" s="2">
        <v>0</v>
      </c>
      <c r="H1473" s="4">
        <v>0</v>
      </c>
      <c r="I1473" s="4">
        <v>0</v>
      </c>
      <c r="J1473" s="4">
        <v>0</v>
      </c>
      <c r="K1473" s="4">
        <v>727009.08</v>
      </c>
      <c r="L1473" s="4" t="s">
        <v>6009</v>
      </c>
      <c r="M1473" s="4" t="s">
        <v>6010</v>
      </c>
      <c r="N1473" s="4" t="s">
        <v>1421</v>
      </c>
      <c r="O1473" s="4" t="s">
        <v>340</v>
      </c>
      <c r="P1473" s="4" t="s">
        <v>340</v>
      </c>
      <c r="Q1473" s="4" t="s">
        <v>100</v>
      </c>
      <c r="R1473" s="9">
        <f t="shared" si="22"/>
        <v>1.2169718775174887E-5</v>
      </c>
    </row>
    <row r="1474" spans="1:18" hidden="1" x14ac:dyDescent="0.2">
      <c r="A1474" s="4">
        <v>1471</v>
      </c>
      <c r="B1474" s="2">
        <v>617372</v>
      </c>
      <c r="C1474" s="2">
        <v>6881.82</v>
      </c>
      <c r="D1474" s="4" t="s">
        <v>4916</v>
      </c>
      <c r="E1474" s="2">
        <v>610490.18000000005</v>
      </c>
      <c r="F1474" s="2">
        <v>115993.13</v>
      </c>
      <c r="G1474" s="2">
        <v>0</v>
      </c>
      <c r="H1474" s="4">
        <v>0</v>
      </c>
      <c r="I1474" s="4">
        <v>0</v>
      </c>
      <c r="J1474" s="4">
        <v>0</v>
      </c>
      <c r="K1474" s="4">
        <v>726483.31</v>
      </c>
      <c r="L1474" s="4" t="s">
        <v>4914</v>
      </c>
      <c r="M1474" s="4" t="s">
        <v>4915</v>
      </c>
      <c r="N1474" s="4" t="s">
        <v>20</v>
      </c>
      <c r="O1474" s="4" t="s">
        <v>2863</v>
      </c>
      <c r="P1474" s="4" t="s">
        <v>2863</v>
      </c>
      <c r="Q1474" s="4" t="s">
        <v>100</v>
      </c>
      <c r="R1474" s="9">
        <f t="shared" si="22"/>
        <v>1.216091775452243E-5</v>
      </c>
    </row>
    <row r="1475" spans="1:18" hidden="1" x14ac:dyDescent="0.2">
      <c r="A1475" s="4">
        <v>1214</v>
      </c>
      <c r="B1475" s="2">
        <v>610074</v>
      </c>
      <c r="C1475" s="2">
        <v>0</v>
      </c>
      <c r="D1475" s="4" t="s">
        <v>6014</v>
      </c>
      <c r="E1475" s="2">
        <v>610074</v>
      </c>
      <c r="F1475" s="2">
        <v>115914.06</v>
      </c>
      <c r="G1475" s="2">
        <v>0</v>
      </c>
      <c r="H1475" s="4">
        <v>0</v>
      </c>
      <c r="I1475" s="4">
        <v>0</v>
      </c>
      <c r="J1475" s="4">
        <v>0</v>
      </c>
      <c r="K1475" s="4">
        <v>725988.06</v>
      </c>
      <c r="L1475" s="4" t="s">
        <v>6012</v>
      </c>
      <c r="M1475" s="4" t="s">
        <v>6013</v>
      </c>
      <c r="N1475" s="4" t="s">
        <v>20</v>
      </c>
      <c r="O1475" s="4" t="s">
        <v>2863</v>
      </c>
      <c r="P1475" s="4" t="s">
        <v>2863</v>
      </c>
      <c r="Q1475" s="4" t="s">
        <v>100</v>
      </c>
      <c r="R1475" s="9">
        <f t="shared" ref="R1475:R1538" si="23">E1475/$E$2034</f>
        <v>1.2152627480711509E-5</v>
      </c>
    </row>
    <row r="1476" spans="1:18" hidden="1" x14ac:dyDescent="0.2">
      <c r="A1476" s="4">
        <v>1749</v>
      </c>
      <c r="B1476" s="2">
        <v>607650</v>
      </c>
      <c r="C1476" s="2">
        <v>0</v>
      </c>
      <c r="D1476" s="4" t="s">
        <v>3534</v>
      </c>
      <c r="E1476" s="2">
        <v>607650</v>
      </c>
      <c r="F1476" s="2">
        <v>115453.5</v>
      </c>
      <c r="G1476" s="2">
        <v>0</v>
      </c>
      <c r="H1476" s="4">
        <v>0</v>
      </c>
      <c r="I1476" s="4">
        <v>0</v>
      </c>
      <c r="J1476" s="4">
        <v>0</v>
      </c>
      <c r="K1476" s="4">
        <v>723103.5</v>
      </c>
      <c r="L1476" s="4" t="s">
        <v>3532</v>
      </c>
      <c r="M1476" s="4" t="s">
        <v>3533</v>
      </c>
      <c r="N1476" s="4" t="s">
        <v>20</v>
      </c>
      <c r="O1476" s="4" t="s">
        <v>1356</v>
      </c>
      <c r="P1476" s="4" t="s">
        <v>1356</v>
      </c>
      <c r="Q1476" s="4" t="s">
        <v>100</v>
      </c>
      <c r="R1476" s="9">
        <f t="shared" si="23"/>
        <v>1.2104341585863927E-5</v>
      </c>
    </row>
    <row r="1477" spans="1:18" hidden="1" x14ac:dyDescent="0.2">
      <c r="A1477" s="4">
        <v>1261</v>
      </c>
      <c r="B1477" s="2">
        <v>623994</v>
      </c>
      <c r="C1477" s="2">
        <v>18719.82</v>
      </c>
      <c r="D1477" s="4" t="s">
        <v>3797</v>
      </c>
      <c r="E1477" s="2">
        <v>605274.18000000005</v>
      </c>
      <c r="F1477" s="2">
        <v>115002.09</v>
      </c>
      <c r="G1477" s="2">
        <v>0</v>
      </c>
      <c r="H1477" s="4">
        <v>0</v>
      </c>
      <c r="I1477" s="4">
        <v>0</v>
      </c>
      <c r="J1477" s="4">
        <v>0</v>
      </c>
      <c r="K1477" s="4">
        <v>720276.27</v>
      </c>
      <c r="L1477" s="4" t="s">
        <v>3795</v>
      </c>
      <c r="M1477" s="4" t="s">
        <v>3796</v>
      </c>
      <c r="N1477" s="4" t="s">
        <v>775</v>
      </c>
      <c r="O1477" s="4" t="s">
        <v>27</v>
      </c>
      <c r="P1477" s="4" t="s">
        <v>27</v>
      </c>
      <c r="Q1477" s="4" t="s">
        <v>100</v>
      </c>
      <c r="R1477" s="9">
        <f t="shared" si="23"/>
        <v>1.2057015432936211E-5</v>
      </c>
    </row>
    <row r="1478" spans="1:18" hidden="1" x14ac:dyDescent="0.2">
      <c r="A1478" s="4">
        <v>1215</v>
      </c>
      <c r="B1478" s="2">
        <v>604145</v>
      </c>
      <c r="C1478" s="2">
        <v>0</v>
      </c>
      <c r="D1478" s="4" t="s">
        <v>6017</v>
      </c>
      <c r="E1478" s="2">
        <v>604145</v>
      </c>
      <c r="F1478" s="2">
        <v>114787.55</v>
      </c>
      <c r="G1478" s="2">
        <v>0</v>
      </c>
      <c r="H1478" s="4">
        <v>0</v>
      </c>
      <c r="I1478" s="4">
        <v>0</v>
      </c>
      <c r="J1478" s="4">
        <v>0</v>
      </c>
      <c r="K1478" s="4">
        <v>718932.55</v>
      </c>
      <c r="L1478" s="4" t="s">
        <v>6015</v>
      </c>
      <c r="M1478" s="4" t="s">
        <v>6016</v>
      </c>
      <c r="N1478" s="4" t="s">
        <v>20</v>
      </c>
      <c r="O1478" s="4" t="s">
        <v>2863</v>
      </c>
      <c r="P1478" s="4" t="s">
        <v>2863</v>
      </c>
      <c r="Q1478" s="4" t="s">
        <v>100</v>
      </c>
      <c r="R1478" s="9">
        <f t="shared" si="23"/>
        <v>1.2034522253586377E-5</v>
      </c>
    </row>
    <row r="1479" spans="1:18" hidden="1" x14ac:dyDescent="0.2">
      <c r="A1479" s="4">
        <v>1227</v>
      </c>
      <c r="B1479" s="2">
        <v>597604</v>
      </c>
      <c r="C1479" s="2">
        <v>0</v>
      </c>
      <c r="D1479" s="4" t="s">
        <v>3834</v>
      </c>
      <c r="E1479" s="2">
        <v>597604</v>
      </c>
      <c r="F1479" s="2">
        <v>113544.76</v>
      </c>
      <c r="G1479" s="2">
        <v>0</v>
      </c>
      <c r="H1479" s="4">
        <v>0</v>
      </c>
      <c r="I1479" s="4">
        <v>0</v>
      </c>
      <c r="J1479" s="4">
        <v>0</v>
      </c>
      <c r="K1479" s="4">
        <v>711148.76</v>
      </c>
      <c r="L1479" s="4" t="s">
        <v>3832</v>
      </c>
      <c r="M1479" s="4" t="s">
        <v>3833</v>
      </c>
      <c r="N1479" s="4" t="s">
        <v>20</v>
      </c>
      <c r="O1479" s="4" t="s">
        <v>1043</v>
      </c>
      <c r="P1479" s="4" t="s">
        <v>1043</v>
      </c>
      <c r="Q1479" s="4" t="s">
        <v>100</v>
      </c>
      <c r="R1479" s="9">
        <f t="shared" si="23"/>
        <v>1.1904226033207645E-5</v>
      </c>
    </row>
    <row r="1480" spans="1:18" hidden="1" x14ac:dyDescent="0.2">
      <c r="A1480" s="4">
        <v>1664</v>
      </c>
      <c r="B1480" s="2">
        <v>594952</v>
      </c>
      <c r="C1480" s="2">
        <v>0</v>
      </c>
      <c r="D1480" s="4" t="s">
        <v>6020</v>
      </c>
      <c r="E1480" s="2">
        <v>594952</v>
      </c>
      <c r="F1480" s="2">
        <v>113040.88</v>
      </c>
      <c r="G1480" s="2">
        <v>0</v>
      </c>
      <c r="H1480" s="4">
        <v>0</v>
      </c>
      <c r="I1480" s="4">
        <v>0</v>
      </c>
      <c r="J1480" s="4">
        <v>0</v>
      </c>
      <c r="K1480" s="4">
        <v>707992.88</v>
      </c>
      <c r="L1480" s="4" t="s">
        <v>6018</v>
      </c>
      <c r="M1480" s="4" t="s">
        <v>6019</v>
      </c>
      <c r="N1480" s="4" t="s">
        <v>2167</v>
      </c>
      <c r="O1480" s="4" t="s">
        <v>105</v>
      </c>
      <c r="P1480" s="4" t="s">
        <v>105</v>
      </c>
      <c r="Q1480" s="4" t="s">
        <v>100</v>
      </c>
      <c r="R1480" s="9">
        <f t="shared" si="23"/>
        <v>1.1851398395775388E-5</v>
      </c>
    </row>
    <row r="1481" spans="1:18" hidden="1" x14ac:dyDescent="0.2">
      <c r="A1481" s="4">
        <v>1127</v>
      </c>
      <c r="B1481" s="2">
        <v>592731</v>
      </c>
      <c r="C1481" s="2">
        <v>0</v>
      </c>
      <c r="D1481" s="4" t="s">
        <v>6023</v>
      </c>
      <c r="E1481" s="2">
        <v>592731</v>
      </c>
      <c r="F1481" s="2">
        <v>112618.89</v>
      </c>
      <c r="G1481" s="2">
        <v>0</v>
      </c>
      <c r="H1481" s="4">
        <v>0</v>
      </c>
      <c r="I1481" s="4">
        <v>0</v>
      </c>
      <c r="J1481" s="4">
        <v>0</v>
      </c>
      <c r="K1481" s="4">
        <v>705349.89</v>
      </c>
      <c r="L1481" s="4" t="s">
        <v>6021</v>
      </c>
      <c r="M1481" s="4" t="s">
        <v>6022</v>
      </c>
      <c r="N1481" s="4" t="s">
        <v>142</v>
      </c>
      <c r="O1481" s="4" t="s">
        <v>340</v>
      </c>
      <c r="P1481" s="4" t="s">
        <v>340</v>
      </c>
      <c r="Q1481" s="4" t="s">
        <v>100</v>
      </c>
      <c r="R1481" s="9">
        <f t="shared" si="23"/>
        <v>1.1807156245422054E-5</v>
      </c>
    </row>
    <row r="1482" spans="1:18" hidden="1" x14ac:dyDescent="0.2">
      <c r="A1482" s="4">
        <v>440</v>
      </c>
      <c r="B1482" s="2">
        <v>592217</v>
      </c>
      <c r="C1482" s="2">
        <v>0</v>
      </c>
      <c r="D1482" s="4" t="s">
        <v>6026</v>
      </c>
      <c r="E1482" s="2">
        <v>592217</v>
      </c>
      <c r="F1482" s="2">
        <v>112521.23</v>
      </c>
      <c r="G1482" s="2">
        <v>0</v>
      </c>
      <c r="H1482" s="4">
        <v>0</v>
      </c>
      <c r="I1482" s="4">
        <v>0</v>
      </c>
      <c r="J1482" s="4">
        <v>0</v>
      </c>
      <c r="K1482" s="4">
        <v>704738.23</v>
      </c>
      <c r="L1482" s="4" t="s">
        <v>6024</v>
      </c>
      <c r="M1482" s="4" t="s">
        <v>6025</v>
      </c>
      <c r="N1482" s="4" t="s">
        <v>20</v>
      </c>
      <c r="O1482" s="4" t="s">
        <v>316</v>
      </c>
      <c r="P1482" s="4" t="s">
        <v>316</v>
      </c>
      <c r="Q1482" s="4" t="s">
        <v>100</v>
      </c>
      <c r="R1482" s="9">
        <f t="shared" si="23"/>
        <v>1.1796917404682922E-5</v>
      </c>
    </row>
    <row r="1483" spans="1:18" hidden="1" x14ac:dyDescent="0.2">
      <c r="A1483" s="4">
        <v>149</v>
      </c>
      <c r="B1483" s="2">
        <v>589660</v>
      </c>
      <c r="C1483" s="2">
        <v>0</v>
      </c>
      <c r="D1483" s="4" t="s">
        <v>3897</v>
      </c>
      <c r="E1483" s="2">
        <v>589660</v>
      </c>
      <c r="F1483" s="2">
        <v>112035.4</v>
      </c>
      <c r="G1483" s="2">
        <v>0</v>
      </c>
      <c r="H1483" s="4">
        <v>0</v>
      </c>
      <c r="I1483" s="4">
        <v>0</v>
      </c>
      <c r="J1483" s="4">
        <v>0</v>
      </c>
      <c r="K1483" s="4">
        <v>701695.4</v>
      </c>
      <c r="L1483" s="4" t="s">
        <v>3896</v>
      </c>
      <c r="M1483" s="4" t="s">
        <v>3896</v>
      </c>
      <c r="N1483" s="4" t="s">
        <v>20</v>
      </c>
      <c r="O1483" s="4" t="s">
        <v>1356</v>
      </c>
      <c r="P1483" s="4" t="s">
        <v>1356</v>
      </c>
      <c r="Q1483" s="4" t="s">
        <v>100</v>
      </c>
      <c r="R1483" s="9">
        <f t="shared" si="23"/>
        <v>1.1745982159994278E-5</v>
      </c>
    </row>
    <row r="1484" spans="1:18" hidden="1" x14ac:dyDescent="0.2">
      <c r="A1484" s="4">
        <v>1813</v>
      </c>
      <c r="B1484" s="2">
        <v>589601</v>
      </c>
      <c r="C1484" s="2">
        <v>0</v>
      </c>
      <c r="D1484" s="4" t="s">
        <v>6029</v>
      </c>
      <c r="E1484" s="2">
        <v>589601</v>
      </c>
      <c r="F1484" s="2">
        <v>112024.19</v>
      </c>
      <c r="G1484" s="2">
        <v>0</v>
      </c>
      <c r="H1484" s="4">
        <v>0</v>
      </c>
      <c r="I1484" s="4">
        <v>0</v>
      </c>
      <c r="J1484" s="4">
        <v>0</v>
      </c>
      <c r="K1484" s="4">
        <v>701625.19</v>
      </c>
      <c r="L1484" s="4" t="s">
        <v>6027</v>
      </c>
      <c r="M1484" s="4" t="s">
        <v>6028</v>
      </c>
      <c r="N1484" s="4" t="s">
        <v>20</v>
      </c>
      <c r="O1484" s="4" t="s">
        <v>900</v>
      </c>
      <c r="P1484" s="4" t="s">
        <v>900</v>
      </c>
      <c r="Q1484" s="4" t="s">
        <v>585</v>
      </c>
      <c r="R1484" s="9">
        <f t="shared" si="23"/>
        <v>1.1744806884500875E-5</v>
      </c>
    </row>
    <row r="1485" spans="1:18" hidden="1" x14ac:dyDescent="0.2">
      <c r="A1485" s="4">
        <v>1327</v>
      </c>
      <c r="B1485" s="2">
        <v>589363</v>
      </c>
      <c r="C1485" s="2">
        <v>0</v>
      </c>
      <c r="D1485" s="4" t="s">
        <v>3998</v>
      </c>
      <c r="E1485" s="2">
        <v>589363</v>
      </c>
      <c r="F1485" s="2">
        <v>111978.97</v>
      </c>
      <c r="G1485" s="2">
        <v>0</v>
      </c>
      <c r="H1485" s="4">
        <v>0</v>
      </c>
      <c r="I1485" s="4">
        <v>0</v>
      </c>
      <c r="J1485" s="4">
        <v>0</v>
      </c>
      <c r="K1485" s="4">
        <v>701341.97</v>
      </c>
      <c r="L1485" s="4" t="s">
        <v>3996</v>
      </c>
      <c r="M1485" s="4" t="s">
        <v>3997</v>
      </c>
      <c r="N1485" s="4" t="s">
        <v>20</v>
      </c>
      <c r="O1485" s="4" t="s">
        <v>1562</v>
      </c>
      <c r="P1485" s="4" t="s">
        <v>1562</v>
      </c>
      <c r="Q1485" s="4" t="s">
        <v>100</v>
      </c>
      <c r="R1485" s="9">
        <f t="shared" si="23"/>
        <v>1.1740065942680032E-5</v>
      </c>
    </row>
    <row r="1486" spans="1:18" hidden="1" x14ac:dyDescent="0.2">
      <c r="A1486" s="4">
        <v>1488</v>
      </c>
      <c r="B1486" s="2">
        <v>588196</v>
      </c>
      <c r="C1486" s="2">
        <v>0</v>
      </c>
      <c r="D1486" s="4" t="s">
        <v>6032</v>
      </c>
      <c r="E1486" s="2">
        <v>588196</v>
      </c>
      <c r="F1486" s="2">
        <v>111757.24</v>
      </c>
      <c r="G1486" s="2">
        <v>0</v>
      </c>
      <c r="H1486" s="4">
        <v>0</v>
      </c>
      <c r="I1486" s="4">
        <v>0</v>
      </c>
      <c r="J1486" s="4">
        <v>0</v>
      </c>
      <c r="K1486" s="4">
        <v>699953.24</v>
      </c>
      <c r="L1486" s="4" t="s">
        <v>6030</v>
      </c>
      <c r="M1486" s="4" t="s">
        <v>6031</v>
      </c>
      <c r="N1486" s="4" t="s">
        <v>20</v>
      </c>
      <c r="O1486" s="4" t="s">
        <v>2863</v>
      </c>
      <c r="P1486" s="4" t="s">
        <v>2863</v>
      </c>
      <c r="Q1486" s="4" t="s">
        <v>100</v>
      </c>
      <c r="R1486" s="9">
        <f t="shared" si="23"/>
        <v>1.1716819391819005E-5</v>
      </c>
    </row>
    <row r="1487" spans="1:18" hidden="1" x14ac:dyDescent="0.2">
      <c r="A1487" s="4">
        <v>1452</v>
      </c>
      <c r="B1487" s="2">
        <v>584351</v>
      </c>
      <c r="C1487" s="2">
        <v>0</v>
      </c>
      <c r="D1487" s="4" t="s">
        <v>4167</v>
      </c>
      <c r="E1487" s="2">
        <v>584351</v>
      </c>
      <c r="F1487" s="2">
        <v>111026.69</v>
      </c>
      <c r="G1487" s="2">
        <v>0</v>
      </c>
      <c r="H1487" s="4">
        <v>0</v>
      </c>
      <c r="I1487" s="4">
        <v>0</v>
      </c>
      <c r="J1487" s="4">
        <v>0</v>
      </c>
      <c r="K1487" s="4">
        <v>695377.69</v>
      </c>
      <c r="L1487" s="4" t="s">
        <v>4165</v>
      </c>
      <c r="M1487" s="4" t="s">
        <v>4166</v>
      </c>
      <c r="N1487" s="4" t="s">
        <v>20</v>
      </c>
      <c r="O1487" s="4" t="s">
        <v>3938</v>
      </c>
      <c r="P1487" s="4" t="s">
        <v>3938</v>
      </c>
      <c r="Q1487" s="4" t="s">
        <v>1378</v>
      </c>
      <c r="R1487" s="9">
        <f t="shared" si="23"/>
        <v>1.1640227285511679E-5</v>
      </c>
    </row>
    <row r="1488" spans="1:18" hidden="1" x14ac:dyDescent="0.2">
      <c r="A1488" s="4">
        <v>1303</v>
      </c>
      <c r="B1488" s="2">
        <v>572560</v>
      </c>
      <c r="C1488" s="2">
        <v>0</v>
      </c>
      <c r="D1488" s="4" t="s">
        <v>1810</v>
      </c>
      <c r="E1488" s="2">
        <v>572560</v>
      </c>
      <c r="F1488" s="2">
        <v>108786.4</v>
      </c>
      <c r="G1488" s="2">
        <v>0</v>
      </c>
      <c r="H1488" s="4">
        <v>0</v>
      </c>
      <c r="I1488" s="4">
        <v>0</v>
      </c>
      <c r="J1488" s="4">
        <v>0</v>
      </c>
      <c r="K1488" s="4">
        <v>681346.4</v>
      </c>
      <c r="L1488" s="4" t="s">
        <v>1808</v>
      </c>
      <c r="M1488" s="4" t="s">
        <v>1809</v>
      </c>
      <c r="N1488" s="4" t="s">
        <v>20</v>
      </c>
      <c r="O1488" s="4" t="s">
        <v>692</v>
      </c>
      <c r="P1488" s="4" t="s">
        <v>692</v>
      </c>
      <c r="Q1488" s="4" t="s">
        <v>100</v>
      </c>
      <c r="R1488" s="9">
        <f t="shared" si="23"/>
        <v>1.1405351466143751E-5</v>
      </c>
    </row>
    <row r="1489" spans="1:18" hidden="1" x14ac:dyDescent="0.2">
      <c r="A1489" s="4">
        <v>1400</v>
      </c>
      <c r="B1489" s="2">
        <v>572161</v>
      </c>
      <c r="C1489" s="2">
        <v>0</v>
      </c>
      <c r="D1489" s="4" t="s">
        <v>6035</v>
      </c>
      <c r="E1489" s="2">
        <v>572161</v>
      </c>
      <c r="F1489" s="2">
        <v>108710.59</v>
      </c>
      <c r="G1489" s="2">
        <v>0</v>
      </c>
      <c r="H1489" s="4">
        <v>0</v>
      </c>
      <c r="I1489" s="4">
        <v>0</v>
      </c>
      <c r="J1489" s="4">
        <v>0</v>
      </c>
      <c r="K1489" s="4">
        <v>680871.59</v>
      </c>
      <c r="L1489" s="4" t="s">
        <v>6033</v>
      </c>
      <c r="M1489" s="4" t="s">
        <v>6034</v>
      </c>
      <c r="N1489" s="4" t="s">
        <v>20</v>
      </c>
      <c r="O1489" s="4" t="s">
        <v>2863</v>
      </c>
      <c r="P1489" s="4" t="s">
        <v>2863</v>
      </c>
      <c r="Q1489" s="4" t="s">
        <v>100</v>
      </c>
      <c r="R1489" s="9">
        <f t="shared" si="23"/>
        <v>1.139740341662057E-5</v>
      </c>
    </row>
    <row r="1490" spans="1:18" hidden="1" x14ac:dyDescent="0.2">
      <c r="A1490" s="4">
        <v>757</v>
      </c>
      <c r="B1490" s="2">
        <v>566646</v>
      </c>
      <c r="C1490" s="2">
        <v>0</v>
      </c>
      <c r="D1490" s="4" t="s">
        <v>6038</v>
      </c>
      <c r="E1490" s="2">
        <v>566646</v>
      </c>
      <c r="F1490" s="2">
        <v>107662.74</v>
      </c>
      <c r="G1490" s="2">
        <v>0</v>
      </c>
      <c r="H1490" s="4">
        <v>0</v>
      </c>
      <c r="I1490" s="4">
        <v>0</v>
      </c>
      <c r="J1490" s="4">
        <v>0</v>
      </c>
      <c r="K1490" s="4">
        <v>674308.74</v>
      </c>
      <c r="L1490" s="4" t="s">
        <v>6036</v>
      </c>
      <c r="M1490" s="4" t="s">
        <v>6037</v>
      </c>
      <c r="N1490" s="4" t="s">
        <v>20</v>
      </c>
      <c r="O1490" s="4" t="s">
        <v>1043</v>
      </c>
      <c r="P1490" s="4" t="s">
        <v>1043</v>
      </c>
      <c r="Q1490" s="4" t="s">
        <v>100</v>
      </c>
      <c r="R1490" s="9">
        <f t="shared" si="23"/>
        <v>1.1287545037872872E-5</v>
      </c>
    </row>
    <row r="1491" spans="1:18" hidden="1" x14ac:dyDescent="0.2">
      <c r="A1491" s="4">
        <v>81</v>
      </c>
      <c r="B1491" s="2">
        <v>561252</v>
      </c>
      <c r="C1491" s="2">
        <v>0</v>
      </c>
      <c r="D1491" s="4" t="s">
        <v>4658</v>
      </c>
      <c r="E1491" s="2">
        <v>561252</v>
      </c>
      <c r="F1491" s="2">
        <v>106637.88</v>
      </c>
      <c r="G1491" s="2">
        <v>0</v>
      </c>
      <c r="H1491" s="4">
        <v>0</v>
      </c>
      <c r="I1491" s="4">
        <v>0</v>
      </c>
      <c r="J1491" s="4">
        <v>0</v>
      </c>
      <c r="K1491" s="4">
        <v>667889.88</v>
      </c>
      <c r="L1491" s="4" t="s">
        <v>4656</v>
      </c>
      <c r="M1491" s="4" t="s">
        <v>4657</v>
      </c>
      <c r="N1491" s="4" t="s">
        <v>20</v>
      </c>
      <c r="O1491" s="4" t="s">
        <v>316</v>
      </c>
      <c r="P1491" s="4" t="s">
        <v>316</v>
      </c>
      <c r="Q1491" s="4" t="s">
        <v>100</v>
      </c>
      <c r="R1491" s="9">
        <f t="shared" si="23"/>
        <v>1.1180096969882829E-5</v>
      </c>
    </row>
    <row r="1492" spans="1:18" hidden="1" x14ac:dyDescent="0.2">
      <c r="A1492" s="4">
        <v>1882</v>
      </c>
      <c r="B1492" s="2">
        <v>558983</v>
      </c>
      <c r="C1492" s="2">
        <v>0</v>
      </c>
      <c r="D1492" s="4" t="s">
        <v>4506</v>
      </c>
      <c r="E1492" s="2">
        <v>558983</v>
      </c>
      <c r="F1492" s="2">
        <v>106206.77</v>
      </c>
      <c r="G1492" s="2">
        <v>0</v>
      </c>
      <c r="H1492" s="4">
        <v>0</v>
      </c>
      <c r="I1492" s="4">
        <v>0</v>
      </c>
      <c r="J1492" s="4">
        <v>0</v>
      </c>
      <c r="K1492" s="4">
        <v>665189.77</v>
      </c>
      <c r="L1492" s="4" t="s">
        <v>4504</v>
      </c>
      <c r="M1492" s="4" t="s">
        <v>4505</v>
      </c>
      <c r="N1492" s="4" t="s">
        <v>20</v>
      </c>
      <c r="O1492" s="4" t="s">
        <v>1549</v>
      </c>
      <c r="P1492" s="4" t="s">
        <v>1549</v>
      </c>
      <c r="Q1492" s="4" t="s">
        <v>100</v>
      </c>
      <c r="R1492" s="9">
        <f t="shared" si="23"/>
        <v>1.1134898663195878E-5</v>
      </c>
    </row>
    <row r="1493" spans="1:18" hidden="1" x14ac:dyDescent="0.2">
      <c r="A1493" s="4">
        <v>605</v>
      </c>
      <c r="B1493" s="2">
        <v>558260</v>
      </c>
      <c r="C1493" s="2">
        <v>0</v>
      </c>
      <c r="D1493" s="4" t="s">
        <v>4757</v>
      </c>
      <c r="E1493" s="2">
        <v>558260</v>
      </c>
      <c r="F1493" s="2">
        <v>106069.4</v>
      </c>
      <c r="G1493" s="2">
        <v>0</v>
      </c>
      <c r="H1493" s="4">
        <v>0</v>
      </c>
      <c r="I1493" s="4">
        <v>0</v>
      </c>
      <c r="J1493" s="4">
        <v>0</v>
      </c>
      <c r="K1493" s="4">
        <v>664329.4</v>
      </c>
      <c r="L1493" s="4" t="s">
        <v>4755</v>
      </c>
      <c r="M1493" s="4" t="s">
        <v>4756</v>
      </c>
      <c r="N1493" s="4" t="s">
        <v>464</v>
      </c>
      <c r="O1493" s="4" t="s">
        <v>105</v>
      </c>
      <c r="P1493" s="4" t="s">
        <v>105</v>
      </c>
      <c r="Q1493" s="4" t="s">
        <v>100</v>
      </c>
      <c r="R1493" s="9">
        <f t="shared" si="23"/>
        <v>1.1120496558420794E-5</v>
      </c>
    </row>
    <row r="1494" spans="1:18" hidden="1" x14ac:dyDescent="0.2">
      <c r="A1494" s="4">
        <v>439</v>
      </c>
      <c r="B1494" s="2">
        <v>554706</v>
      </c>
      <c r="C1494" s="2">
        <v>0</v>
      </c>
      <c r="D1494" s="4" t="s">
        <v>6026</v>
      </c>
      <c r="E1494" s="2">
        <v>554706</v>
      </c>
      <c r="F1494" s="2">
        <v>105394.14</v>
      </c>
      <c r="G1494" s="2">
        <v>0</v>
      </c>
      <c r="H1494" s="4">
        <v>0</v>
      </c>
      <c r="I1494" s="4">
        <v>0</v>
      </c>
      <c r="J1494" s="4">
        <v>0</v>
      </c>
      <c r="K1494" s="4">
        <v>660100.14</v>
      </c>
      <c r="L1494" s="4" t="s">
        <v>6024</v>
      </c>
      <c r="M1494" s="4" t="s">
        <v>6025</v>
      </c>
      <c r="N1494" s="4" t="s">
        <v>20</v>
      </c>
      <c r="O1494" s="4" t="s">
        <v>2863</v>
      </c>
      <c r="P1494" s="4" t="s">
        <v>316</v>
      </c>
      <c r="Q1494" s="4" t="s">
        <v>100</v>
      </c>
      <c r="R1494" s="9">
        <f t="shared" si="23"/>
        <v>1.1049701149886012E-5</v>
      </c>
    </row>
    <row r="1495" spans="1:18" hidden="1" x14ac:dyDescent="0.2">
      <c r="A1495" s="4">
        <v>1344</v>
      </c>
      <c r="B1495" s="2">
        <v>544760</v>
      </c>
      <c r="C1495" s="2">
        <v>0</v>
      </c>
      <c r="D1495" s="4" t="s">
        <v>6041</v>
      </c>
      <c r="E1495" s="2">
        <v>544760</v>
      </c>
      <c r="F1495" s="2">
        <v>103504.4</v>
      </c>
      <c r="G1495" s="2">
        <v>0</v>
      </c>
      <c r="H1495" s="4">
        <v>0</v>
      </c>
      <c r="I1495" s="4">
        <v>0</v>
      </c>
      <c r="J1495" s="4">
        <v>0</v>
      </c>
      <c r="K1495" s="4">
        <v>648264.4</v>
      </c>
      <c r="L1495" s="4" t="s">
        <v>6039</v>
      </c>
      <c r="M1495" s="4" t="s">
        <v>6040</v>
      </c>
      <c r="N1495" s="4" t="s">
        <v>20</v>
      </c>
      <c r="O1495" s="4" t="s">
        <v>257</v>
      </c>
      <c r="P1495" s="4" t="s">
        <v>257</v>
      </c>
      <c r="Q1495" s="4" t="s">
        <v>100</v>
      </c>
      <c r="R1495" s="9">
        <f t="shared" si="23"/>
        <v>1.085157758959143E-5</v>
      </c>
    </row>
    <row r="1496" spans="1:18" hidden="1" x14ac:dyDescent="0.2">
      <c r="A1496" s="4">
        <v>154</v>
      </c>
      <c r="B1496" s="2">
        <v>539805</v>
      </c>
      <c r="C1496" s="2">
        <v>0</v>
      </c>
      <c r="D1496" s="4" t="s">
        <v>6044</v>
      </c>
      <c r="E1496" s="2">
        <v>539805</v>
      </c>
      <c r="F1496" s="2">
        <v>102562.95</v>
      </c>
      <c r="G1496" s="2">
        <v>0</v>
      </c>
      <c r="H1496" s="4">
        <v>0</v>
      </c>
      <c r="I1496" s="4">
        <v>0</v>
      </c>
      <c r="J1496" s="4">
        <v>0</v>
      </c>
      <c r="K1496" s="4">
        <v>642367.94999999995</v>
      </c>
      <c r="L1496" s="4" t="s">
        <v>6042</v>
      </c>
      <c r="M1496" s="4" t="s">
        <v>6043</v>
      </c>
      <c r="N1496" s="4" t="s">
        <v>20</v>
      </c>
      <c r="O1496" s="4" t="s">
        <v>3938</v>
      </c>
      <c r="P1496" s="4" t="s">
        <v>3938</v>
      </c>
      <c r="Q1496" s="4" t="s">
        <v>1378</v>
      </c>
      <c r="R1496" s="9">
        <f t="shared" si="23"/>
        <v>1.0752874368069245E-5</v>
      </c>
    </row>
    <row r="1497" spans="1:18" hidden="1" x14ac:dyDescent="0.2">
      <c r="A1497" s="4">
        <v>789</v>
      </c>
      <c r="B1497" s="2">
        <v>539264</v>
      </c>
      <c r="C1497" s="2">
        <v>0</v>
      </c>
      <c r="D1497" s="4" t="s">
        <v>6047</v>
      </c>
      <c r="E1497" s="2">
        <v>539264</v>
      </c>
      <c r="F1497" s="2">
        <v>98660.160000000003</v>
      </c>
      <c r="G1497" s="2">
        <v>0</v>
      </c>
      <c r="H1497" s="4">
        <v>0</v>
      </c>
      <c r="I1497" s="4">
        <v>0</v>
      </c>
      <c r="J1497" s="4">
        <v>0</v>
      </c>
      <c r="K1497" s="4">
        <v>637924.16</v>
      </c>
      <c r="L1497" s="4" t="s">
        <v>6045</v>
      </c>
      <c r="M1497" s="4" t="s">
        <v>6046</v>
      </c>
      <c r="N1497" s="4" t="s">
        <v>20</v>
      </c>
      <c r="O1497" s="4" t="s">
        <v>900</v>
      </c>
      <c r="P1497" s="4" t="s">
        <v>900</v>
      </c>
      <c r="Q1497" s="4" t="s">
        <v>144</v>
      </c>
      <c r="R1497" s="9">
        <f t="shared" si="23"/>
        <v>1.0742097689392454E-5</v>
      </c>
    </row>
    <row r="1498" spans="1:18" hidden="1" x14ac:dyDescent="0.2">
      <c r="A1498" s="4">
        <v>97</v>
      </c>
      <c r="B1498" s="2">
        <v>538956</v>
      </c>
      <c r="C1498" s="2">
        <v>0</v>
      </c>
      <c r="D1498" s="4" t="s">
        <v>4117</v>
      </c>
      <c r="E1498" s="2">
        <v>538956</v>
      </c>
      <c r="F1498" s="2">
        <v>102401.64</v>
      </c>
      <c r="G1498" s="2">
        <v>0</v>
      </c>
      <c r="H1498" s="4">
        <v>0</v>
      </c>
      <c r="I1498" s="4">
        <v>0</v>
      </c>
      <c r="J1498" s="4">
        <v>0</v>
      </c>
      <c r="K1498" s="4">
        <v>641357.64</v>
      </c>
      <c r="L1498" s="4" t="s">
        <v>4115</v>
      </c>
      <c r="M1498" s="4" t="s">
        <v>4116</v>
      </c>
      <c r="N1498" s="4" t="s">
        <v>20</v>
      </c>
      <c r="O1498" s="4" t="s">
        <v>2863</v>
      </c>
      <c r="P1498" s="4" t="s">
        <v>2863</v>
      </c>
      <c r="Q1498" s="4" t="s">
        <v>100</v>
      </c>
      <c r="R1498" s="9">
        <f t="shared" si="23"/>
        <v>1.073596235291842E-5</v>
      </c>
    </row>
    <row r="1499" spans="1:18" hidden="1" x14ac:dyDescent="0.2">
      <c r="A1499" s="4">
        <v>335</v>
      </c>
      <c r="B1499" s="2">
        <v>538613</v>
      </c>
      <c r="C1499" s="2">
        <v>0</v>
      </c>
      <c r="D1499" s="4" t="s">
        <v>6050</v>
      </c>
      <c r="E1499" s="2">
        <v>538613</v>
      </c>
      <c r="F1499" s="2">
        <v>101386.47</v>
      </c>
      <c r="G1499" s="2">
        <v>0</v>
      </c>
      <c r="H1499" s="4">
        <v>0</v>
      </c>
      <c r="I1499" s="4">
        <v>0</v>
      </c>
      <c r="J1499" s="4">
        <v>0</v>
      </c>
      <c r="K1499" s="4">
        <v>639999.47</v>
      </c>
      <c r="L1499" s="4" t="s">
        <v>6048</v>
      </c>
      <c r="M1499" s="4" t="s">
        <v>6049</v>
      </c>
      <c r="N1499" s="4" t="s">
        <v>20</v>
      </c>
      <c r="O1499" s="4" t="s">
        <v>900</v>
      </c>
      <c r="P1499" s="4" t="s">
        <v>900</v>
      </c>
      <c r="Q1499" s="4" t="s">
        <v>144</v>
      </c>
      <c r="R1499" s="9">
        <f t="shared" si="23"/>
        <v>1.0729129819117794E-5</v>
      </c>
    </row>
    <row r="1500" spans="1:18" hidden="1" x14ac:dyDescent="0.2">
      <c r="A1500" s="4">
        <v>1526</v>
      </c>
      <c r="B1500" s="2">
        <v>537096</v>
      </c>
      <c r="C1500" s="2">
        <v>0</v>
      </c>
      <c r="D1500" s="4" t="s">
        <v>4114</v>
      </c>
      <c r="E1500" s="2">
        <v>537096</v>
      </c>
      <c r="F1500" s="2">
        <v>102048.24</v>
      </c>
      <c r="G1500" s="2">
        <v>0</v>
      </c>
      <c r="H1500" s="4">
        <v>0</v>
      </c>
      <c r="I1500" s="4">
        <v>0</v>
      </c>
      <c r="J1500" s="4">
        <v>0</v>
      </c>
      <c r="K1500" s="4">
        <v>639144.24</v>
      </c>
      <c r="L1500" s="4" t="s">
        <v>4112</v>
      </c>
      <c r="M1500" s="4" t="s">
        <v>4113</v>
      </c>
      <c r="N1500" s="4" t="s">
        <v>20</v>
      </c>
      <c r="O1500" s="4" t="s">
        <v>692</v>
      </c>
      <c r="P1500" s="4" t="s">
        <v>692</v>
      </c>
      <c r="Q1500" s="4" t="s">
        <v>100</v>
      </c>
      <c r="R1500" s="9">
        <f t="shared" si="23"/>
        <v>1.069891129499082E-5</v>
      </c>
    </row>
    <row r="1501" spans="1:18" hidden="1" x14ac:dyDescent="0.2">
      <c r="A1501" s="4">
        <v>1736</v>
      </c>
      <c r="B1501" s="2">
        <v>527660</v>
      </c>
      <c r="C1501" s="2">
        <v>0</v>
      </c>
      <c r="D1501" s="4" t="s">
        <v>4796</v>
      </c>
      <c r="E1501" s="2">
        <v>527660</v>
      </c>
      <c r="F1501" s="2">
        <v>100255.4</v>
      </c>
      <c r="G1501" s="2">
        <v>0</v>
      </c>
      <c r="H1501" s="4">
        <v>0</v>
      </c>
      <c r="I1501" s="4">
        <v>0</v>
      </c>
      <c r="J1501" s="4">
        <v>0</v>
      </c>
      <c r="K1501" s="4">
        <v>627915.4</v>
      </c>
      <c r="L1501" s="4" t="s">
        <v>4794</v>
      </c>
      <c r="M1501" s="4" t="s">
        <v>4795</v>
      </c>
      <c r="N1501" s="4" t="s">
        <v>1463</v>
      </c>
      <c r="O1501" s="4" t="s">
        <v>105</v>
      </c>
      <c r="P1501" s="4" t="s">
        <v>105</v>
      </c>
      <c r="Q1501" s="4" t="s">
        <v>100</v>
      </c>
      <c r="R1501" s="9">
        <f t="shared" si="23"/>
        <v>1.0510946895740903E-5</v>
      </c>
    </row>
    <row r="1502" spans="1:18" hidden="1" x14ac:dyDescent="0.2">
      <c r="A1502" s="4">
        <v>856</v>
      </c>
      <c r="B1502" s="2">
        <v>526858</v>
      </c>
      <c r="C1502" s="2">
        <v>0</v>
      </c>
      <c r="D1502" s="4" t="s">
        <v>6053</v>
      </c>
      <c r="E1502" s="2">
        <v>526858</v>
      </c>
      <c r="F1502" s="2">
        <v>100103.02</v>
      </c>
      <c r="G1502" s="2">
        <v>0</v>
      </c>
      <c r="H1502" s="4">
        <v>0</v>
      </c>
      <c r="I1502" s="4">
        <v>0</v>
      </c>
      <c r="J1502" s="4">
        <v>0</v>
      </c>
      <c r="K1502" s="4">
        <v>626961.02</v>
      </c>
      <c r="L1502" s="4" t="s">
        <v>6051</v>
      </c>
      <c r="M1502" s="4" t="s">
        <v>6052</v>
      </c>
      <c r="N1502" s="4" t="s">
        <v>6054</v>
      </c>
      <c r="O1502" s="4" t="s">
        <v>67</v>
      </c>
      <c r="P1502" s="4" t="s">
        <v>67</v>
      </c>
      <c r="Q1502" s="4" t="s">
        <v>100</v>
      </c>
      <c r="R1502" s="9">
        <f t="shared" si="23"/>
        <v>1.0494971117000076E-5</v>
      </c>
    </row>
    <row r="1503" spans="1:18" hidden="1" x14ac:dyDescent="0.2">
      <c r="A1503" s="4">
        <v>125</v>
      </c>
      <c r="B1503" s="2">
        <v>520910</v>
      </c>
      <c r="C1503" s="2">
        <v>0</v>
      </c>
      <c r="D1503" s="4" t="s">
        <v>6057</v>
      </c>
      <c r="E1503" s="2">
        <v>520910</v>
      </c>
      <c r="F1503" s="2">
        <v>98972.9</v>
      </c>
      <c r="G1503" s="2">
        <v>0</v>
      </c>
      <c r="H1503" s="4">
        <v>0</v>
      </c>
      <c r="I1503" s="4">
        <v>0</v>
      </c>
      <c r="J1503" s="4">
        <v>0</v>
      </c>
      <c r="K1503" s="4">
        <v>619882.9</v>
      </c>
      <c r="L1503" s="4" t="s">
        <v>6055</v>
      </c>
      <c r="M1503" s="4" t="s">
        <v>6056</v>
      </c>
      <c r="N1503" s="4" t="s">
        <v>20</v>
      </c>
      <c r="O1503" s="4" t="s">
        <v>257</v>
      </c>
      <c r="P1503" s="4" t="s">
        <v>257</v>
      </c>
      <c r="Q1503" s="4" t="s">
        <v>100</v>
      </c>
      <c r="R1503" s="9">
        <f t="shared" si="23"/>
        <v>1.037648741132622E-5</v>
      </c>
    </row>
    <row r="1504" spans="1:18" hidden="1" x14ac:dyDescent="0.2">
      <c r="A1504" s="4">
        <v>1905</v>
      </c>
      <c r="B1504" s="2">
        <v>514448</v>
      </c>
      <c r="C1504" s="2">
        <v>0</v>
      </c>
      <c r="D1504" s="4" t="s">
        <v>6059</v>
      </c>
      <c r="E1504" s="2">
        <v>514448</v>
      </c>
      <c r="F1504" s="2">
        <v>97745.12</v>
      </c>
      <c r="G1504" s="2">
        <v>0</v>
      </c>
      <c r="H1504" s="4">
        <v>0</v>
      </c>
      <c r="I1504" s="4">
        <v>0</v>
      </c>
      <c r="J1504" s="4">
        <v>0</v>
      </c>
      <c r="K1504" s="4">
        <v>612193.12</v>
      </c>
      <c r="L1504" s="4" t="s">
        <v>6058</v>
      </c>
      <c r="M1504" s="4" t="s">
        <v>3179</v>
      </c>
      <c r="N1504" s="4" t="s">
        <v>368</v>
      </c>
      <c r="O1504" s="4" t="s">
        <v>89</v>
      </c>
      <c r="P1504" s="4" t="s">
        <v>89</v>
      </c>
      <c r="Q1504" s="4" t="s">
        <v>100</v>
      </c>
      <c r="R1504" s="9">
        <f t="shared" si="23"/>
        <v>1.0247764864913232E-5</v>
      </c>
    </row>
    <row r="1505" spans="1:18" hidden="1" x14ac:dyDescent="0.2">
      <c r="A1505" s="4">
        <v>1311</v>
      </c>
      <c r="B1505" s="2">
        <v>511515</v>
      </c>
      <c r="C1505" s="2">
        <v>0</v>
      </c>
      <c r="D1505" s="4" t="s">
        <v>1534</v>
      </c>
      <c r="E1505" s="2">
        <v>511515</v>
      </c>
      <c r="F1505" s="2">
        <v>97187.85</v>
      </c>
      <c r="G1505" s="2">
        <v>12787.88</v>
      </c>
      <c r="H1505" s="4">
        <v>0</v>
      </c>
      <c r="I1505" s="4">
        <v>0</v>
      </c>
      <c r="J1505" s="4">
        <v>12787.88</v>
      </c>
      <c r="K1505" s="4">
        <v>595914.97</v>
      </c>
      <c r="L1505" s="4" t="s">
        <v>1533</v>
      </c>
      <c r="M1505" s="4" t="s">
        <v>548</v>
      </c>
      <c r="N1505" s="4" t="s">
        <v>186</v>
      </c>
      <c r="O1505" s="4" t="s">
        <v>59</v>
      </c>
      <c r="P1505" s="4" t="s">
        <v>59</v>
      </c>
      <c r="Q1505" s="4" t="s">
        <v>28</v>
      </c>
      <c r="R1505" s="9">
        <f t="shared" si="23"/>
        <v>1.01893397289446E-5</v>
      </c>
    </row>
    <row r="1506" spans="1:18" hidden="1" x14ac:dyDescent="0.2">
      <c r="A1506" s="4">
        <v>1383</v>
      </c>
      <c r="B1506" s="2">
        <v>510787</v>
      </c>
      <c r="C1506" s="2">
        <v>0</v>
      </c>
      <c r="D1506" s="4" t="s">
        <v>4026</v>
      </c>
      <c r="E1506" s="2">
        <v>510787</v>
      </c>
      <c r="F1506" s="2">
        <v>97049.53</v>
      </c>
      <c r="G1506" s="2">
        <v>0</v>
      </c>
      <c r="H1506" s="4">
        <v>0</v>
      </c>
      <c r="I1506" s="4">
        <v>0</v>
      </c>
      <c r="J1506" s="4">
        <v>0</v>
      </c>
      <c r="K1506" s="4">
        <v>607836.53</v>
      </c>
      <c r="L1506" s="4" t="s">
        <v>4024</v>
      </c>
      <c r="M1506" s="4" t="s">
        <v>4025</v>
      </c>
      <c r="N1506" s="4" t="s">
        <v>20</v>
      </c>
      <c r="O1506" s="4" t="s">
        <v>1562</v>
      </c>
      <c r="P1506" s="4" t="s">
        <v>1562</v>
      </c>
      <c r="Q1506" s="4" t="s">
        <v>100</v>
      </c>
      <c r="R1506" s="9">
        <f t="shared" si="23"/>
        <v>1.0174838024551431E-5</v>
      </c>
    </row>
    <row r="1507" spans="1:18" hidden="1" x14ac:dyDescent="0.2">
      <c r="A1507" s="4">
        <v>480</v>
      </c>
      <c r="B1507" s="2">
        <v>508028</v>
      </c>
      <c r="C1507" s="2">
        <v>0</v>
      </c>
      <c r="D1507" s="4" t="s">
        <v>4857</v>
      </c>
      <c r="E1507" s="2">
        <v>508028</v>
      </c>
      <c r="F1507" s="2">
        <v>96525.32</v>
      </c>
      <c r="G1507" s="2">
        <v>0</v>
      </c>
      <c r="H1507" s="4">
        <v>0</v>
      </c>
      <c r="I1507" s="4">
        <v>0</v>
      </c>
      <c r="J1507" s="4">
        <v>0</v>
      </c>
      <c r="K1507" s="4">
        <v>604553.31999999995</v>
      </c>
      <c r="L1507" s="4" t="s">
        <v>4855</v>
      </c>
      <c r="M1507" s="4" t="s">
        <v>4856</v>
      </c>
      <c r="N1507" s="4" t="s">
        <v>20</v>
      </c>
      <c r="O1507" s="4" t="s">
        <v>261</v>
      </c>
      <c r="P1507" s="4" t="s">
        <v>261</v>
      </c>
      <c r="Q1507" s="4" t="s">
        <v>100</v>
      </c>
      <c r="R1507" s="9">
        <f t="shared" si="23"/>
        <v>1.0119878955292156E-5</v>
      </c>
    </row>
    <row r="1508" spans="1:18" hidden="1" x14ac:dyDescent="0.2">
      <c r="A1508" s="4">
        <v>1482</v>
      </c>
      <c r="B1508" s="2">
        <v>507248</v>
      </c>
      <c r="C1508" s="2">
        <v>0</v>
      </c>
      <c r="D1508" s="4" t="s">
        <v>4955</v>
      </c>
      <c r="E1508" s="2">
        <v>507248</v>
      </c>
      <c r="F1508" s="2">
        <v>96377.12</v>
      </c>
      <c r="G1508" s="2">
        <v>0</v>
      </c>
      <c r="H1508" s="4">
        <v>0</v>
      </c>
      <c r="I1508" s="4">
        <v>0</v>
      </c>
      <c r="J1508" s="4">
        <v>0</v>
      </c>
      <c r="K1508" s="4">
        <v>603625.12</v>
      </c>
      <c r="L1508" s="4" t="s">
        <v>4953</v>
      </c>
      <c r="M1508" s="4" t="s">
        <v>4954</v>
      </c>
      <c r="N1508" s="4" t="s">
        <v>20</v>
      </c>
      <c r="O1508" s="4" t="s">
        <v>257</v>
      </c>
      <c r="P1508" s="4" t="s">
        <v>257</v>
      </c>
      <c r="Q1508" s="4" t="s">
        <v>100</v>
      </c>
      <c r="R1508" s="9">
        <f t="shared" si="23"/>
        <v>1.0104341414870905E-5</v>
      </c>
    </row>
    <row r="1509" spans="1:18" hidden="1" x14ac:dyDescent="0.2">
      <c r="A1509" s="4">
        <v>1989</v>
      </c>
      <c r="B1509" s="2">
        <v>504918</v>
      </c>
      <c r="C1509" s="2">
        <v>0</v>
      </c>
      <c r="D1509" s="4" t="s">
        <v>4940</v>
      </c>
      <c r="E1509" s="2">
        <v>504918</v>
      </c>
      <c r="F1509" s="2">
        <v>95934.42</v>
      </c>
      <c r="G1509" s="2">
        <v>0</v>
      </c>
      <c r="H1509" s="4">
        <v>0</v>
      </c>
      <c r="I1509" s="4">
        <v>0</v>
      </c>
      <c r="J1509" s="4">
        <v>0</v>
      </c>
      <c r="K1509" s="4">
        <v>600852.42000000004</v>
      </c>
      <c r="L1509" s="4" t="s">
        <v>4938</v>
      </c>
      <c r="M1509" s="4" t="s">
        <v>4939</v>
      </c>
      <c r="N1509" s="4" t="s">
        <v>20</v>
      </c>
      <c r="O1509" s="4" t="s">
        <v>316</v>
      </c>
      <c r="P1509" s="4" t="s">
        <v>316</v>
      </c>
      <c r="Q1509" s="4" t="s">
        <v>100</v>
      </c>
      <c r="R1509" s="9">
        <f t="shared" si="23"/>
        <v>1.0057927992843318E-5</v>
      </c>
    </row>
    <row r="1510" spans="1:18" hidden="1" x14ac:dyDescent="0.2">
      <c r="A1510" s="4">
        <v>775</v>
      </c>
      <c r="B1510" s="2">
        <v>504116</v>
      </c>
      <c r="C1510" s="2">
        <v>0</v>
      </c>
      <c r="D1510" s="4" t="s">
        <v>3491</v>
      </c>
      <c r="E1510" s="2">
        <v>504116</v>
      </c>
      <c r="F1510" s="2">
        <v>95782.04</v>
      </c>
      <c r="G1510" s="2">
        <v>0</v>
      </c>
      <c r="H1510" s="4">
        <v>0</v>
      </c>
      <c r="I1510" s="4">
        <v>0</v>
      </c>
      <c r="J1510" s="4">
        <v>0</v>
      </c>
      <c r="K1510" s="4">
        <v>599898.04</v>
      </c>
      <c r="L1510" s="4" t="s">
        <v>4212</v>
      </c>
      <c r="M1510" s="4" t="s">
        <v>3490</v>
      </c>
      <c r="N1510" s="4" t="s">
        <v>20</v>
      </c>
      <c r="O1510" s="4" t="s">
        <v>2863</v>
      </c>
      <c r="P1510" s="4" t="s">
        <v>2863</v>
      </c>
      <c r="Q1510" s="4" t="s">
        <v>100</v>
      </c>
      <c r="R1510" s="9">
        <f t="shared" si="23"/>
        <v>1.0041952214102492E-5</v>
      </c>
    </row>
    <row r="1511" spans="1:18" hidden="1" x14ac:dyDescent="0.2">
      <c r="A1511" s="4">
        <v>155</v>
      </c>
      <c r="B1511" s="2">
        <v>498610</v>
      </c>
      <c r="C1511" s="2">
        <v>0</v>
      </c>
      <c r="D1511" s="4" t="s">
        <v>4645</v>
      </c>
      <c r="E1511" s="2">
        <v>498610</v>
      </c>
      <c r="F1511" s="2">
        <v>92455.9</v>
      </c>
      <c r="G1511" s="2">
        <v>0</v>
      </c>
      <c r="H1511" s="4">
        <v>0</v>
      </c>
      <c r="I1511" s="4">
        <v>0</v>
      </c>
      <c r="J1511" s="4">
        <v>0</v>
      </c>
      <c r="K1511" s="4">
        <v>591065.9</v>
      </c>
      <c r="L1511" s="4" t="s">
        <v>4643</v>
      </c>
      <c r="M1511" s="4" t="s">
        <v>4644</v>
      </c>
      <c r="N1511" s="4" t="s">
        <v>20</v>
      </c>
      <c r="O1511" s="4" t="s">
        <v>2863</v>
      </c>
      <c r="P1511" s="4" t="s">
        <v>2863</v>
      </c>
      <c r="Q1511" s="4" t="s">
        <v>100</v>
      </c>
      <c r="R1511" s="9">
        <f t="shared" si="23"/>
        <v>9.9322731146673453E-6</v>
      </c>
    </row>
    <row r="1512" spans="1:18" hidden="1" x14ac:dyDescent="0.2">
      <c r="A1512" s="4">
        <v>712</v>
      </c>
      <c r="B1512" s="2">
        <v>493932</v>
      </c>
      <c r="C1512" s="2">
        <v>0</v>
      </c>
      <c r="D1512" s="4" t="s">
        <v>4485</v>
      </c>
      <c r="E1512" s="2">
        <v>493932</v>
      </c>
      <c r="F1512" s="2">
        <v>93847.08</v>
      </c>
      <c r="G1512" s="2">
        <v>0</v>
      </c>
      <c r="H1512" s="4">
        <v>0</v>
      </c>
      <c r="I1512" s="4">
        <v>0</v>
      </c>
      <c r="J1512" s="4">
        <v>0</v>
      </c>
      <c r="K1512" s="4">
        <v>587779.07999999996</v>
      </c>
      <c r="L1512" s="4" t="s">
        <v>4483</v>
      </c>
      <c r="M1512" s="4" t="s">
        <v>4484</v>
      </c>
      <c r="N1512" s="4" t="s">
        <v>20</v>
      </c>
      <c r="O1512" s="4" t="s">
        <v>71</v>
      </c>
      <c r="P1512" s="4" t="s">
        <v>71</v>
      </c>
      <c r="Q1512" s="4" t="s">
        <v>100</v>
      </c>
      <c r="R1512" s="9">
        <f t="shared" si="23"/>
        <v>9.8390877119870657E-6</v>
      </c>
    </row>
    <row r="1513" spans="1:18" hidden="1" x14ac:dyDescent="0.2">
      <c r="A1513" s="4">
        <v>1830</v>
      </c>
      <c r="B1513" s="2">
        <v>485306</v>
      </c>
      <c r="C1513" s="2">
        <v>0</v>
      </c>
      <c r="D1513" s="4" t="s">
        <v>6062</v>
      </c>
      <c r="E1513" s="2">
        <v>485306</v>
      </c>
      <c r="F1513" s="2">
        <v>92208.14</v>
      </c>
      <c r="G1513" s="2">
        <v>0</v>
      </c>
      <c r="H1513" s="4">
        <v>0</v>
      </c>
      <c r="I1513" s="4">
        <v>0</v>
      </c>
      <c r="J1513" s="4">
        <v>0</v>
      </c>
      <c r="K1513" s="4">
        <v>577514.14</v>
      </c>
      <c r="L1513" s="4" t="s">
        <v>6060</v>
      </c>
      <c r="M1513" s="4" t="s">
        <v>6061</v>
      </c>
      <c r="N1513" s="4" t="s">
        <v>20</v>
      </c>
      <c r="O1513" s="4" t="s">
        <v>316</v>
      </c>
      <c r="P1513" s="4" t="s">
        <v>316</v>
      </c>
      <c r="Q1513" s="4" t="s">
        <v>100</v>
      </c>
      <c r="R1513" s="9">
        <f t="shared" si="23"/>
        <v>9.6672584508669116E-6</v>
      </c>
    </row>
    <row r="1514" spans="1:18" hidden="1" x14ac:dyDescent="0.2">
      <c r="A1514" s="4">
        <v>635</v>
      </c>
      <c r="B1514" s="2">
        <v>484962</v>
      </c>
      <c r="C1514" s="2">
        <v>0</v>
      </c>
      <c r="D1514" s="4" t="s">
        <v>4823</v>
      </c>
      <c r="E1514" s="2">
        <v>484962</v>
      </c>
      <c r="F1514" s="2">
        <v>92142.78</v>
      </c>
      <c r="G1514" s="2">
        <v>0</v>
      </c>
      <c r="H1514" s="4">
        <v>0</v>
      </c>
      <c r="I1514" s="4">
        <v>0</v>
      </c>
      <c r="J1514" s="4">
        <v>0</v>
      </c>
      <c r="K1514" s="4">
        <v>577104.78</v>
      </c>
      <c r="L1514" s="4" t="s">
        <v>4821</v>
      </c>
      <c r="M1514" s="4" t="s">
        <v>4822</v>
      </c>
      <c r="N1514" s="4" t="s">
        <v>20</v>
      </c>
      <c r="O1514" s="4" t="s">
        <v>257</v>
      </c>
      <c r="P1514" s="4" t="s">
        <v>257</v>
      </c>
      <c r="Q1514" s="4" t="s">
        <v>100</v>
      </c>
      <c r="R1514" s="9">
        <f t="shared" si="23"/>
        <v>9.6604059971426661E-6</v>
      </c>
    </row>
    <row r="1515" spans="1:18" hidden="1" x14ac:dyDescent="0.2">
      <c r="A1515" s="4">
        <v>1723</v>
      </c>
      <c r="B1515" s="2">
        <v>465897</v>
      </c>
      <c r="C1515" s="2">
        <v>0</v>
      </c>
      <c r="D1515" s="4" t="s">
        <v>6065</v>
      </c>
      <c r="E1515" s="2">
        <v>465897</v>
      </c>
      <c r="F1515" s="2">
        <v>88520.43</v>
      </c>
      <c r="G1515" s="2">
        <v>0</v>
      </c>
      <c r="H1515" s="4">
        <v>0</v>
      </c>
      <c r="I1515" s="4">
        <v>0</v>
      </c>
      <c r="J1515" s="4">
        <v>0</v>
      </c>
      <c r="K1515" s="4">
        <v>554417.43000000005</v>
      </c>
      <c r="L1515" s="4" t="s">
        <v>6063</v>
      </c>
      <c r="M1515" s="4" t="s">
        <v>6064</v>
      </c>
      <c r="N1515" s="4" t="s">
        <v>20</v>
      </c>
      <c r="O1515" s="4" t="s">
        <v>316</v>
      </c>
      <c r="P1515" s="4" t="s">
        <v>316</v>
      </c>
      <c r="Q1515" s="4" t="s">
        <v>100</v>
      </c>
      <c r="R1515" s="9">
        <f t="shared" si="23"/>
        <v>9.280632653384754E-6</v>
      </c>
    </row>
    <row r="1516" spans="1:18" hidden="1" x14ac:dyDescent="0.2">
      <c r="A1516" s="4">
        <v>896</v>
      </c>
      <c r="B1516" s="2">
        <v>459960</v>
      </c>
      <c r="C1516" s="2">
        <v>0</v>
      </c>
      <c r="D1516" s="4" t="s">
        <v>6068</v>
      </c>
      <c r="E1516" s="2">
        <v>459960</v>
      </c>
      <c r="F1516" s="2">
        <v>87392.4</v>
      </c>
      <c r="G1516" s="2">
        <v>0</v>
      </c>
      <c r="H1516" s="4">
        <v>0</v>
      </c>
      <c r="I1516" s="4">
        <v>0</v>
      </c>
      <c r="J1516" s="4">
        <v>0</v>
      </c>
      <c r="K1516" s="4">
        <v>547352.4</v>
      </c>
      <c r="L1516" s="4" t="s">
        <v>6066</v>
      </c>
      <c r="M1516" s="4" t="s">
        <v>6067</v>
      </c>
      <c r="N1516" s="4" t="s">
        <v>674</v>
      </c>
      <c r="O1516" s="4" t="s">
        <v>76</v>
      </c>
      <c r="P1516" s="4" t="s">
        <v>76</v>
      </c>
      <c r="Q1516" s="4" t="s">
        <v>585</v>
      </c>
      <c r="R1516" s="9">
        <f t="shared" si="23"/>
        <v>9.1623680668706844E-6</v>
      </c>
    </row>
    <row r="1517" spans="1:18" hidden="1" x14ac:dyDescent="0.2">
      <c r="A1517" s="4">
        <v>569</v>
      </c>
      <c r="B1517" s="2">
        <v>449664</v>
      </c>
      <c r="C1517" s="2">
        <v>0</v>
      </c>
      <c r="D1517" s="4" t="s">
        <v>6071</v>
      </c>
      <c r="E1517" s="2">
        <v>449664</v>
      </c>
      <c r="F1517" s="2">
        <v>83536.160000000003</v>
      </c>
      <c r="G1517" s="2">
        <v>0</v>
      </c>
      <c r="H1517" s="4">
        <v>0</v>
      </c>
      <c r="I1517" s="4">
        <v>0</v>
      </c>
      <c r="J1517" s="4">
        <v>0</v>
      </c>
      <c r="K1517" s="4">
        <v>533200.16</v>
      </c>
      <c r="L1517" s="4" t="s">
        <v>6069</v>
      </c>
      <c r="M1517" s="4" t="s">
        <v>6070</v>
      </c>
      <c r="N1517" s="4" t="s">
        <v>20</v>
      </c>
      <c r="O1517" s="4" t="s">
        <v>900</v>
      </c>
      <c r="P1517" s="4" t="s">
        <v>900</v>
      </c>
      <c r="Q1517" s="4" t="s">
        <v>144</v>
      </c>
      <c r="R1517" s="9">
        <f t="shared" si="23"/>
        <v>8.9572725333101563E-6</v>
      </c>
    </row>
    <row r="1518" spans="1:18" hidden="1" x14ac:dyDescent="0.2">
      <c r="A1518" s="4">
        <v>1285</v>
      </c>
      <c r="B1518" s="2">
        <v>448878</v>
      </c>
      <c r="C1518" s="2">
        <v>0</v>
      </c>
      <c r="D1518" s="4" t="s">
        <v>4799</v>
      </c>
      <c r="E1518" s="2">
        <v>448878</v>
      </c>
      <c r="F1518" s="2">
        <v>85286.82</v>
      </c>
      <c r="G1518" s="2">
        <v>0</v>
      </c>
      <c r="H1518" s="4">
        <v>0</v>
      </c>
      <c r="I1518" s="4">
        <v>0</v>
      </c>
      <c r="J1518" s="4">
        <v>0</v>
      </c>
      <c r="K1518" s="4">
        <v>534164.81999999995</v>
      </c>
      <c r="L1518" s="4" t="s">
        <v>4797</v>
      </c>
      <c r="M1518" s="4" t="s">
        <v>4798</v>
      </c>
      <c r="N1518" s="4" t="s">
        <v>427</v>
      </c>
      <c r="O1518" s="4" t="s">
        <v>89</v>
      </c>
      <c r="P1518" s="4" t="s">
        <v>89</v>
      </c>
      <c r="Q1518" s="4" t="s">
        <v>100</v>
      </c>
      <c r="R1518" s="9">
        <f t="shared" si="23"/>
        <v>8.941615473347202E-6</v>
      </c>
    </row>
    <row r="1519" spans="1:18" hidden="1" x14ac:dyDescent="0.2">
      <c r="A1519" s="4">
        <v>205</v>
      </c>
      <c r="B1519" s="2">
        <v>445000</v>
      </c>
      <c r="C1519" s="2">
        <v>0</v>
      </c>
      <c r="D1519" s="4" t="s">
        <v>6074</v>
      </c>
      <c r="E1519" s="2">
        <v>445000</v>
      </c>
      <c r="F1519" s="2">
        <v>83600</v>
      </c>
      <c r="G1519" s="2">
        <v>0</v>
      </c>
      <c r="H1519" s="4">
        <v>0</v>
      </c>
      <c r="I1519" s="4">
        <v>0</v>
      </c>
      <c r="J1519" s="4">
        <v>0</v>
      </c>
      <c r="K1519" s="4">
        <v>528600</v>
      </c>
      <c r="L1519" s="4" t="s">
        <v>6072</v>
      </c>
      <c r="M1519" s="4" t="s">
        <v>6073</v>
      </c>
      <c r="N1519" s="4" t="s">
        <v>20</v>
      </c>
      <c r="O1519" s="4" t="s">
        <v>900</v>
      </c>
      <c r="P1519" s="4" t="s">
        <v>900</v>
      </c>
      <c r="Q1519" s="4" t="s">
        <v>144</v>
      </c>
      <c r="R1519" s="9">
        <f t="shared" si="23"/>
        <v>8.8643660095605148E-6</v>
      </c>
    </row>
    <row r="1520" spans="1:18" hidden="1" x14ac:dyDescent="0.2">
      <c r="A1520" s="4">
        <v>1144</v>
      </c>
      <c r="B1520" s="2">
        <v>439638</v>
      </c>
      <c r="C1520" s="2">
        <v>0</v>
      </c>
      <c r="D1520" s="4" t="s">
        <v>6077</v>
      </c>
      <c r="E1520" s="2">
        <v>439638</v>
      </c>
      <c r="F1520" s="2">
        <v>83531.22</v>
      </c>
      <c r="G1520" s="2">
        <v>0</v>
      </c>
      <c r="H1520" s="4">
        <v>0</v>
      </c>
      <c r="I1520" s="4">
        <v>0</v>
      </c>
      <c r="J1520" s="4">
        <v>0</v>
      </c>
      <c r="K1520" s="4">
        <v>523169.22</v>
      </c>
      <c r="L1520" s="4" t="s">
        <v>6075</v>
      </c>
      <c r="M1520" s="4" t="s">
        <v>6076</v>
      </c>
      <c r="N1520" s="4" t="s">
        <v>20</v>
      </c>
      <c r="O1520" s="4" t="s">
        <v>2863</v>
      </c>
      <c r="P1520" s="4" t="s">
        <v>2863</v>
      </c>
      <c r="Q1520" s="4" t="s">
        <v>100</v>
      </c>
      <c r="R1520" s="9">
        <f t="shared" si="23"/>
        <v>8.7575553791262154E-6</v>
      </c>
    </row>
    <row r="1521" spans="1:18" hidden="1" x14ac:dyDescent="0.2">
      <c r="A1521" s="4">
        <v>557</v>
      </c>
      <c r="B1521" s="2">
        <v>438461</v>
      </c>
      <c r="C1521" s="2">
        <v>0</v>
      </c>
      <c r="D1521" s="4" t="s">
        <v>3739</v>
      </c>
      <c r="E1521" s="2">
        <v>438461</v>
      </c>
      <c r="F1521" s="2">
        <v>83307.59</v>
      </c>
      <c r="G1521" s="2">
        <v>0</v>
      </c>
      <c r="H1521" s="4">
        <v>0</v>
      </c>
      <c r="I1521" s="4">
        <v>0</v>
      </c>
      <c r="J1521" s="4">
        <v>0</v>
      </c>
      <c r="K1521" s="4">
        <v>521768.59</v>
      </c>
      <c r="L1521" s="4" t="s">
        <v>3737</v>
      </c>
      <c r="M1521" s="4" t="s">
        <v>3738</v>
      </c>
      <c r="N1521" s="4" t="s">
        <v>20</v>
      </c>
      <c r="O1521" s="4" t="s">
        <v>257</v>
      </c>
      <c r="P1521" s="4" t="s">
        <v>257</v>
      </c>
      <c r="Q1521" s="4" t="s">
        <v>100</v>
      </c>
      <c r="R1521" s="9">
        <f t="shared" si="23"/>
        <v>8.7341096290290177E-6</v>
      </c>
    </row>
    <row r="1522" spans="1:18" hidden="1" x14ac:dyDescent="0.2">
      <c r="A1522" s="4">
        <v>141</v>
      </c>
      <c r="B1522" s="2">
        <v>428520</v>
      </c>
      <c r="C1522" s="2">
        <v>0</v>
      </c>
      <c r="D1522" s="4" t="s">
        <v>5060</v>
      </c>
      <c r="E1522" s="2">
        <v>428520</v>
      </c>
      <c r="F1522" s="2">
        <v>81418.8</v>
      </c>
      <c r="G1522" s="2">
        <v>0</v>
      </c>
      <c r="H1522" s="4">
        <v>0</v>
      </c>
      <c r="I1522" s="4">
        <v>0</v>
      </c>
      <c r="J1522" s="4">
        <v>0</v>
      </c>
      <c r="K1522" s="4">
        <v>509938.8</v>
      </c>
      <c r="L1522" s="4" t="s">
        <v>5058</v>
      </c>
      <c r="M1522" s="4" t="s">
        <v>5059</v>
      </c>
      <c r="N1522" s="4" t="s">
        <v>20</v>
      </c>
      <c r="O1522" s="4" t="s">
        <v>2863</v>
      </c>
      <c r="P1522" s="4" t="s">
        <v>2863</v>
      </c>
      <c r="Q1522" s="4" t="s">
        <v>100</v>
      </c>
      <c r="R1522" s="9">
        <f t="shared" si="23"/>
        <v>8.5360856683525211E-6</v>
      </c>
    </row>
    <row r="1523" spans="1:18" hidden="1" x14ac:dyDescent="0.2">
      <c r="A1523" s="4">
        <v>1681</v>
      </c>
      <c r="B1523" s="2">
        <v>427392</v>
      </c>
      <c r="C1523" s="2">
        <v>0</v>
      </c>
      <c r="D1523" s="4" t="s">
        <v>3254</v>
      </c>
      <c r="E1523" s="2">
        <v>427392</v>
      </c>
      <c r="F1523" s="2">
        <v>81204.479999999996</v>
      </c>
      <c r="G1523" s="2">
        <v>0</v>
      </c>
      <c r="H1523" s="4">
        <v>0</v>
      </c>
      <c r="I1523" s="4">
        <v>0</v>
      </c>
      <c r="J1523" s="4">
        <v>0</v>
      </c>
      <c r="K1523" s="4">
        <v>508596.47999999998</v>
      </c>
      <c r="L1523" s="4" t="s">
        <v>3252</v>
      </c>
      <c r="M1523" s="4" t="s">
        <v>3253</v>
      </c>
      <c r="N1523" s="4" t="s">
        <v>20</v>
      </c>
      <c r="O1523" s="4" t="s">
        <v>316</v>
      </c>
      <c r="P1523" s="4" t="s">
        <v>316</v>
      </c>
      <c r="Q1523" s="4" t="s">
        <v>100</v>
      </c>
      <c r="R1523" s="9">
        <f t="shared" si="23"/>
        <v>8.5136159945125577E-6</v>
      </c>
    </row>
    <row r="1524" spans="1:18" hidden="1" x14ac:dyDescent="0.2">
      <c r="A1524" s="4">
        <v>366</v>
      </c>
      <c r="B1524" s="2">
        <v>424657.86</v>
      </c>
      <c r="C1524" s="2">
        <v>0</v>
      </c>
      <c r="D1524" s="4" t="s">
        <v>6080</v>
      </c>
      <c r="E1524" s="2">
        <v>424657.86</v>
      </c>
      <c r="F1524" s="2">
        <v>80684.990000000005</v>
      </c>
      <c r="G1524" s="2">
        <v>0</v>
      </c>
      <c r="H1524" s="4">
        <v>0</v>
      </c>
      <c r="I1524" s="4">
        <v>0</v>
      </c>
      <c r="J1524" s="4">
        <v>0</v>
      </c>
      <c r="K1524" s="4">
        <v>505342.85</v>
      </c>
      <c r="L1524" s="4" t="s">
        <v>6078</v>
      </c>
      <c r="M1524" s="4" t="s">
        <v>6079</v>
      </c>
      <c r="N1524" s="4" t="s">
        <v>20</v>
      </c>
      <c r="O1524" s="4" t="s">
        <v>900</v>
      </c>
      <c r="P1524" s="4" t="s">
        <v>900</v>
      </c>
      <c r="Q1524" s="4" t="s">
        <v>144</v>
      </c>
      <c r="R1524" s="9">
        <f t="shared" si="23"/>
        <v>8.4591521345543996E-6</v>
      </c>
    </row>
    <row r="1525" spans="1:18" hidden="1" x14ac:dyDescent="0.2">
      <c r="A1525" s="4">
        <v>1550</v>
      </c>
      <c r="B1525" s="2">
        <v>418878</v>
      </c>
      <c r="C1525" s="2">
        <v>0</v>
      </c>
      <c r="D1525" s="4" t="s">
        <v>6083</v>
      </c>
      <c r="E1525" s="2">
        <v>418878</v>
      </c>
      <c r="F1525" s="2">
        <v>79586.820000000007</v>
      </c>
      <c r="G1525" s="2">
        <v>0</v>
      </c>
      <c r="H1525" s="4">
        <v>0</v>
      </c>
      <c r="I1525" s="4">
        <v>0</v>
      </c>
      <c r="J1525" s="4">
        <v>0</v>
      </c>
      <c r="K1525" s="4">
        <v>498464.82</v>
      </c>
      <c r="L1525" s="4" t="s">
        <v>6081</v>
      </c>
      <c r="M1525" s="4" t="s">
        <v>6082</v>
      </c>
      <c r="N1525" s="4" t="s">
        <v>20</v>
      </c>
      <c r="O1525" s="4" t="s">
        <v>2863</v>
      </c>
      <c r="P1525" s="4" t="s">
        <v>2863</v>
      </c>
      <c r="Q1525" s="4" t="s">
        <v>100</v>
      </c>
      <c r="R1525" s="9">
        <f t="shared" si="23"/>
        <v>8.3440177648375052E-6</v>
      </c>
    </row>
    <row r="1526" spans="1:18" hidden="1" x14ac:dyDescent="0.2">
      <c r="A1526" s="4">
        <v>980</v>
      </c>
      <c r="B1526" s="2">
        <v>416568</v>
      </c>
      <c r="C1526" s="2">
        <v>0</v>
      </c>
      <c r="D1526" s="4" t="s">
        <v>6086</v>
      </c>
      <c r="E1526" s="2">
        <v>416568</v>
      </c>
      <c r="F1526" s="2">
        <v>79147.92</v>
      </c>
      <c r="G1526" s="2">
        <v>0</v>
      </c>
      <c r="H1526" s="4">
        <v>0</v>
      </c>
      <c r="I1526" s="4">
        <v>0</v>
      </c>
      <c r="J1526" s="4">
        <v>0</v>
      </c>
      <c r="K1526" s="4">
        <v>495715.92</v>
      </c>
      <c r="L1526" s="4" t="s">
        <v>6084</v>
      </c>
      <c r="M1526" s="4" t="s">
        <v>6085</v>
      </c>
      <c r="N1526" s="4" t="s">
        <v>20</v>
      </c>
      <c r="O1526" s="4" t="s">
        <v>768</v>
      </c>
      <c r="P1526" s="4" t="s">
        <v>768</v>
      </c>
      <c r="Q1526" s="4" t="s">
        <v>100</v>
      </c>
      <c r="R1526" s="9">
        <f t="shared" si="23"/>
        <v>8.2980027412822573E-6</v>
      </c>
    </row>
    <row r="1527" spans="1:18" hidden="1" x14ac:dyDescent="0.2">
      <c r="A1527" s="4">
        <v>868</v>
      </c>
      <c r="B1527" s="2">
        <v>414381</v>
      </c>
      <c r="C1527" s="2">
        <v>0</v>
      </c>
      <c r="D1527" s="4" t="s">
        <v>4407</v>
      </c>
      <c r="E1527" s="2">
        <v>414381</v>
      </c>
      <c r="F1527" s="2">
        <v>78732.39</v>
      </c>
      <c r="G1527" s="2">
        <v>0</v>
      </c>
      <c r="H1527" s="4">
        <v>0</v>
      </c>
      <c r="I1527" s="4">
        <v>0</v>
      </c>
      <c r="J1527" s="4">
        <v>0</v>
      </c>
      <c r="K1527" s="4">
        <v>493113.39</v>
      </c>
      <c r="L1527" s="4" t="s">
        <v>4405</v>
      </c>
      <c r="M1527" s="4" t="s">
        <v>4406</v>
      </c>
      <c r="N1527" s="4" t="s">
        <v>20</v>
      </c>
      <c r="O1527" s="4" t="s">
        <v>76</v>
      </c>
      <c r="P1527" s="4" t="s">
        <v>76</v>
      </c>
      <c r="Q1527" s="4" t="s">
        <v>408</v>
      </c>
      <c r="R1527" s="9">
        <f t="shared" si="23"/>
        <v>8.2544378683319004E-6</v>
      </c>
    </row>
    <row r="1528" spans="1:18" hidden="1" x14ac:dyDescent="0.2">
      <c r="A1528" s="4">
        <v>1150</v>
      </c>
      <c r="B1528" s="2">
        <v>412660</v>
      </c>
      <c r="C1528" s="2">
        <v>0</v>
      </c>
      <c r="D1528" s="4" t="s">
        <v>4964</v>
      </c>
      <c r="E1528" s="2">
        <v>412660</v>
      </c>
      <c r="F1528" s="2">
        <v>78405.399999999994</v>
      </c>
      <c r="G1528" s="2">
        <v>0</v>
      </c>
      <c r="H1528" s="4">
        <v>0</v>
      </c>
      <c r="I1528" s="4">
        <v>0</v>
      </c>
      <c r="J1528" s="4">
        <v>0</v>
      </c>
      <c r="K1528" s="4">
        <v>491065.4</v>
      </c>
      <c r="L1528" s="4" t="s">
        <v>4962</v>
      </c>
      <c r="M1528" s="4" t="s">
        <v>4963</v>
      </c>
      <c r="N1528" s="4" t="s">
        <v>1421</v>
      </c>
      <c r="O1528" s="4" t="s">
        <v>3938</v>
      </c>
      <c r="P1528" s="4" t="s">
        <v>3938</v>
      </c>
      <c r="Q1528" s="4" t="s">
        <v>1378</v>
      </c>
      <c r="R1528" s="9">
        <f t="shared" si="23"/>
        <v>8.2201556797870608E-6</v>
      </c>
    </row>
    <row r="1529" spans="1:18" hidden="1" x14ac:dyDescent="0.2">
      <c r="A1529" s="4">
        <v>571</v>
      </c>
      <c r="B1529" s="2">
        <v>410298</v>
      </c>
      <c r="C1529" s="2">
        <v>0</v>
      </c>
      <c r="D1529" s="4" t="s">
        <v>6089</v>
      </c>
      <c r="E1529" s="2">
        <v>410298</v>
      </c>
      <c r="F1529" s="2">
        <v>77956.62</v>
      </c>
      <c r="G1529" s="2">
        <v>0</v>
      </c>
      <c r="H1529" s="4">
        <v>0</v>
      </c>
      <c r="I1529" s="4">
        <v>0</v>
      </c>
      <c r="J1529" s="4">
        <v>0</v>
      </c>
      <c r="K1529" s="4">
        <v>488254.62</v>
      </c>
      <c r="L1529" s="4" t="s">
        <v>6087</v>
      </c>
      <c r="M1529" s="4" t="s">
        <v>6088</v>
      </c>
      <c r="N1529" s="4" t="s">
        <v>20</v>
      </c>
      <c r="O1529" s="4" t="s">
        <v>2863</v>
      </c>
      <c r="P1529" s="4" t="s">
        <v>2863</v>
      </c>
      <c r="Q1529" s="4" t="s">
        <v>100</v>
      </c>
      <c r="R1529" s="9">
        <f t="shared" si="23"/>
        <v>8.1731048202037316E-6</v>
      </c>
    </row>
    <row r="1530" spans="1:18" hidden="1" x14ac:dyDescent="0.2">
      <c r="A1530" s="4">
        <v>890</v>
      </c>
      <c r="B1530" s="2">
        <v>407020</v>
      </c>
      <c r="C1530" s="2">
        <v>0</v>
      </c>
      <c r="D1530" s="4" t="s">
        <v>4479</v>
      </c>
      <c r="E1530" s="2">
        <v>407020</v>
      </c>
      <c r="F1530" s="2">
        <v>77333.8</v>
      </c>
      <c r="G1530" s="2">
        <v>0</v>
      </c>
      <c r="H1530" s="4">
        <v>0</v>
      </c>
      <c r="I1530" s="4">
        <v>0</v>
      </c>
      <c r="J1530" s="4">
        <v>0</v>
      </c>
      <c r="K1530" s="4">
        <v>484353.8</v>
      </c>
      <c r="L1530" s="4" t="s">
        <v>4477</v>
      </c>
      <c r="M1530" s="4" t="s">
        <v>4478</v>
      </c>
      <c r="N1530" s="4" t="s">
        <v>3291</v>
      </c>
      <c r="O1530" s="4" t="s">
        <v>33</v>
      </c>
      <c r="P1530" s="4" t="s">
        <v>33</v>
      </c>
      <c r="Q1530" s="4" t="s">
        <v>100</v>
      </c>
      <c r="R1530" s="9">
        <f t="shared" si="23"/>
        <v>8.1078073105872388E-6</v>
      </c>
    </row>
    <row r="1531" spans="1:18" hidden="1" x14ac:dyDescent="0.2">
      <c r="A1531" s="4">
        <v>243</v>
      </c>
      <c r="B1531" s="2">
        <v>406546</v>
      </c>
      <c r="C1531" s="2">
        <v>0</v>
      </c>
      <c r="D1531" s="4" t="s">
        <v>6092</v>
      </c>
      <c r="E1531" s="2">
        <v>406546</v>
      </c>
      <c r="F1531" s="2">
        <v>77243.740000000005</v>
      </c>
      <c r="G1531" s="2">
        <v>0</v>
      </c>
      <c r="H1531" s="4">
        <v>0</v>
      </c>
      <c r="I1531" s="4">
        <v>0</v>
      </c>
      <c r="J1531" s="4">
        <v>0</v>
      </c>
      <c r="K1531" s="4">
        <v>483789.74</v>
      </c>
      <c r="L1531" s="4" t="s">
        <v>6090</v>
      </c>
      <c r="M1531" s="4" t="s">
        <v>6091</v>
      </c>
      <c r="N1531" s="4" t="s">
        <v>272</v>
      </c>
      <c r="O1531" s="4" t="s">
        <v>89</v>
      </c>
      <c r="P1531" s="4" t="s">
        <v>89</v>
      </c>
      <c r="Q1531" s="4" t="s">
        <v>100</v>
      </c>
      <c r="R1531" s="9">
        <f t="shared" si="23"/>
        <v>8.0983652667927858E-6</v>
      </c>
    </row>
    <row r="1532" spans="1:18" hidden="1" x14ac:dyDescent="0.2">
      <c r="A1532" s="4">
        <v>1196</v>
      </c>
      <c r="B1532" s="2">
        <v>405744</v>
      </c>
      <c r="C1532" s="2">
        <v>0</v>
      </c>
      <c r="D1532" s="4" t="s">
        <v>6095</v>
      </c>
      <c r="E1532" s="2">
        <v>405744</v>
      </c>
      <c r="F1532" s="2">
        <v>77091.360000000001</v>
      </c>
      <c r="G1532" s="2">
        <v>0</v>
      </c>
      <c r="H1532" s="4">
        <v>0</v>
      </c>
      <c r="I1532" s="4">
        <v>0</v>
      </c>
      <c r="J1532" s="4">
        <v>0</v>
      </c>
      <c r="K1532" s="4">
        <v>482835.36</v>
      </c>
      <c r="L1532" s="4" t="s">
        <v>6093</v>
      </c>
      <c r="M1532" s="4" t="s">
        <v>6094</v>
      </c>
      <c r="N1532" s="4" t="s">
        <v>20</v>
      </c>
      <c r="O1532" s="4" t="s">
        <v>2863</v>
      </c>
      <c r="P1532" s="4" t="s">
        <v>2863</v>
      </c>
      <c r="Q1532" s="4" t="s">
        <v>100</v>
      </c>
      <c r="R1532" s="9">
        <f t="shared" si="23"/>
        <v>8.0823894880519586E-6</v>
      </c>
    </row>
    <row r="1533" spans="1:18" hidden="1" x14ac:dyDescent="0.2">
      <c r="A1533" s="4">
        <v>504</v>
      </c>
      <c r="B1533" s="2">
        <v>401950</v>
      </c>
      <c r="C1533" s="2">
        <v>0</v>
      </c>
      <c r="D1533" s="4" t="s">
        <v>4224</v>
      </c>
      <c r="E1533" s="2">
        <v>401950</v>
      </c>
      <c r="F1533" s="2">
        <v>76370.5</v>
      </c>
      <c r="G1533" s="2">
        <v>0</v>
      </c>
      <c r="H1533" s="4">
        <v>0</v>
      </c>
      <c r="I1533" s="4">
        <v>0</v>
      </c>
      <c r="J1533" s="4">
        <v>0</v>
      </c>
      <c r="K1533" s="4">
        <v>478320.5</v>
      </c>
      <c r="L1533" s="4" t="s">
        <v>4222</v>
      </c>
      <c r="M1533" s="4" t="s">
        <v>4223</v>
      </c>
      <c r="N1533" s="4" t="s">
        <v>20</v>
      </c>
      <c r="O1533" s="4" t="s">
        <v>372</v>
      </c>
      <c r="P1533" s="4" t="s">
        <v>372</v>
      </c>
      <c r="Q1533" s="4" t="s">
        <v>100</v>
      </c>
      <c r="R1533" s="9">
        <f t="shared" si="23"/>
        <v>8.0068132978491001E-6</v>
      </c>
    </row>
    <row r="1534" spans="1:18" hidden="1" x14ac:dyDescent="0.2">
      <c r="A1534" s="4">
        <v>1498</v>
      </c>
      <c r="B1534" s="2">
        <v>400877</v>
      </c>
      <c r="C1534" s="2">
        <v>0</v>
      </c>
      <c r="D1534" s="4" t="s">
        <v>4778</v>
      </c>
      <c r="E1534" s="2">
        <v>400877</v>
      </c>
      <c r="F1534" s="2">
        <v>76166.63</v>
      </c>
      <c r="G1534" s="2">
        <v>0</v>
      </c>
      <c r="H1534" s="4">
        <v>0</v>
      </c>
      <c r="I1534" s="4">
        <v>0</v>
      </c>
      <c r="J1534" s="4">
        <v>0</v>
      </c>
      <c r="K1534" s="4">
        <v>477043.63</v>
      </c>
      <c r="L1534" s="4" t="s">
        <v>4776</v>
      </c>
      <c r="M1534" s="4" t="s">
        <v>4777</v>
      </c>
      <c r="N1534" s="4"/>
      <c r="O1534" s="4" t="s">
        <v>3938</v>
      </c>
      <c r="P1534" s="4" t="s">
        <v>3938</v>
      </c>
      <c r="Q1534" s="4" t="s">
        <v>1378</v>
      </c>
      <c r="R1534" s="9">
        <f t="shared" si="23"/>
        <v>7.9854392198080685E-6</v>
      </c>
    </row>
    <row r="1535" spans="1:18" hidden="1" x14ac:dyDescent="0.2">
      <c r="A1535" s="4">
        <v>888</v>
      </c>
      <c r="B1535" s="2">
        <v>393523</v>
      </c>
      <c r="C1535" s="2">
        <v>0</v>
      </c>
      <c r="D1535" s="4" t="s">
        <v>4464</v>
      </c>
      <c r="E1535" s="2">
        <v>393523</v>
      </c>
      <c r="F1535" s="2">
        <v>74769.37</v>
      </c>
      <c r="G1535" s="2">
        <v>0</v>
      </c>
      <c r="H1535" s="4">
        <v>0</v>
      </c>
      <c r="I1535" s="4">
        <v>0</v>
      </c>
      <c r="J1535" s="4">
        <v>0</v>
      </c>
      <c r="K1535" s="4">
        <v>468292.37</v>
      </c>
      <c r="L1535" s="4" t="s">
        <v>4462</v>
      </c>
      <c r="M1535" s="4" t="s">
        <v>4463</v>
      </c>
      <c r="N1535" s="4" t="s">
        <v>20</v>
      </c>
      <c r="O1535" s="4" t="s">
        <v>540</v>
      </c>
      <c r="P1535" s="4" t="s">
        <v>540</v>
      </c>
      <c r="Q1535" s="4" t="s">
        <v>100</v>
      </c>
      <c r="R1535" s="9">
        <f t="shared" si="23"/>
        <v>7.8389481015287251E-6</v>
      </c>
    </row>
    <row r="1536" spans="1:18" hidden="1" x14ac:dyDescent="0.2">
      <c r="A1536" s="4">
        <v>1855</v>
      </c>
      <c r="B1536" s="2">
        <v>389628</v>
      </c>
      <c r="C1536" s="2">
        <v>0</v>
      </c>
      <c r="D1536" s="4" t="s">
        <v>4147</v>
      </c>
      <c r="E1536" s="2">
        <v>389628</v>
      </c>
      <c r="F1536" s="2">
        <v>74029.320000000007</v>
      </c>
      <c r="G1536" s="2">
        <v>0</v>
      </c>
      <c r="H1536" s="4">
        <v>0</v>
      </c>
      <c r="I1536" s="4">
        <v>0</v>
      </c>
      <c r="J1536" s="4">
        <v>0</v>
      </c>
      <c r="K1536" s="4">
        <v>463657.32</v>
      </c>
      <c r="L1536" s="4" t="s">
        <v>4145</v>
      </c>
      <c r="M1536" s="4" t="s">
        <v>4146</v>
      </c>
      <c r="N1536" s="4" t="s">
        <v>20</v>
      </c>
      <c r="O1536" s="4" t="s">
        <v>631</v>
      </c>
      <c r="P1536" s="4" t="s">
        <v>631</v>
      </c>
      <c r="Q1536" s="4" t="s">
        <v>100</v>
      </c>
      <c r="R1536" s="9">
        <f t="shared" si="23"/>
        <v>7.7613599990405494E-6</v>
      </c>
    </row>
    <row r="1537" spans="1:18" hidden="1" x14ac:dyDescent="0.2">
      <c r="A1537" s="4">
        <v>1504</v>
      </c>
      <c r="B1537" s="2">
        <v>389406</v>
      </c>
      <c r="C1537" s="2">
        <v>0</v>
      </c>
      <c r="D1537" s="4" t="s">
        <v>5012</v>
      </c>
      <c r="E1537" s="2">
        <v>389406</v>
      </c>
      <c r="F1537" s="2">
        <v>73987.14</v>
      </c>
      <c r="G1537" s="2">
        <v>0</v>
      </c>
      <c r="H1537" s="4">
        <v>0</v>
      </c>
      <c r="I1537" s="4">
        <v>0</v>
      </c>
      <c r="J1537" s="4">
        <v>0</v>
      </c>
      <c r="K1537" s="4">
        <v>463393.14</v>
      </c>
      <c r="L1537" s="4" t="s">
        <v>5010</v>
      </c>
      <c r="M1537" s="4" t="s">
        <v>5011</v>
      </c>
      <c r="N1537" s="4" t="s">
        <v>20</v>
      </c>
      <c r="O1537" s="4" t="s">
        <v>3938</v>
      </c>
      <c r="P1537" s="4" t="s">
        <v>3938</v>
      </c>
      <c r="Q1537" s="4" t="s">
        <v>1378</v>
      </c>
      <c r="R1537" s="9">
        <f t="shared" si="23"/>
        <v>7.7569377759975775E-6</v>
      </c>
    </row>
    <row r="1538" spans="1:18" hidden="1" x14ac:dyDescent="0.2">
      <c r="A1538" s="4">
        <v>869</v>
      </c>
      <c r="B1538" s="2">
        <v>385654.38</v>
      </c>
      <c r="C1538" s="2">
        <v>0</v>
      </c>
      <c r="D1538" s="4" t="s">
        <v>6098</v>
      </c>
      <c r="E1538" s="2">
        <v>385654.38</v>
      </c>
      <c r="F1538" s="2">
        <v>72324.33</v>
      </c>
      <c r="G1538" s="2">
        <v>0</v>
      </c>
      <c r="H1538" s="4">
        <v>0</v>
      </c>
      <c r="I1538" s="4">
        <v>0</v>
      </c>
      <c r="J1538" s="4">
        <v>0</v>
      </c>
      <c r="K1538" s="4">
        <v>457978.71</v>
      </c>
      <c r="L1538" s="4" t="s">
        <v>6096</v>
      </c>
      <c r="M1538" s="4" t="s">
        <v>6097</v>
      </c>
      <c r="N1538" s="4" t="s">
        <v>20</v>
      </c>
      <c r="O1538" s="4" t="s">
        <v>900</v>
      </c>
      <c r="P1538" s="4" t="s">
        <v>900</v>
      </c>
      <c r="Q1538" s="4" t="s">
        <v>144</v>
      </c>
      <c r="R1538" s="9">
        <f t="shared" si="23"/>
        <v>7.6822057921576055E-6</v>
      </c>
    </row>
    <row r="1539" spans="1:18" hidden="1" x14ac:dyDescent="0.2">
      <c r="A1539" s="4">
        <v>1133</v>
      </c>
      <c r="B1539" s="2">
        <v>384096</v>
      </c>
      <c r="C1539" s="2">
        <v>0</v>
      </c>
      <c r="D1539" s="4" t="s">
        <v>6101</v>
      </c>
      <c r="E1539" s="2">
        <v>384096</v>
      </c>
      <c r="F1539" s="2">
        <v>72978.240000000005</v>
      </c>
      <c r="G1539" s="2">
        <v>0</v>
      </c>
      <c r="H1539" s="4">
        <v>0</v>
      </c>
      <c r="I1539" s="4">
        <v>0</v>
      </c>
      <c r="J1539" s="4">
        <v>0</v>
      </c>
      <c r="K1539" s="4">
        <v>457074.24</v>
      </c>
      <c r="L1539" s="4" t="s">
        <v>6099</v>
      </c>
      <c r="M1539" s="4" t="s">
        <v>6100</v>
      </c>
      <c r="N1539" s="4" t="s">
        <v>20</v>
      </c>
      <c r="O1539" s="4" t="s">
        <v>2863</v>
      </c>
      <c r="P1539" s="4" t="s">
        <v>2863</v>
      </c>
      <c r="Q1539" s="4" t="s">
        <v>100</v>
      </c>
      <c r="R1539" s="9">
        <f t="shared" ref="R1539:R1602" si="24">E1539/$E$2034</f>
        <v>7.6511629815913611E-6</v>
      </c>
    </row>
    <row r="1540" spans="1:18" hidden="1" x14ac:dyDescent="0.2">
      <c r="A1540" s="4">
        <v>49</v>
      </c>
      <c r="B1540" s="2">
        <v>375079</v>
      </c>
      <c r="C1540" s="2">
        <v>0</v>
      </c>
      <c r="D1540" s="4" t="s">
        <v>6104</v>
      </c>
      <c r="E1540" s="2">
        <v>375079</v>
      </c>
      <c r="F1540" s="2">
        <v>70315.009999999995</v>
      </c>
      <c r="G1540" s="2">
        <v>0</v>
      </c>
      <c r="H1540" s="4">
        <v>0</v>
      </c>
      <c r="I1540" s="4">
        <v>0</v>
      </c>
      <c r="J1540" s="4">
        <v>0</v>
      </c>
      <c r="K1540" s="4">
        <v>445394.01</v>
      </c>
      <c r="L1540" s="4" t="s">
        <v>6102</v>
      </c>
      <c r="M1540" s="4" t="s">
        <v>6103</v>
      </c>
      <c r="N1540" s="4" t="s">
        <v>20</v>
      </c>
      <c r="O1540" s="4" t="s">
        <v>900</v>
      </c>
      <c r="P1540" s="4" t="s">
        <v>900</v>
      </c>
      <c r="Q1540" s="4" t="s">
        <v>144</v>
      </c>
      <c r="R1540" s="9">
        <f t="shared" si="24"/>
        <v>7.4715450303369629E-6</v>
      </c>
    </row>
    <row r="1541" spans="1:18" hidden="1" x14ac:dyDescent="0.2">
      <c r="A1541" s="4">
        <v>979</v>
      </c>
      <c r="B1541" s="2">
        <v>367138</v>
      </c>
      <c r="C1541" s="2">
        <v>0</v>
      </c>
      <c r="D1541" s="4" t="s">
        <v>6107</v>
      </c>
      <c r="E1541" s="2">
        <v>367138</v>
      </c>
      <c r="F1541" s="2">
        <v>69756.22</v>
      </c>
      <c r="G1541" s="2">
        <v>0</v>
      </c>
      <c r="H1541" s="4">
        <v>0</v>
      </c>
      <c r="I1541" s="4">
        <v>0</v>
      </c>
      <c r="J1541" s="4">
        <v>0</v>
      </c>
      <c r="K1541" s="4">
        <v>436894.22</v>
      </c>
      <c r="L1541" s="4" t="s">
        <v>6105</v>
      </c>
      <c r="M1541" s="4" t="s">
        <v>6106</v>
      </c>
      <c r="N1541" s="4" t="s">
        <v>20</v>
      </c>
      <c r="O1541" s="4" t="s">
        <v>257</v>
      </c>
      <c r="P1541" s="4" t="s">
        <v>257</v>
      </c>
      <c r="Q1541" s="4" t="s">
        <v>100</v>
      </c>
      <c r="R1541" s="9">
        <f t="shared" si="24"/>
        <v>7.3133609168944459E-6</v>
      </c>
    </row>
    <row r="1542" spans="1:18" hidden="1" x14ac:dyDescent="0.2">
      <c r="A1542" s="4">
        <v>500</v>
      </c>
      <c r="B1542" s="2">
        <v>366879</v>
      </c>
      <c r="C1542" s="2">
        <v>0</v>
      </c>
      <c r="D1542" s="4" t="s">
        <v>6110</v>
      </c>
      <c r="E1542" s="2">
        <v>366879</v>
      </c>
      <c r="F1542" s="2">
        <v>69707.009999999995</v>
      </c>
      <c r="G1542" s="2">
        <v>9171.98</v>
      </c>
      <c r="H1542" s="4">
        <v>0</v>
      </c>
      <c r="I1542" s="4">
        <v>0</v>
      </c>
      <c r="J1542" s="4">
        <v>9171.98</v>
      </c>
      <c r="K1542" s="4">
        <v>427414.03</v>
      </c>
      <c r="L1542" s="4" t="s">
        <v>6108</v>
      </c>
      <c r="M1542" s="4" t="s">
        <v>6109</v>
      </c>
      <c r="N1542" s="4" t="s">
        <v>20</v>
      </c>
      <c r="O1542" s="4" t="s">
        <v>1891</v>
      </c>
      <c r="P1542" s="4" t="s">
        <v>1891</v>
      </c>
      <c r="Q1542" s="4" t="s">
        <v>585</v>
      </c>
      <c r="R1542" s="9">
        <f t="shared" si="24"/>
        <v>7.3082016566776457E-6</v>
      </c>
    </row>
    <row r="1543" spans="1:18" hidden="1" x14ac:dyDescent="0.2">
      <c r="A1543" s="4">
        <v>1043</v>
      </c>
      <c r="B1543" s="2">
        <v>363707.49</v>
      </c>
      <c r="C1543" s="2">
        <v>0</v>
      </c>
      <c r="D1543" s="4" t="s">
        <v>6113</v>
      </c>
      <c r="E1543" s="2">
        <v>363707.49</v>
      </c>
      <c r="F1543" s="2">
        <v>69104.42</v>
      </c>
      <c r="G1543" s="2">
        <v>0</v>
      </c>
      <c r="H1543" s="4">
        <v>0</v>
      </c>
      <c r="I1543" s="4">
        <v>0</v>
      </c>
      <c r="J1543" s="4">
        <v>0</v>
      </c>
      <c r="K1543" s="4">
        <v>432811.91</v>
      </c>
      <c r="L1543" s="4" t="s">
        <v>6111</v>
      </c>
      <c r="M1543" s="4" t="s">
        <v>6112</v>
      </c>
      <c r="N1543" s="4" t="s">
        <v>20</v>
      </c>
      <c r="O1543" s="4" t="s">
        <v>900</v>
      </c>
      <c r="P1543" s="4" t="s">
        <v>900</v>
      </c>
      <c r="Q1543" s="4" t="s">
        <v>144</v>
      </c>
      <c r="R1543" s="9">
        <f t="shared" si="24"/>
        <v>7.2450254197271262E-6</v>
      </c>
    </row>
    <row r="1544" spans="1:18" hidden="1" x14ac:dyDescent="0.2">
      <c r="A1544" s="4">
        <v>1512</v>
      </c>
      <c r="B1544" s="2">
        <v>363468</v>
      </c>
      <c r="C1544" s="2">
        <v>0</v>
      </c>
      <c r="D1544" s="4" t="s">
        <v>6116</v>
      </c>
      <c r="E1544" s="2">
        <v>363468</v>
      </c>
      <c r="F1544" s="2">
        <v>69058.92</v>
      </c>
      <c r="G1544" s="2">
        <v>0</v>
      </c>
      <c r="H1544" s="4">
        <v>0</v>
      </c>
      <c r="I1544" s="4">
        <v>0</v>
      </c>
      <c r="J1544" s="4">
        <v>0</v>
      </c>
      <c r="K1544" s="4">
        <v>432526.92</v>
      </c>
      <c r="L1544" s="4" t="s">
        <v>6114</v>
      </c>
      <c r="M1544" s="4" t="s">
        <v>6115</v>
      </c>
      <c r="N1544" s="4" t="s">
        <v>20</v>
      </c>
      <c r="O1544" s="4" t="s">
        <v>631</v>
      </c>
      <c r="P1544" s="4" t="s">
        <v>631</v>
      </c>
      <c r="Q1544" s="4" t="s">
        <v>100</v>
      </c>
      <c r="R1544" s="9">
        <f t="shared" si="24"/>
        <v>7.2402547972200932E-6</v>
      </c>
    </row>
    <row r="1545" spans="1:18" hidden="1" x14ac:dyDescent="0.2">
      <c r="A1545" s="4">
        <v>1705</v>
      </c>
      <c r="B1545" s="2">
        <v>357311</v>
      </c>
      <c r="C1545" s="2">
        <v>0</v>
      </c>
      <c r="D1545" s="4" t="s">
        <v>6119</v>
      </c>
      <c r="E1545" s="2">
        <v>357311</v>
      </c>
      <c r="F1545" s="2">
        <v>67889.09</v>
      </c>
      <c r="G1545" s="2">
        <v>0</v>
      </c>
      <c r="H1545" s="4">
        <v>0</v>
      </c>
      <c r="I1545" s="4">
        <v>0</v>
      </c>
      <c r="J1545" s="4">
        <v>0</v>
      </c>
      <c r="K1545" s="4">
        <v>425200.09</v>
      </c>
      <c r="L1545" s="4" t="s">
        <v>6117</v>
      </c>
      <c r="M1545" s="4" t="s">
        <v>6118</v>
      </c>
      <c r="N1545" s="4" t="s">
        <v>20</v>
      </c>
      <c r="O1545" s="4" t="s">
        <v>2863</v>
      </c>
      <c r="P1545" s="4" t="s">
        <v>2863</v>
      </c>
      <c r="Q1545" s="4" t="s">
        <v>100</v>
      </c>
      <c r="R1545" s="9">
        <f t="shared" si="24"/>
        <v>7.1176078275102865E-6</v>
      </c>
    </row>
    <row r="1546" spans="1:18" hidden="1" x14ac:dyDescent="0.2">
      <c r="A1546" s="4">
        <v>1137</v>
      </c>
      <c r="B1546" s="2">
        <v>354737</v>
      </c>
      <c r="C1546" s="2">
        <v>0</v>
      </c>
      <c r="D1546" s="4" t="s">
        <v>4509</v>
      </c>
      <c r="E1546" s="2">
        <v>354737</v>
      </c>
      <c r="F1546" s="2">
        <v>67400.03</v>
      </c>
      <c r="G1546" s="2">
        <v>0</v>
      </c>
      <c r="H1546" s="4">
        <v>0</v>
      </c>
      <c r="I1546" s="4">
        <v>0</v>
      </c>
      <c r="J1546" s="4">
        <v>0</v>
      </c>
      <c r="K1546" s="4">
        <v>422137.03</v>
      </c>
      <c r="L1546" s="4" t="s">
        <v>4507</v>
      </c>
      <c r="M1546" s="4" t="s">
        <v>4508</v>
      </c>
      <c r="N1546" s="4" t="s">
        <v>20</v>
      </c>
      <c r="O1546" s="4" t="s">
        <v>3938</v>
      </c>
      <c r="P1546" s="4" t="s">
        <v>3938</v>
      </c>
      <c r="Q1546" s="4" t="s">
        <v>1378</v>
      </c>
      <c r="R1546" s="9">
        <f t="shared" si="24"/>
        <v>7.0663339441201541E-6</v>
      </c>
    </row>
    <row r="1547" spans="1:18" hidden="1" x14ac:dyDescent="0.2">
      <c r="A1547" s="4">
        <v>925</v>
      </c>
      <c r="B1547" s="2">
        <v>347412</v>
      </c>
      <c r="C1547" s="2">
        <v>0</v>
      </c>
      <c r="D1547" s="4" t="s">
        <v>6122</v>
      </c>
      <c r="E1547" s="2">
        <v>347412</v>
      </c>
      <c r="F1547" s="2">
        <v>66008.28</v>
      </c>
      <c r="G1547" s="2">
        <v>0</v>
      </c>
      <c r="H1547" s="4">
        <v>0</v>
      </c>
      <c r="I1547" s="4">
        <v>0</v>
      </c>
      <c r="J1547" s="4">
        <v>0</v>
      </c>
      <c r="K1547" s="4">
        <v>413420.28</v>
      </c>
      <c r="L1547" s="4" t="s">
        <v>6120</v>
      </c>
      <c r="M1547" s="4" t="s">
        <v>6121</v>
      </c>
      <c r="N1547" s="4" t="s">
        <v>20</v>
      </c>
      <c r="O1547" s="4" t="s">
        <v>900</v>
      </c>
      <c r="P1547" s="4" t="s">
        <v>900</v>
      </c>
      <c r="Q1547" s="4" t="s">
        <v>1378</v>
      </c>
      <c r="R1547" s="9">
        <f t="shared" si="24"/>
        <v>6.9204205036257026E-6</v>
      </c>
    </row>
    <row r="1548" spans="1:18" hidden="1" x14ac:dyDescent="0.2">
      <c r="A1548" s="4">
        <v>905</v>
      </c>
      <c r="B1548" s="2">
        <v>344464</v>
      </c>
      <c r="C1548" s="2">
        <v>0</v>
      </c>
      <c r="D1548" s="4" t="s">
        <v>4044</v>
      </c>
      <c r="E1548" s="2">
        <v>344464</v>
      </c>
      <c r="F1548" s="2">
        <v>65448.160000000003</v>
      </c>
      <c r="G1548" s="2">
        <v>0</v>
      </c>
      <c r="H1548" s="4">
        <v>0</v>
      </c>
      <c r="I1548" s="4">
        <v>0</v>
      </c>
      <c r="J1548" s="4">
        <v>0</v>
      </c>
      <c r="K1548" s="4">
        <v>409912.16</v>
      </c>
      <c r="L1548" s="4" t="s">
        <v>4042</v>
      </c>
      <c r="M1548" s="4" t="s">
        <v>4043</v>
      </c>
      <c r="N1548" s="4" t="s">
        <v>1143</v>
      </c>
      <c r="O1548" s="4" t="s">
        <v>340</v>
      </c>
      <c r="P1548" s="4" t="s">
        <v>340</v>
      </c>
      <c r="Q1548" s="4" t="s">
        <v>100</v>
      </c>
      <c r="R1548" s="9">
        <f t="shared" si="24"/>
        <v>6.8616965688028163E-6</v>
      </c>
    </row>
    <row r="1549" spans="1:18" hidden="1" x14ac:dyDescent="0.2">
      <c r="A1549" s="4">
        <v>252</v>
      </c>
      <c r="B1549" s="2">
        <v>334159</v>
      </c>
      <c r="C1549" s="2">
        <v>0</v>
      </c>
      <c r="D1549" s="4" t="s">
        <v>6125</v>
      </c>
      <c r="E1549" s="2">
        <v>334159</v>
      </c>
      <c r="F1549" s="2">
        <v>63490.21</v>
      </c>
      <c r="G1549" s="2">
        <v>0</v>
      </c>
      <c r="H1549" s="4">
        <v>0</v>
      </c>
      <c r="I1549" s="4">
        <v>0</v>
      </c>
      <c r="J1549" s="4">
        <v>0</v>
      </c>
      <c r="K1549" s="4">
        <v>397649.21</v>
      </c>
      <c r="L1549" s="4" t="s">
        <v>6123</v>
      </c>
      <c r="M1549" s="4" t="s">
        <v>6124</v>
      </c>
      <c r="N1549" s="4" t="s">
        <v>20</v>
      </c>
      <c r="O1549" s="4" t="s">
        <v>768</v>
      </c>
      <c r="P1549" s="4" t="s">
        <v>768</v>
      </c>
      <c r="Q1549" s="4" t="s">
        <v>100</v>
      </c>
      <c r="R1549" s="9">
        <f t="shared" si="24"/>
        <v>6.6564217559297353E-6</v>
      </c>
    </row>
    <row r="1550" spans="1:18" hidden="1" x14ac:dyDescent="0.2">
      <c r="A1550" s="4">
        <v>93</v>
      </c>
      <c r="B1550" s="2">
        <v>333400</v>
      </c>
      <c r="C1550" s="2">
        <v>0</v>
      </c>
      <c r="D1550" s="4" t="s">
        <v>6128</v>
      </c>
      <c r="E1550" s="2">
        <v>333400</v>
      </c>
      <c r="F1550" s="2">
        <v>62396</v>
      </c>
      <c r="G1550" s="2">
        <v>0</v>
      </c>
      <c r="H1550" s="4">
        <v>0</v>
      </c>
      <c r="I1550" s="4">
        <v>0</v>
      </c>
      <c r="J1550" s="4">
        <v>0</v>
      </c>
      <c r="K1550" s="4">
        <v>395796</v>
      </c>
      <c r="L1550" s="4" t="s">
        <v>6126</v>
      </c>
      <c r="M1550" s="4" t="s">
        <v>6127</v>
      </c>
      <c r="N1550" s="4" t="s">
        <v>20</v>
      </c>
      <c r="O1550" s="4" t="s">
        <v>900</v>
      </c>
      <c r="P1550" s="4" t="s">
        <v>900</v>
      </c>
      <c r="Q1550" s="4" t="s">
        <v>144</v>
      </c>
      <c r="R1550" s="9">
        <f t="shared" si="24"/>
        <v>6.6413025339044398E-6</v>
      </c>
    </row>
    <row r="1551" spans="1:18" hidden="1" x14ac:dyDescent="0.2">
      <c r="A1551" s="4">
        <v>1224</v>
      </c>
      <c r="B1551" s="2">
        <v>330756</v>
      </c>
      <c r="C1551" s="2">
        <v>0</v>
      </c>
      <c r="D1551" s="4" t="s">
        <v>6131</v>
      </c>
      <c r="E1551" s="2">
        <v>330756</v>
      </c>
      <c r="F1551" s="2">
        <v>62843.64</v>
      </c>
      <c r="G1551" s="2">
        <v>0</v>
      </c>
      <c r="H1551" s="4">
        <v>0</v>
      </c>
      <c r="I1551" s="4">
        <v>0</v>
      </c>
      <c r="J1551" s="4">
        <v>0</v>
      </c>
      <c r="K1551" s="4">
        <v>393599.64</v>
      </c>
      <c r="L1551" s="4" t="s">
        <v>6129</v>
      </c>
      <c r="M1551" s="4" t="s">
        <v>6130</v>
      </c>
      <c r="N1551" s="4" t="s">
        <v>20</v>
      </c>
      <c r="O1551" s="4" t="s">
        <v>372</v>
      </c>
      <c r="P1551" s="4" t="s">
        <v>372</v>
      </c>
      <c r="Q1551" s="4" t="s">
        <v>100</v>
      </c>
      <c r="R1551" s="9">
        <f t="shared" si="24"/>
        <v>6.5886342558611184E-6</v>
      </c>
    </row>
    <row r="1552" spans="1:18" hidden="1" x14ac:dyDescent="0.2">
      <c r="A1552" s="4">
        <v>572</v>
      </c>
      <c r="B1552" s="2">
        <v>324048</v>
      </c>
      <c r="C1552" s="2">
        <v>0</v>
      </c>
      <c r="D1552" s="4" t="s">
        <v>6134</v>
      </c>
      <c r="E1552" s="2">
        <v>324048</v>
      </c>
      <c r="F1552" s="2">
        <v>61569.120000000003</v>
      </c>
      <c r="G1552" s="2">
        <v>0</v>
      </c>
      <c r="H1552" s="4">
        <v>0</v>
      </c>
      <c r="I1552" s="4">
        <v>0</v>
      </c>
      <c r="J1552" s="4">
        <v>0</v>
      </c>
      <c r="K1552" s="4">
        <v>385617.12</v>
      </c>
      <c r="L1552" s="4" t="s">
        <v>6132</v>
      </c>
      <c r="M1552" s="4" t="s">
        <v>6133</v>
      </c>
      <c r="N1552" s="4" t="s">
        <v>20</v>
      </c>
      <c r="O1552" s="4" t="s">
        <v>2863</v>
      </c>
      <c r="P1552" s="4" t="s">
        <v>2863</v>
      </c>
      <c r="Q1552" s="4" t="s">
        <v>100</v>
      </c>
      <c r="R1552" s="9">
        <f t="shared" si="24"/>
        <v>6.4550114082383507E-6</v>
      </c>
    </row>
    <row r="1553" spans="1:18" hidden="1" x14ac:dyDescent="0.2">
      <c r="A1553" s="4">
        <v>1979</v>
      </c>
      <c r="B1553" s="2">
        <v>322270</v>
      </c>
      <c r="C1553" s="2">
        <v>0</v>
      </c>
      <c r="D1553" s="4" t="s">
        <v>6137</v>
      </c>
      <c r="E1553" s="2">
        <v>322270</v>
      </c>
      <c r="F1553" s="2">
        <v>61231.3</v>
      </c>
      <c r="G1553" s="2">
        <v>0</v>
      </c>
      <c r="H1553" s="4">
        <v>0</v>
      </c>
      <c r="I1553" s="4">
        <v>0</v>
      </c>
      <c r="J1553" s="4">
        <v>0</v>
      </c>
      <c r="K1553" s="4">
        <v>383501.3</v>
      </c>
      <c r="L1553" s="4" t="s">
        <v>6135</v>
      </c>
      <c r="M1553" s="4" t="s">
        <v>6136</v>
      </c>
      <c r="N1553" s="4" t="s">
        <v>20</v>
      </c>
      <c r="O1553" s="4" t="s">
        <v>316</v>
      </c>
      <c r="P1553" s="4" t="s">
        <v>316</v>
      </c>
      <c r="Q1553" s="4" t="s">
        <v>100</v>
      </c>
      <c r="R1553" s="9">
        <f t="shared" si="24"/>
        <v>6.4195937840473422E-6</v>
      </c>
    </row>
    <row r="1554" spans="1:18" hidden="1" x14ac:dyDescent="0.2">
      <c r="A1554" s="4">
        <v>1316</v>
      </c>
      <c r="B1554" s="2">
        <v>321694</v>
      </c>
      <c r="C1554" s="2">
        <v>0</v>
      </c>
      <c r="D1554" s="4" t="s">
        <v>6140</v>
      </c>
      <c r="E1554" s="2">
        <v>321694</v>
      </c>
      <c r="F1554" s="2">
        <v>61121.86</v>
      </c>
      <c r="G1554" s="2">
        <v>0</v>
      </c>
      <c r="H1554" s="4">
        <v>0</v>
      </c>
      <c r="I1554" s="4">
        <v>0</v>
      </c>
      <c r="J1554" s="4">
        <v>0</v>
      </c>
      <c r="K1554" s="4">
        <v>382815.86</v>
      </c>
      <c r="L1554" s="4" t="s">
        <v>6138</v>
      </c>
      <c r="M1554" s="4" t="s">
        <v>6139</v>
      </c>
      <c r="N1554" s="4" t="s">
        <v>20</v>
      </c>
      <c r="O1554" s="4" t="s">
        <v>76</v>
      </c>
      <c r="P1554" s="4" t="s">
        <v>76</v>
      </c>
      <c r="Q1554" s="4" t="s">
        <v>585</v>
      </c>
      <c r="R1554" s="9">
        <f t="shared" si="24"/>
        <v>6.4081199080439563E-6</v>
      </c>
    </row>
    <row r="1555" spans="1:18" hidden="1" x14ac:dyDescent="0.2">
      <c r="A1555" s="4">
        <v>1321</v>
      </c>
      <c r="B1555" s="2">
        <v>321564</v>
      </c>
      <c r="C1555" s="2">
        <v>0</v>
      </c>
      <c r="D1555" s="4" t="s">
        <v>6143</v>
      </c>
      <c r="E1555" s="2">
        <v>321564</v>
      </c>
      <c r="F1555" s="2">
        <v>58817.16</v>
      </c>
      <c r="G1555" s="2">
        <v>0</v>
      </c>
      <c r="H1555" s="4">
        <v>0</v>
      </c>
      <c r="I1555" s="4">
        <v>0</v>
      </c>
      <c r="J1555" s="4">
        <v>0</v>
      </c>
      <c r="K1555" s="4">
        <v>380381.16</v>
      </c>
      <c r="L1555" s="4" t="s">
        <v>6141</v>
      </c>
      <c r="M1555" s="4" t="s">
        <v>6142</v>
      </c>
      <c r="N1555" s="4" t="s">
        <v>20</v>
      </c>
      <c r="O1555" s="4" t="s">
        <v>2863</v>
      </c>
      <c r="P1555" s="4" t="s">
        <v>2863</v>
      </c>
      <c r="Q1555" s="4" t="s">
        <v>100</v>
      </c>
      <c r="R1555" s="9">
        <f t="shared" si="24"/>
        <v>6.405530317973747E-6</v>
      </c>
    </row>
    <row r="1556" spans="1:18" hidden="1" x14ac:dyDescent="0.2">
      <c r="A1556" s="4">
        <v>937</v>
      </c>
      <c r="B1556" s="2">
        <v>321012</v>
      </c>
      <c r="C1556" s="2">
        <v>0</v>
      </c>
      <c r="D1556" s="4" t="s">
        <v>6146</v>
      </c>
      <c r="E1556" s="2">
        <v>321012</v>
      </c>
      <c r="F1556" s="2">
        <v>60992.28</v>
      </c>
      <c r="G1556" s="2">
        <v>0</v>
      </c>
      <c r="H1556" s="4">
        <v>0</v>
      </c>
      <c r="I1556" s="4">
        <v>0</v>
      </c>
      <c r="J1556" s="4">
        <v>0</v>
      </c>
      <c r="K1556" s="4">
        <v>382004.28</v>
      </c>
      <c r="L1556" s="4" t="s">
        <v>6144</v>
      </c>
      <c r="M1556" s="4" t="s">
        <v>6145</v>
      </c>
      <c r="N1556" s="4" t="s">
        <v>20</v>
      </c>
      <c r="O1556" s="4" t="s">
        <v>1043</v>
      </c>
      <c r="P1556" s="4" t="s">
        <v>1043</v>
      </c>
      <c r="Q1556" s="4" t="s">
        <v>100</v>
      </c>
      <c r="R1556" s="9">
        <f t="shared" si="24"/>
        <v>6.3945345201371687E-6</v>
      </c>
    </row>
    <row r="1557" spans="1:18" hidden="1" x14ac:dyDescent="0.2">
      <c r="A1557" s="4">
        <v>1139</v>
      </c>
      <c r="B1557" s="2">
        <v>320544</v>
      </c>
      <c r="C1557" s="2">
        <v>0</v>
      </c>
      <c r="D1557" s="4" t="s">
        <v>6149</v>
      </c>
      <c r="E1557" s="2">
        <v>320544</v>
      </c>
      <c r="F1557" s="2">
        <v>60903.360000000001</v>
      </c>
      <c r="G1557" s="2">
        <v>0</v>
      </c>
      <c r="H1557" s="4">
        <v>0</v>
      </c>
      <c r="I1557" s="4">
        <v>0</v>
      </c>
      <c r="J1557" s="4">
        <v>0</v>
      </c>
      <c r="K1557" s="4">
        <v>381447.36</v>
      </c>
      <c r="L1557" s="4" t="s">
        <v>6147</v>
      </c>
      <c r="M1557" s="4" t="s">
        <v>6148</v>
      </c>
      <c r="N1557" s="4" t="s">
        <v>20</v>
      </c>
      <c r="O1557" s="4" t="s">
        <v>316</v>
      </c>
      <c r="P1557" s="4" t="s">
        <v>316</v>
      </c>
      <c r="Q1557" s="4" t="s">
        <v>100</v>
      </c>
      <c r="R1557" s="9">
        <f t="shared" si="24"/>
        <v>6.3852119958844175E-6</v>
      </c>
    </row>
    <row r="1558" spans="1:18" hidden="1" x14ac:dyDescent="0.2">
      <c r="A1558" s="4">
        <v>475</v>
      </c>
      <c r="B1558" s="2">
        <v>315512</v>
      </c>
      <c r="C1558" s="2">
        <v>0</v>
      </c>
      <c r="D1558" s="4" t="s">
        <v>4958</v>
      </c>
      <c r="E1558" s="2">
        <v>315512</v>
      </c>
      <c r="F1558" s="2">
        <v>59947.28</v>
      </c>
      <c r="G1558" s="2">
        <v>0</v>
      </c>
      <c r="H1558" s="4">
        <v>0</v>
      </c>
      <c r="I1558" s="4">
        <v>0</v>
      </c>
      <c r="J1558" s="4">
        <v>0</v>
      </c>
      <c r="K1558" s="4">
        <v>375459.28</v>
      </c>
      <c r="L1558" s="4" t="s">
        <v>4956</v>
      </c>
      <c r="M1558" s="4" t="s">
        <v>4957</v>
      </c>
      <c r="N1558" s="4" t="s">
        <v>20</v>
      </c>
      <c r="O1558" s="4" t="s">
        <v>2863</v>
      </c>
      <c r="P1558" s="4" t="s">
        <v>2863</v>
      </c>
      <c r="Q1558" s="4" t="s">
        <v>100</v>
      </c>
      <c r="R1558" s="9">
        <f t="shared" si="24"/>
        <v>6.2849749402437245E-6</v>
      </c>
    </row>
    <row r="1559" spans="1:18" hidden="1" x14ac:dyDescent="0.2">
      <c r="A1559" s="4">
        <v>109</v>
      </c>
      <c r="B1559" s="2">
        <v>314588</v>
      </c>
      <c r="C1559" s="2">
        <v>0</v>
      </c>
      <c r="D1559" s="4" t="s">
        <v>6151</v>
      </c>
      <c r="E1559" s="2">
        <v>314588</v>
      </c>
      <c r="F1559" s="2">
        <v>59771.72</v>
      </c>
      <c r="G1559" s="2">
        <v>0</v>
      </c>
      <c r="H1559" s="4">
        <v>0</v>
      </c>
      <c r="I1559" s="4">
        <v>0</v>
      </c>
      <c r="J1559" s="4">
        <v>0</v>
      </c>
      <c r="K1559" s="4">
        <v>374359.72</v>
      </c>
      <c r="L1559" s="4" t="s">
        <v>6150</v>
      </c>
      <c r="M1559" s="4" t="s">
        <v>6150</v>
      </c>
      <c r="N1559" s="4" t="s">
        <v>20</v>
      </c>
      <c r="O1559" s="4" t="s">
        <v>3938</v>
      </c>
      <c r="P1559" s="4" t="s">
        <v>3938</v>
      </c>
      <c r="Q1559" s="4" t="s">
        <v>1378</v>
      </c>
      <c r="R1559" s="9">
        <f t="shared" si="24"/>
        <v>6.2665689308216254E-6</v>
      </c>
    </row>
    <row r="1560" spans="1:18" hidden="1" x14ac:dyDescent="0.2">
      <c r="A1560" s="4">
        <v>1268</v>
      </c>
      <c r="B1560" s="2">
        <v>313448.65000000002</v>
      </c>
      <c r="C1560" s="2">
        <v>0</v>
      </c>
      <c r="D1560" s="4" t="s">
        <v>6154</v>
      </c>
      <c r="E1560" s="2">
        <v>313448.65000000002</v>
      </c>
      <c r="F1560" s="2">
        <v>58605.24</v>
      </c>
      <c r="G1560" s="2">
        <v>0</v>
      </c>
      <c r="H1560" s="4">
        <v>0</v>
      </c>
      <c r="I1560" s="4">
        <v>0</v>
      </c>
      <c r="J1560" s="4">
        <v>0</v>
      </c>
      <c r="K1560" s="4">
        <v>372053.89</v>
      </c>
      <c r="L1560" s="4" t="s">
        <v>6152</v>
      </c>
      <c r="M1560" s="4" t="s">
        <v>6153</v>
      </c>
      <c r="N1560" s="4" t="s">
        <v>20</v>
      </c>
      <c r="O1560" s="4" t="s">
        <v>900</v>
      </c>
      <c r="P1560" s="4" t="s">
        <v>900</v>
      </c>
      <c r="Q1560" s="4" t="s">
        <v>144</v>
      </c>
      <c r="R1560" s="9">
        <f t="shared" si="24"/>
        <v>6.2438731658486089E-6</v>
      </c>
    </row>
    <row r="1561" spans="1:18" hidden="1" x14ac:dyDescent="0.2">
      <c r="A1561" s="4">
        <v>362</v>
      </c>
      <c r="B1561" s="2">
        <v>312828</v>
      </c>
      <c r="C1561" s="2">
        <v>0</v>
      </c>
      <c r="D1561" s="4" t="s">
        <v>2330</v>
      </c>
      <c r="E1561" s="2">
        <v>312828</v>
      </c>
      <c r="F1561" s="2">
        <v>59437.32</v>
      </c>
      <c r="G1561" s="2">
        <v>0</v>
      </c>
      <c r="H1561" s="4">
        <v>0</v>
      </c>
      <c r="I1561" s="4">
        <v>0</v>
      </c>
      <c r="J1561" s="4">
        <v>0</v>
      </c>
      <c r="K1561" s="4">
        <v>372265.32</v>
      </c>
      <c r="L1561" s="4" t="s">
        <v>2328</v>
      </c>
      <c r="M1561" s="4" t="s">
        <v>2329</v>
      </c>
      <c r="N1561" s="4" t="s">
        <v>368</v>
      </c>
      <c r="O1561" s="4" t="s">
        <v>76</v>
      </c>
      <c r="P1561" s="4" t="s">
        <v>76</v>
      </c>
      <c r="Q1561" s="4" t="s">
        <v>1378</v>
      </c>
      <c r="R1561" s="9">
        <f t="shared" si="24"/>
        <v>6.2315098652557236E-6</v>
      </c>
    </row>
    <row r="1562" spans="1:18" hidden="1" x14ac:dyDescent="0.2">
      <c r="A1562" s="4">
        <v>1549</v>
      </c>
      <c r="B1562" s="2">
        <v>312616.52</v>
      </c>
      <c r="C1562" s="2">
        <v>0</v>
      </c>
      <c r="D1562" s="4" t="s">
        <v>4555</v>
      </c>
      <c r="E1562" s="2">
        <v>312616.52</v>
      </c>
      <c r="F1562" s="2">
        <v>59397.14</v>
      </c>
      <c r="G1562" s="2">
        <v>0</v>
      </c>
      <c r="H1562" s="4">
        <v>0</v>
      </c>
      <c r="I1562" s="4">
        <v>0</v>
      </c>
      <c r="J1562" s="4">
        <v>0</v>
      </c>
      <c r="K1562" s="4">
        <v>372013.66</v>
      </c>
      <c r="L1562" s="4" t="s">
        <v>4553</v>
      </c>
      <c r="M1562" s="4" t="s">
        <v>4554</v>
      </c>
      <c r="N1562" s="4" t="s">
        <v>368</v>
      </c>
      <c r="O1562" s="4" t="s">
        <v>900</v>
      </c>
      <c r="P1562" s="4" t="s">
        <v>900</v>
      </c>
      <c r="Q1562" s="4" t="s">
        <v>144</v>
      </c>
      <c r="R1562" s="9">
        <f t="shared" si="24"/>
        <v>6.2272971998092029E-6</v>
      </c>
    </row>
    <row r="1563" spans="1:18" hidden="1" x14ac:dyDescent="0.2">
      <c r="A1563" s="4">
        <v>1880</v>
      </c>
      <c r="B1563" s="2">
        <v>312226</v>
      </c>
      <c r="C1563" s="2">
        <v>0</v>
      </c>
      <c r="D1563" s="4" t="s">
        <v>6157</v>
      </c>
      <c r="E1563" s="2">
        <v>312226</v>
      </c>
      <c r="F1563" s="2">
        <v>58372.94</v>
      </c>
      <c r="G1563" s="2">
        <v>0</v>
      </c>
      <c r="H1563" s="4">
        <v>0</v>
      </c>
      <c r="I1563" s="4">
        <v>0</v>
      </c>
      <c r="J1563" s="4">
        <v>0</v>
      </c>
      <c r="K1563" s="4">
        <v>370598.94</v>
      </c>
      <c r="L1563" s="4" t="s">
        <v>6155</v>
      </c>
      <c r="M1563" s="4" t="s">
        <v>6156</v>
      </c>
      <c r="N1563" s="4" t="s">
        <v>20</v>
      </c>
      <c r="O1563" s="4" t="s">
        <v>900</v>
      </c>
      <c r="P1563" s="4" t="s">
        <v>900</v>
      </c>
      <c r="Q1563" s="4" t="s">
        <v>144</v>
      </c>
      <c r="R1563" s="9">
        <f t="shared" si="24"/>
        <v>6.2195180712382953E-6</v>
      </c>
    </row>
    <row r="1564" spans="1:18" hidden="1" x14ac:dyDescent="0.2">
      <c r="A1564" s="4">
        <v>1511</v>
      </c>
      <c r="B1564" s="2">
        <v>309720</v>
      </c>
      <c r="C1564" s="2">
        <v>0</v>
      </c>
      <c r="D1564" s="4" t="s">
        <v>6116</v>
      </c>
      <c r="E1564" s="2">
        <v>309720</v>
      </c>
      <c r="F1564" s="2">
        <v>58846.8</v>
      </c>
      <c r="G1564" s="2">
        <v>0</v>
      </c>
      <c r="H1564" s="4">
        <v>0</v>
      </c>
      <c r="I1564" s="4">
        <v>0</v>
      </c>
      <c r="J1564" s="4">
        <v>0</v>
      </c>
      <c r="K1564" s="4">
        <v>368566.8</v>
      </c>
      <c r="L1564" s="4" t="s">
        <v>6158</v>
      </c>
      <c r="M1564" s="4" t="s">
        <v>6115</v>
      </c>
      <c r="N1564" s="4" t="s">
        <v>20</v>
      </c>
      <c r="O1564" s="4" t="s">
        <v>2863</v>
      </c>
      <c r="P1564" s="4" t="s">
        <v>2863</v>
      </c>
      <c r="Q1564" s="4" t="s">
        <v>100</v>
      </c>
      <c r="R1564" s="9">
        <f t="shared" si="24"/>
        <v>6.1695987426541187E-6</v>
      </c>
    </row>
    <row r="1565" spans="1:18" hidden="1" x14ac:dyDescent="0.2">
      <c r="A1565" s="4">
        <v>1130</v>
      </c>
      <c r="B1565" s="2">
        <v>307434</v>
      </c>
      <c r="C1565" s="2">
        <v>0</v>
      </c>
      <c r="D1565" s="4" t="s">
        <v>6161</v>
      </c>
      <c r="E1565" s="2">
        <v>307434</v>
      </c>
      <c r="F1565" s="2">
        <v>58412.46</v>
      </c>
      <c r="G1565" s="2">
        <v>0</v>
      </c>
      <c r="H1565" s="4">
        <v>0</v>
      </c>
      <c r="I1565" s="4">
        <v>0</v>
      </c>
      <c r="J1565" s="4">
        <v>0</v>
      </c>
      <c r="K1565" s="4">
        <v>365846.46</v>
      </c>
      <c r="L1565" s="4" t="s">
        <v>6159</v>
      </c>
      <c r="M1565" s="4" t="s">
        <v>6160</v>
      </c>
      <c r="N1565" s="4" t="s">
        <v>20</v>
      </c>
      <c r="O1565" s="4" t="s">
        <v>2863</v>
      </c>
      <c r="P1565" s="4" t="s">
        <v>2863</v>
      </c>
      <c r="Q1565" s="4" t="s">
        <v>100</v>
      </c>
      <c r="R1565" s="9">
        <f t="shared" si="24"/>
        <v>6.1240617972656801E-6</v>
      </c>
    </row>
    <row r="1566" spans="1:18" hidden="1" x14ac:dyDescent="0.2">
      <c r="A1566" s="4">
        <v>1483</v>
      </c>
      <c r="B1566" s="2">
        <v>306558</v>
      </c>
      <c r="C1566" s="2">
        <v>0</v>
      </c>
      <c r="D1566" s="4" t="s">
        <v>6164</v>
      </c>
      <c r="E1566" s="2">
        <v>306558</v>
      </c>
      <c r="F1566" s="2">
        <v>58246.02</v>
      </c>
      <c r="G1566" s="2">
        <v>0</v>
      </c>
      <c r="H1566" s="4">
        <v>0</v>
      </c>
      <c r="I1566" s="4">
        <v>0</v>
      </c>
      <c r="J1566" s="4">
        <v>0</v>
      </c>
      <c r="K1566" s="4">
        <v>364804.02</v>
      </c>
      <c r="L1566" s="4" t="s">
        <v>6162</v>
      </c>
      <c r="M1566" s="4" t="s">
        <v>6163</v>
      </c>
      <c r="N1566" s="4" t="s">
        <v>368</v>
      </c>
      <c r="O1566" s="4" t="s">
        <v>1891</v>
      </c>
      <c r="P1566" s="4" t="s">
        <v>900</v>
      </c>
      <c r="Q1566" s="4" t="s">
        <v>585</v>
      </c>
      <c r="R1566" s="9">
        <f t="shared" si="24"/>
        <v>6.106611944177197E-6</v>
      </c>
    </row>
    <row r="1567" spans="1:18" hidden="1" x14ac:dyDescent="0.2">
      <c r="A1567" s="4">
        <v>437</v>
      </c>
      <c r="B1567" s="2">
        <v>302083</v>
      </c>
      <c r="C1567" s="2">
        <v>0</v>
      </c>
      <c r="D1567" s="4" t="s">
        <v>6166</v>
      </c>
      <c r="E1567" s="2">
        <v>302083</v>
      </c>
      <c r="F1567" s="2">
        <v>57395.77</v>
      </c>
      <c r="G1567" s="2">
        <v>0</v>
      </c>
      <c r="H1567" s="4">
        <v>0</v>
      </c>
      <c r="I1567" s="4">
        <v>0</v>
      </c>
      <c r="J1567" s="4">
        <v>0</v>
      </c>
      <c r="K1567" s="4">
        <v>359478.77</v>
      </c>
      <c r="L1567" s="4" t="s">
        <v>6165</v>
      </c>
      <c r="M1567" s="4" t="s">
        <v>6165</v>
      </c>
      <c r="N1567" s="4" t="s">
        <v>20</v>
      </c>
      <c r="O1567" s="4" t="s">
        <v>3938</v>
      </c>
      <c r="P1567" s="4" t="s">
        <v>3938</v>
      </c>
      <c r="Q1567" s="4" t="s">
        <v>1378</v>
      </c>
      <c r="R1567" s="9">
        <f t="shared" si="24"/>
        <v>6.0174702859911667E-6</v>
      </c>
    </row>
    <row r="1568" spans="1:18" hidden="1" x14ac:dyDescent="0.2">
      <c r="A1568" s="4">
        <v>1348</v>
      </c>
      <c r="B1568" s="2">
        <v>301226</v>
      </c>
      <c r="C1568" s="2">
        <v>0</v>
      </c>
      <c r="D1568" s="4" t="s">
        <v>4546</v>
      </c>
      <c r="E1568" s="2">
        <v>301226</v>
      </c>
      <c r="F1568" s="2">
        <v>57232.94</v>
      </c>
      <c r="G1568" s="2">
        <v>0</v>
      </c>
      <c r="H1568" s="4">
        <v>0</v>
      </c>
      <c r="I1568" s="4">
        <v>0</v>
      </c>
      <c r="J1568" s="4">
        <v>0</v>
      </c>
      <c r="K1568" s="4">
        <v>358458.94</v>
      </c>
      <c r="L1568" s="4" t="s">
        <v>4544</v>
      </c>
      <c r="M1568" s="4" t="s">
        <v>4545</v>
      </c>
      <c r="N1568" s="4" t="s">
        <v>20</v>
      </c>
      <c r="O1568" s="4" t="s">
        <v>3938</v>
      </c>
      <c r="P1568" s="4" t="s">
        <v>3938</v>
      </c>
      <c r="Q1568" s="4" t="s">
        <v>1378</v>
      </c>
      <c r="R1568" s="9">
        <f t="shared" si="24"/>
        <v>6.000398911451406E-6</v>
      </c>
    </row>
    <row r="1569" spans="1:18" hidden="1" x14ac:dyDescent="0.2">
      <c r="A1569" s="4">
        <v>1272</v>
      </c>
      <c r="B1569" s="2">
        <v>300814.73</v>
      </c>
      <c r="C1569" s="2">
        <v>0</v>
      </c>
      <c r="D1569" s="4" t="s">
        <v>6169</v>
      </c>
      <c r="E1569" s="2">
        <v>300814.73</v>
      </c>
      <c r="F1569" s="2">
        <v>56204.800000000003</v>
      </c>
      <c r="G1569" s="2">
        <v>0</v>
      </c>
      <c r="H1569" s="4">
        <v>0</v>
      </c>
      <c r="I1569" s="4">
        <v>0</v>
      </c>
      <c r="J1569" s="4">
        <v>0</v>
      </c>
      <c r="K1569" s="4">
        <v>357019.53</v>
      </c>
      <c r="L1569" s="4" t="s">
        <v>6167</v>
      </c>
      <c r="M1569" s="4" t="s">
        <v>6168</v>
      </c>
      <c r="N1569" s="4" t="s">
        <v>20</v>
      </c>
      <c r="O1569" s="4" t="s">
        <v>900</v>
      </c>
      <c r="P1569" s="4" t="s">
        <v>900</v>
      </c>
      <c r="Q1569" s="4" t="s">
        <v>144</v>
      </c>
      <c r="R1569" s="9">
        <f t="shared" si="24"/>
        <v>5.9922064444654464E-6</v>
      </c>
    </row>
    <row r="1570" spans="1:18" hidden="1" x14ac:dyDescent="0.2">
      <c r="A1570" s="4">
        <v>1222</v>
      </c>
      <c r="B1570" s="2">
        <v>300812</v>
      </c>
      <c r="C1570" s="2">
        <v>0</v>
      </c>
      <c r="D1570" s="4" t="s">
        <v>6172</v>
      </c>
      <c r="E1570" s="2">
        <v>300812</v>
      </c>
      <c r="F1570" s="2">
        <v>57154.28</v>
      </c>
      <c r="G1570" s="2">
        <v>0</v>
      </c>
      <c r="H1570" s="4">
        <v>0</v>
      </c>
      <c r="I1570" s="4">
        <v>0</v>
      </c>
      <c r="J1570" s="4">
        <v>0</v>
      </c>
      <c r="K1570" s="4">
        <v>357966.28</v>
      </c>
      <c r="L1570" s="4" t="s">
        <v>6170</v>
      </c>
      <c r="M1570" s="4" t="s">
        <v>6171</v>
      </c>
      <c r="N1570" s="4" t="s">
        <v>20</v>
      </c>
      <c r="O1570" s="4" t="s">
        <v>1517</v>
      </c>
      <c r="P1570" s="4" t="s">
        <v>603</v>
      </c>
      <c r="Q1570" s="4" t="s">
        <v>100</v>
      </c>
      <c r="R1570" s="9">
        <f t="shared" si="24"/>
        <v>5.9921520630739725E-6</v>
      </c>
    </row>
    <row r="1571" spans="1:18" hidden="1" x14ac:dyDescent="0.2">
      <c r="A1571" s="4">
        <v>188</v>
      </c>
      <c r="B1571" s="2">
        <v>299116</v>
      </c>
      <c r="C1571" s="2">
        <v>0</v>
      </c>
      <c r="D1571" s="4" t="s">
        <v>6175</v>
      </c>
      <c r="E1571" s="2">
        <v>299116</v>
      </c>
      <c r="F1571" s="2">
        <v>55882.04</v>
      </c>
      <c r="G1571" s="2">
        <v>0</v>
      </c>
      <c r="H1571" s="4">
        <v>0</v>
      </c>
      <c r="I1571" s="4">
        <v>0</v>
      </c>
      <c r="J1571" s="4">
        <v>0</v>
      </c>
      <c r="K1571" s="4">
        <v>354998.04</v>
      </c>
      <c r="L1571" s="4" t="s">
        <v>6173</v>
      </c>
      <c r="M1571" s="4" t="s">
        <v>6174</v>
      </c>
      <c r="N1571" s="4" t="s">
        <v>20</v>
      </c>
      <c r="O1571" s="4" t="s">
        <v>900</v>
      </c>
      <c r="P1571" s="4" t="s">
        <v>900</v>
      </c>
      <c r="Q1571" s="4" t="s">
        <v>144</v>
      </c>
      <c r="R1571" s="9">
        <f t="shared" si="24"/>
        <v>5.9583678726195579E-6</v>
      </c>
    </row>
    <row r="1572" spans="1:18" hidden="1" x14ac:dyDescent="0.2">
      <c r="A1572" s="4">
        <v>1298</v>
      </c>
      <c r="B1572" s="2">
        <v>298740</v>
      </c>
      <c r="C1572" s="2">
        <v>0</v>
      </c>
      <c r="D1572" s="4" t="s">
        <v>6178</v>
      </c>
      <c r="E1572" s="2">
        <v>298740</v>
      </c>
      <c r="F1572" s="2">
        <v>56760.6</v>
      </c>
      <c r="G1572" s="2">
        <v>0</v>
      </c>
      <c r="H1572" s="4">
        <v>0</v>
      </c>
      <c r="I1572" s="4">
        <v>0</v>
      </c>
      <c r="J1572" s="4">
        <v>0</v>
      </c>
      <c r="K1572" s="4">
        <v>355500.6</v>
      </c>
      <c r="L1572" s="4" t="s">
        <v>6176</v>
      </c>
      <c r="M1572" s="4" t="s">
        <v>6177</v>
      </c>
      <c r="N1572" s="4" t="s">
        <v>20</v>
      </c>
      <c r="O1572" s="4" t="s">
        <v>2863</v>
      </c>
      <c r="P1572" s="4" t="s">
        <v>2863</v>
      </c>
      <c r="Q1572" s="4" t="s">
        <v>100</v>
      </c>
      <c r="R1572" s="9">
        <f t="shared" si="24"/>
        <v>5.9508779813395693E-6</v>
      </c>
    </row>
    <row r="1573" spans="1:18" hidden="1" x14ac:dyDescent="0.2">
      <c r="A1573" s="4">
        <v>513</v>
      </c>
      <c r="B1573" s="2">
        <v>295418</v>
      </c>
      <c r="C1573" s="2">
        <v>0</v>
      </c>
      <c r="D1573" s="4" t="s">
        <v>6181</v>
      </c>
      <c r="E1573" s="2">
        <v>295418</v>
      </c>
      <c r="F1573" s="2">
        <v>55179.42</v>
      </c>
      <c r="G1573" s="2">
        <v>0</v>
      </c>
      <c r="H1573" s="4">
        <v>0</v>
      </c>
      <c r="I1573" s="4">
        <v>0</v>
      </c>
      <c r="J1573" s="4">
        <v>0</v>
      </c>
      <c r="K1573" s="4">
        <v>350597.42</v>
      </c>
      <c r="L1573" s="4" t="s">
        <v>6179</v>
      </c>
      <c r="M1573" s="4" t="s">
        <v>6180</v>
      </c>
      <c r="N1573" s="4" t="s">
        <v>20</v>
      </c>
      <c r="O1573" s="4" t="s">
        <v>900</v>
      </c>
      <c r="P1573" s="4" t="s">
        <v>900</v>
      </c>
      <c r="Q1573" s="4" t="s">
        <v>144</v>
      </c>
      <c r="R1573" s="9">
        <f t="shared" si="24"/>
        <v>5.8847039950839291E-6</v>
      </c>
    </row>
    <row r="1574" spans="1:18" hidden="1" x14ac:dyDescent="0.2">
      <c r="A1574" s="4">
        <v>200</v>
      </c>
      <c r="B1574" s="2">
        <v>295396</v>
      </c>
      <c r="C1574" s="2">
        <v>0</v>
      </c>
      <c r="D1574" s="4" t="s">
        <v>6184</v>
      </c>
      <c r="E1574" s="2">
        <v>295396</v>
      </c>
      <c r="F1574" s="2">
        <v>56125.24</v>
      </c>
      <c r="G1574" s="2">
        <v>0</v>
      </c>
      <c r="H1574" s="4">
        <v>0</v>
      </c>
      <c r="I1574" s="4">
        <v>0</v>
      </c>
      <c r="J1574" s="4">
        <v>0</v>
      </c>
      <c r="K1574" s="4">
        <v>351521.24</v>
      </c>
      <c r="L1574" s="4" t="s">
        <v>6182</v>
      </c>
      <c r="M1574" s="4" t="s">
        <v>6183</v>
      </c>
      <c r="N1574" s="4" t="s">
        <v>20</v>
      </c>
      <c r="O1574" s="4" t="s">
        <v>3938</v>
      </c>
      <c r="P1574" s="4" t="s">
        <v>3938</v>
      </c>
      <c r="Q1574" s="4" t="s">
        <v>1378</v>
      </c>
      <c r="R1574" s="9">
        <f t="shared" si="24"/>
        <v>5.8842657567643553E-6</v>
      </c>
    </row>
    <row r="1575" spans="1:18" hidden="1" x14ac:dyDescent="0.2">
      <c r="A1575" s="4">
        <v>1210</v>
      </c>
      <c r="B1575" s="2">
        <v>295328</v>
      </c>
      <c r="C1575" s="2">
        <v>0</v>
      </c>
      <c r="D1575" s="4" t="s">
        <v>4802</v>
      </c>
      <c r="E1575" s="2">
        <v>295328</v>
      </c>
      <c r="F1575" s="2">
        <v>56112.32</v>
      </c>
      <c r="G1575" s="2">
        <v>0</v>
      </c>
      <c r="H1575" s="4">
        <v>0</v>
      </c>
      <c r="I1575" s="4">
        <v>0</v>
      </c>
      <c r="J1575" s="4">
        <v>0</v>
      </c>
      <c r="K1575" s="4">
        <v>351440.32</v>
      </c>
      <c r="L1575" s="4" t="s">
        <v>4800</v>
      </c>
      <c r="M1575" s="4" t="s">
        <v>4801</v>
      </c>
      <c r="N1575" s="4" t="s">
        <v>20</v>
      </c>
      <c r="O1575" s="4" t="s">
        <v>631</v>
      </c>
      <c r="P1575" s="4" t="s">
        <v>631</v>
      </c>
      <c r="Q1575" s="4" t="s">
        <v>100</v>
      </c>
      <c r="R1575" s="9">
        <f t="shared" si="24"/>
        <v>5.8829112019583995E-6</v>
      </c>
    </row>
    <row r="1576" spans="1:18" hidden="1" x14ac:dyDescent="0.2">
      <c r="A1576" s="4">
        <v>1</v>
      </c>
      <c r="B1576" s="2">
        <v>290541.15000000002</v>
      </c>
      <c r="C1576" s="2">
        <v>0</v>
      </c>
      <c r="D1576" s="4" t="s">
        <v>6187</v>
      </c>
      <c r="E1576" s="2">
        <v>290541.15000000002</v>
      </c>
      <c r="F1576" s="2">
        <v>55202.82</v>
      </c>
      <c r="G1576" s="2">
        <v>0</v>
      </c>
      <c r="H1576" s="4">
        <v>0</v>
      </c>
      <c r="I1576" s="4">
        <v>0</v>
      </c>
      <c r="J1576" s="4">
        <v>0</v>
      </c>
      <c r="K1576" s="4">
        <v>345743.97</v>
      </c>
      <c r="L1576" s="4" t="s">
        <v>6185</v>
      </c>
      <c r="M1576" s="4" t="s">
        <v>6186</v>
      </c>
      <c r="N1576" s="4" t="s">
        <v>20</v>
      </c>
      <c r="O1576" s="4" t="s">
        <v>900</v>
      </c>
      <c r="P1576" s="4" t="s">
        <v>900</v>
      </c>
      <c r="Q1576" s="4" t="s">
        <v>144</v>
      </c>
      <c r="R1576" s="9">
        <f t="shared" si="24"/>
        <v>5.7875575155924119E-6</v>
      </c>
    </row>
    <row r="1577" spans="1:18" hidden="1" x14ac:dyDescent="0.2">
      <c r="A1577" s="4">
        <v>1086</v>
      </c>
      <c r="B1577" s="2">
        <v>289647</v>
      </c>
      <c r="C1577" s="2">
        <v>0</v>
      </c>
      <c r="D1577" s="4" t="s">
        <v>6190</v>
      </c>
      <c r="E1577" s="2">
        <v>289647</v>
      </c>
      <c r="F1577" s="2">
        <v>55032.93</v>
      </c>
      <c r="G1577" s="2">
        <v>0</v>
      </c>
      <c r="H1577" s="4">
        <v>0</v>
      </c>
      <c r="I1577" s="4">
        <v>0</v>
      </c>
      <c r="J1577" s="4">
        <v>0</v>
      </c>
      <c r="K1577" s="4">
        <v>344679.93</v>
      </c>
      <c r="L1577" s="4" t="s">
        <v>6188</v>
      </c>
      <c r="M1577" s="4" t="s">
        <v>6189</v>
      </c>
      <c r="N1577" s="4" t="s">
        <v>272</v>
      </c>
      <c r="O1577" s="4" t="s">
        <v>89</v>
      </c>
      <c r="P1577" s="4" t="s">
        <v>89</v>
      </c>
      <c r="Q1577" s="4" t="s">
        <v>100</v>
      </c>
      <c r="R1577" s="9">
        <f t="shared" si="24"/>
        <v>5.7697461158902804E-6</v>
      </c>
    </row>
    <row r="1578" spans="1:18" hidden="1" x14ac:dyDescent="0.2">
      <c r="A1578" s="4">
        <v>520</v>
      </c>
      <c r="B1578" s="2">
        <v>289512</v>
      </c>
      <c r="C1578" s="2">
        <v>0</v>
      </c>
      <c r="D1578" s="4" t="s">
        <v>6193</v>
      </c>
      <c r="E1578" s="2">
        <v>289512</v>
      </c>
      <c r="F1578" s="2">
        <v>55007.28</v>
      </c>
      <c r="G1578" s="2">
        <v>0</v>
      </c>
      <c r="H1578" s="4">
        <v>0</v>
      </c>
      <c r="I1578" s="4">
        <v>0</v>
      </c>
      <c r="J1578" s="4">
        <v>0</v>
      </c>
      <c r="K1578" s="4">
        <v>344519.28</v>
      </c>
      <c r="L1578" s="4" t="s">
        <v>6191</v>
      </c>
      <c r="M1578" s="4" t="s">
        <v>6192</v>
      </c>
      <c r="N1578" s="4" t="s">
        <v>20</v>
      </c>
      <c r="O1578" s="4" t="s">
        <v>71</v>
      </c>
      <c r="P1578" s="4" t="s">
        <v>71</v>
      </c>
      <c r="Q1578" s="4" t="s">
        <v>28</v>
      </c>
      <c r="R1578" s="9">
        <f t="shared" si="24"/>
        <v>5.7670569262019861E-6</v>
      </c>
    </row>
    <row r="1579" spans="1:18" hidden="1" x14ac:dyDescent="0.2">
      <c r="A1579" s="4">
        <v>1421</v>
      </c>
      <c r="B1579" s="2">
        <v>289396</v>
      </c>
      <c r="C1579" s="2">
        <v>0</v>
      </c>
      <c r="D1579" s="4" t="s">
        <v>6196</v>
      </c>
      <c r="E1579" s="2">
        <v>289396</v>
      </c>
      <c r="F1579" s="2">
        <v>54985.24</v>
      </c>
      <c r="G1579" s="2">
        <v>0</v>
      </c>
      <c r="H1579" s="4">
        <v>0</v>
      </c>
      <c r="I1579" s="4">
        <v>0</v>
      </c>
      <c r="J1579" s="4">
        <v>0</v>
      </c>
      <c r="K1579" s="4">
        <v>344381.24</v>
      </c>
      <c r="L1579" s="4" t="s">
        <v>6194</v>
      </c>
      <c r="M1579" s="4" t="s">
        <v>6195</v>
      </c>
      <c r="N1579" s="4" t="s">
        <v>20</v>
      </c>
      <c r="O1579" s="4" t="s">
        <v>2863</v>
      </c>
      <c r="P1579" s="4" t="s">
        <v>2863</v>
      </c>
      <c r="Q1579" s="4" t="s">
        <v>100</v>
      </c>
      <c r="R1579" s="9">
        <f t="shared" si="24"/>
        <v>5.7647462150624158E-6</v>
      </c>
    </row>
    <row r="1580" spans="1:18" hidden="1" x14ac:dyDescent="0.2">
      <c r="A1580" s="4">
        <v>907</v>
      </c>
      <c r="B1580" s="2">
        <v>289276</v>
      </c>
      <c r="C1580" s="2">
        <v>0</v>
      </c>
      <c r="D1580" s="4" t="s">
        <v>5069</v>
      </c>
      <c r="E1580" s="2">
        <v>289276</v>
      </c>
      <c r="F1580" s="2">
        <v>54962.44</v>
      </c>
      <c r="G1580" s="2">
        <v>0</v>
      </c>
      <c r="H1580" s="4">
        <v>0</v>
      </c>
      <c r="I1580" s="4">
        <v>0</v>
      </c>
      <c r="J1580" s="4">
        <v>0</v>
      </c>
      <c r="K1580" s="4">
        <v>344238.44</v>
      </c>
      <c r="L1580" s="4" t="s">
        <v>5067</v>
      </c>
      <c r="M1580" s="4" t="s">
        <v>5068</v>
      </c>
      <c r="N1580" s="4" t="s">
        <v>20</v>
      </c>
      <c r="O1580" s="4" t="s">
        <v>3938</v>
      </c>
      <c r="P1580" s="4" t="s">
        <v>3938</v>
      </c>
      <c r="Q1580" s="4" t="s">
        <v>1378</v>
      </c>
      <c r="R1580" s="9">
        <f t="shared" si="24"/>
        <v>5.762355824228377E-6</v>
      </c>
    </row>
    <row r="1581" spans="1:18" hidden="1" x14ac:dyDescent="0.2">
      <c r="A1581" s="4">
        <v>1037</v>
      </c>
      <c r="B1581" s="2">
        <v>286648</v>
      </c>
      <c r="C1581" s="2">
        <v>0</v>
      </c>
      <c r="D1581" s="4" t="s">
        <v>6199</v>
      </c>
      <c r="E1581" s="2">
        <v>286648</v>
      </c>
      <c r="F1581" s="2">
        <v>54463.12</v>
      </c>
      <c r="G1581" s="2">
        <v>0</v>
      </c>
      <c r="H1581" s="4">
        <v>0</v>
      </c>
      <c r="I1581" s="4">
        <v>0</v>
      </c>
      <c r="J1581" s="4">
        <v>0</v>
      </c>
      <c r="K1581" s="4">
        <v>341111.12</v>
      </c>
      <c r="L1581" s="4" t="s">
        <v>6197</v>
      </c>
      <c r="M1581" s="4" t="s">
        <v>6198</v>
      </c>
      <c r="N1581" s="4" t="s">
        <v>20</v>
      </c>
      <c r="O1581" s="4" t="s">
        <v>2863</v>
      </c>
      <c r="P1581" s="4" t="s">
        <v>2863</v>
      </c>
      <c r="Q1581" s="4" t="s">
        <v>100</v>
      </c>
      <c r="R1581" s="9">
        <f t="shared" si="24"/>
        <v>5.7100062649629276E-6</v>
      </c>
    </row>
    <row r="1582" spans="1:18" hidden="1" x14ac:dyDescent="0.2">
      <c r="A1582" s="4">
        <v>229</v>
      </c>
      <c r="B1582" s="2">
        <v>285339</v>
      </c>
      <c r="C1582" s="2">
        <v>0</v>
      </c>
      <c r="D1582" s="4" t="s">
        <v>6202</v>
      </c>
      <c r="E1582" s="2">
        <v>285339</v>
      </c>
      <c r="F1582" s="2">
        <v>54214.41</v>
      </c>
      <c r="G1582" s="2">
        <v>0</v>
      </c>
      <c r="H1582" s="4">
        <v>0</v>
      </c>
      <c r="I1582" s="4">
        <v>0</v>
      </c>
      <c r="J1582" s="4">
        <v>0</v>
      </c>
      <c r="K1582" s="4">
        <v>339553.41</v>
      </c>
      <c r="L1582" s="4" t="s">
        <v>6200</v>
      </c>
      <c r="M1582" s="4" t="s">
        <v>6201</v>
      </c>
      <c r="N1582" s="4" t="s">
        <v>20</v>
      </c>
      <c r="O1582" s="4" t="s">
        <v>2863</v>
      </c>
      <c r="P1582" s="4" t="s">
        <v>2863</v>
      </c>
      <c r="Q1582" s="4" t="s">
        <v>100</v>
      </c>
      <c r="R1582" s="9">
        <f t="shared" si="24"/>
        <v>5.6839310849482877E-6</v>
      </c>
    </row>
    <row r="1583" spans="1:18" hidden="1" x14ac:dyDescent="0.2">
      <c r="A1583" s="4">
        <v>452</v>
      </c>
      <c r="B1583" s="2">
        <v>284745</v>
      </c>
      <c r="C1583" s="2">
        <v>0</v>
      </c>
      <c r="D1583" s="4" t="s">
        <v>6205</v>
      </c>
      <c r="E1583" s="2">
        <v>284745</v>
      </c>
      <c r="F1583" s="2">
        <v>54101.55</v>
      </c>
      <c r="G1583" s="2">
        <v>0</v>
      </c>
      <c r="H1583" s="4">
        <v>0</v>
      </c>
      <c r="I1583" s="4">
        <v>0</v>
      </c>
      <c r="J1583" s="4">
        <v>0</v>
      </c>
      <c r="K1583" s="4">
        <v>338846.55</v>
      </c>
      <c r="L1583" s="4" t="s">
        <v>6203</v>
      </c>
      <c r="M1583" s="4" t="s">
        <v>6204</v>
      </c>
      <c r="N1583" s="4" t="s">
        <v>368</v>
      </c>
      <c r="O1583" s="4" t="s">
        <v>89</v>
      </c>
      <c r="P1583" s="4" t="s">
        <v>89</v>
      </c>
      <c r="Q1583" s="4" t="s">
        <v>100</v>
      </c>
      <c r="R1583" s="9">
        <f t="shared" si="24"/>
        <v>5.6720986503197959E-6</v>
      </c>
    </row>
    <row r="1584" spans="1:18" hidden="1" x14ac:dyDescent="0.2">
      <c r="A1584" s="4">
        <v>692</v>
      </c>
      <c r="B1584" s="2">
        <v>284745</v>
      </c>
      <c r="C1584" s="2">
        <v>0</v>
      </c>
      <c r="D1584" s="4" t="s">
        <v>6208</v>
      </c>
      <c r="E1584" s="2">
        <v>284745</v>
      </c>
      <c r="F1584" s="2">
        <v>54101.55</v>
      </c>
      <c r="G1584" s="2">
        <v>0</v>
      </c>
      <c r="H1584" s="4">
        <v>0</v>
      </c>
      <c r="I1584" s="4">
        <v>0</v>
      </c>
      <c r="J1584" s="4">
        <v>0</v>
      </c>
      <c r="K1584" s="4">
        <v>338846.55</v>
      </c>
      <c r="L1584" s="4" t="s">
        <v>6206</v>
      </c>
      <c r="M1584" s="4" t="s">
        <v>6207</v>
      </c>
      <c r="N1584" s="4" t="s">
        <v>20</v>
      </c>
      <c r="O1584" s="4" t="s">
        <v>257</v>
      </c>
      <c r="P1584" s="4" t="s">
        <v>1039</v>
      </c>
      <c r="Q1584" s="4" t="s">
        <v>100</v>
      </c>
      <c r="R1584" s="9">
        <f t="shared" si="24"/>
        <v>5.6720986503197959E-6</v>
      </c>
    </row>
    <row r="1585" spans="1:18" hidden="1" x14ac:dyDescent="0.2">
      <c r="A1585" s="4">
        <v>1740</v>
      </c>
      <c r="B1585" s="2">
        <v>280344</v>
      </c>
      <c r="C1585" s="2">
        <v>0</v>
      </c>
      <c r="D1585" s="4" t="s">
        <v>4581</v>
      </c>
      <c r="E1585" s="2">
        <v>280344</v>
      </c>
      <c r="F1585" s="2">
        <v>53265.36</v>
      </c>
      <c r="G1585" s="2">
        <v>0</v>
      </c>
      <c r="H1585" s="4">
        <v>0</v>
      </c>
      <c r="I1585" s="4">
        <v>0</v>
      </c>
      <c r="J1585" s="4">
        <v>0</v>
      </c>
      <c r="K1585" s="4">
        <v>333609.36</v>
      </c>
      <c r="L1585" s="4" t="s">
        <v>4579</v>
      </c>
      <c r="M1585" s="4" t="s">
        <v>4580</v>
      </c>
      <c r="N1585" s="4" t="s">
        <v>20</v>
      </c>
      <c r="O1585" s="4" t="s">
        <v>1356</v>
      </c>
      <c r="P1585" s="4" t="s">
        <v>1356</v>
      </c>
      <c r="Q1585" s="4" t="s">
        <v>100</v>
      </c>
      <c r="R1585" s="9">
        <f t="shared" si="24"/>
        <v>5.5844310664814231E-6</v>
      </c>
    </row>
    <row r="1586" spans="1:18" hidden="1" x14ac:dyDescent="0.2">
      <c r="A1586" s="4">
        <v>473</v>
      </c>
      <c r="B1586" s="2">
        <v>279851.49</v>
      </c>
      <c r="C1586" s="2">
        <v>0</v>
      </c>
      <c r="D1586" s="4" t="s">
        <v>4733</v>
      </c>
      <c r="E1586" s="2">
        <v>279851.49</v>
      </c>
      <c r="F1586" s="2">
        <v>53171.78</v>
      </c>
      <c r="G1586" s="2">
        <v>0</v>
      </c>
      <c r="H1586" s="4">
        <v>0</v>
      </c>
      <c r="I1586" s="4">
        <v>0</v>
      </c>
      <c r="J1586" s="4">
        <v>0</v>
      </c>
      <c r="K1586" s="4">
        <v>333023.27</v>
      </c>
      <c r="L1586" s="4" t="s">
        <v>4731</v>
      </c>
      <c r="M1586" s="4" t="s">
        <v>4732</v>
      </c>
      <c r="N1586" s="4" t="s">
        <v>41</v>
      </c>
      <c r="O1586" s="4" t="s">
        <v>900</v>
      </c>
      <c r="P1586" s="4" t="s">
        <v>900</v>
      </c>
      <c r="Q1586" s="4" t="s">
        <v>144</v>
      </c>
      <c r="R1586" s="9">
        <f t="shared" si="24"/>
        <v>5.5746203049008186E-6</v>
      </c>
    </row>
    <row r="1587" spans="1:18" hidden="1" x14ac:dyDescent="0.2">
      <c r="A1587" s="4">
        <v>1146</v>
      </c>
      <c r="B1587" s="2">
        <v>279116</v>
      </c>
      <c r="C1587" s="2">
        <v>0</v>
      </c>
      <c r="D1587" s="4" t="s">
        <v>6211</v>
      </c>
      <c r="E1587" s="2">
        <v>279116</v>
      </c>
      <c r="F1587" s="2">
        <v>52082.04</v>
      </c>
      <c r="G1587" s="2">
        <v>0</v>
      </c>
      <c r="H1587" s="4">
        <v>0</v>
      </c>
      <c r="I1587" s="4">
        <v>0</v>
      </c>
      <c r="J1587" s="4">
        <v>0</v>
      </c>
      <c r="K1587" s="4">
        <v>331198.03999999998</v>
      </c>
      <c r="L1587" s="4" t="s">
        <v>6209</v>
      </c>
      <c r="M1587" s="4" t="s">
        <v>6210</v>
      </c>
      <c r="N1587" s="4" t="s">
        <v>20</v>
      </c>
      <c r="O1587" s="4" t="s">
        <v>900</v>
      </c>
      <c r="P1587" s="4" t="s">
        <v>900</v>
      </c>
      <c r="Q1587" s="4" t="s">
        <v>144</v>
      </c>
      <c r="R1587" s="9">
        <f t="shared" si="24"/>
        <v>5.559969400279759E-6</v>
      </c>
    </row>
    <row r="1588" spans="1:18" hidden="1" x14ac:dyDescent="0.2">
      <c r="A1588" s="4">
        <v>1135</v>
      </c>
      <c r="B1588" s="2">
        <v>276075</v>
      </c>
      <c r="C1588" s="2">
        <v>0</v>
      </c>
      <c r="D1588" s="4" t="s">
        <v>6214</v>
      </c>
      <c r="E1588" s="2">
        <v>276075</v>
      </c>
      <c r="F1588" s="2">
        <v>52454.25</v>
      </c>
      <c r="G1588" s="2">
        <v>0</v>
      </c>
      <c r="H1588" s="4">
        <v>0</v>
      </c>
      <c r="I1588" s="4">
        <v>0</v>
      </c>
      <c r="J1588" s="4">
        <v>0</v>
      </c>
      <c r="K1588" s="4">
        <v>328529.25</v>
      </c>
      <c r="L1588" s="4" t="s">
        <v>6212</v>
      </c>
      <c r="M1588" s="4" t="s">
        <v>6213</v>
      </c>
      <c r="N1588" s="4" t="s">
        <v>20</v>
      </c>
      <c r="O1588" s="4" t="s">
        <v>3938</v>
      </c>
      <c r="P1588" s="4" t="s">
        <v>3938</v>
      </c>
      <c r="Q1588" s="4" t="s">
        <v>1378</v>
      </c>
      <c r="R1588" s="9">
        <f t="shared" si="24"/>
        <v>5.4993929125604926E-6</v>
      </c>
    </row>
    <row r="1589" spans="1:18" hidden="1" x14ac:dyDescent="0.2">
      <c r="A1589" s="4">
        <v>1854</v>
      </c>
      <c r="B1589" s="2">
        <v>275972</v>
      </c>
      <c r="C1589" s="2">
        <v>0</v>
      </c>
      <c r="D1589" s="4" t="s">
        <v>4578</v>
      </c>
      <c r="E1589" s="2">
        <v>275972</v>
      </c>
      <c r="F1589" s="2">
        <v>52434.68</v>
      </c>
      <c r="G1589" s="2">
        <v>0</v>
      </c>
      <c r="H1589" s="4">
        <v>0</v>
      </c>
      <c r="I1589" s="4">
        <v>0</v>
      </c>
      <c r="J1589" s="4">
        <v>0</v>
      </c>
      <c r="K1589" s="4">
        <v>328406.68</v>
      </c>
      <c r="L1589" s="4" t="s">
        <v>4576</v>
      </c>
      <c r="M1589" s="4" t="s">
        <v>4577</v>
      </c>
      <c r="N1589" s="4" t="s">
        <v>20</v>
      </c>
      <c r="O1589" s="4" t="s">
        <v>316</v>
      </c>
      <c r="P1589" s="4" t="s">
        <v>316</v>
      </c>
      <c r="Q1589" s="4" t="s">
        <v>100</v>
      </c>
      <c r="R1589" s="9">
        <f t="shared" si="24"/>
        <v>5.4973411604279432E-6</v>
      </c>
    </row>
    <row r="1590" spans="1:18" hidden="1" x14ac:dyDescent="0.2">
      <c r="A1590" s="4">
        <v>1474</v>
      </c>
      <c r="B1590" s="2">
        <v>273234.7</v>
      </c>
      <c r="C1590" s="2">
        <v>0</v>
      </c>
      <c r="D1590" s="4" t="s">
        <v>6217</v>
      </c>
      <c r="E1590" s="2">
        <v>273234.7</v>
      </c>
      <c r="F1590" s="2">
        <v>50964.59</v>
      </c>
      <c r="G1590" s="2">
        <v>0</v>
      </c>
      <c r="H1590" s="4">
        <v>0</v>
      </c>
      <c r="I1590" s="4">
        <v>0</v>
      </c>
      <c r="J1590" s="4">
        <v>0</v>
      </c>
      <c r="K1590" s="4">
        <v>324199.28999999998</v>
      </c>
      <c r="L1590" s="4" t="s">
        <v>6215</v>
      </c>
      <c r="M1590" s="4" t="s">
        <v>6216</v>
      </c>
      <c r="N1590" s="4" t="s">
        <v>20</v>
      </c>
      <c r="O1590" s="4" t="s">
        <v>900</v>
      </c>
      <c r="P1590" s="4" t="s">
        <v>900</v>
      </c>
      <c r="Q1590" s="4" t="s">
        <v>144</v>
      </c>
      <c r="R1590" s="9">
        <f t="shared" si="24"/>
        <v>5.4428143535111569E-6</v>
      </c>
    </row>
    <row r="1591" spans="1:18" hidden="1" x14ac:dyDescent="0.2">
      <c r="A1591" s="4">
        <v>50</v>
      </c>
      <c r="B1591" s="2">
        <v>273180</v>
      </c>
      <c r="C1591" s="2">
        <v>0</v>
      </c>
      <c r="D1591" s="4" t="s">
        <v>4280</v>
      </c>
      <c r="E1591" s="2">
        <v>273180</v>
      </c>
      <c r="F1591" s="2">
        <v>51904.2</v>
      </c>
      <c r="G1591" s="2">
        <v>6829.5</v>
      </c>
      <c r="H1591" s="4">
        <v>0</v>
      </c>
      <c r="I1591" s="4">
        <v>0</v>
      </c>
      <c r="J1591" s="4">
        <v>6829.5</v>
      </c>
      <c r="K1591" s="4">
        <v>318254.7</v>
      </c>
      <c r="L1591" s="4" t="s">
        <v>4278</v>
      </c>
      <c r="M1591" s="4" t="s">
        <v>4279</v>
      </c>
      <c r="N1591" s="4" t="s">
        <v>20</v>
      </c>
      <c r="O1591" s="4" t="s">
        <v>386</v>
      </c>
      <c r="P1591" s="4" t="s">
        <v>386</v>
      </c>
      <c r="Q1591" s="4" t="s">
        <v>408</v>
      </c>
      <c r="R1591" s="9">
        <f t="shared" si="24"/>
        <v>5.4417247336893067E-6</v>
      </c>
    </row>
    <row r="1592" spans="1:18" hidden="1" x14ac:dyDescent="0.2">
      <c r="A1592" s="4">
        <v>1649</v>
      </c>
      <c r="B1592" s="2">
        <v>275194</v>
      </c>
      <c r="C1592" s="2">
        <v>4255.0200000000004</v>
      </c>
      <c r="D1592" s="4" t="s">
        <v>6220</v>
      </c>
      <c r="E1592" s="2">
        <v>270938.98</v>
      </c>
      <c r="F1592" s="2">
        <v>51478.41</v>
      </c>
      <c r="G1592" s="2">
        <v>0</v>
      </c>
      <c r="H1592" s="4">
        <v>0</v>
      </c>
      <c r="I1592" s="4">
        <v>0</v>
      </c>
      <c r="J1592" s="4">
        <v>0</v>
      </c>
      <c r="K1592" s="4">
        <v>322417.39</v>
      </c>
      <c r="L1592" s="4" t="s">
        <v>6218</v>
      </c>
      <c r="M1592" s="4" t="s">
        <v>6219</v>
      </c>
      <c r="N1592" s="4" t="s">
        <v>20</v>
      </c>
      <c r="O1592" s="4" t="s">
        <v>2863</v>
      </c>
      <c r="P1592" s="4" t="s">
        <v>2863</v>
      </c>
      <c r="Q1592" s="4" t="s">
        <v>100</v>
      </c>
      <c r="R1592" s="9">
        <f t="shared" si="24"/>
        <v>5.3970837864651598E-6</v>
      </c>
    </row>
    <row r="1593" spans="1:18" hidden="1" x14ac:dyDescent="0.2">
      <c r="A1593" s="4">
        <v>1524</v>
      </c>
      <c r="B1593" s="2">
        <v>268385.7</v>
      </c>
      <c r="C1593" s="2">
        <v>0</v>
      </c>
      <c r="D1593" s="4" t="s">
        <v>6223</v>
      </c>
      <c r="E1593" s="2">
        <v>268385.7</v>
      </c>
      <c r="F1593" s="2">
        <v>50993.279999999999</v>
      </c>
      <c r="G1593" s="2">
        <v>0</v>
      </c>
      <c r="H1593" s="4">
        <v>0</v>
      </c>
      <c r="I1593" s="4">
        <v>0</v>
      </c>
      <c r="J1593" s="4">
        <v>0</v>
      </c>
      <c r="K1593" s="4">
        <v>319378.98</v>
      </c>
      <c r="L1593" s="4" t="s">
        <v>6221</v>
      </c>
      <c r="M1593" s="4" t="s">
        <v>6222</v>
      </c>
      <c r="N1593" s="4" t="s">
        <v>20</v>
      </c>
      <c r="O1593" s="4" t="s">
        <v>900</v>
      </c>
      <c r="P1593" s="4" t="s">
        <v>900</v>
      </c>
      <c r="Q1593" s="4" t="s">
        <v>144</v>
      </c>
      <c r="R1593" s="9">
        <f t="shared" si="24"/>
        <v>5.3462226438923727E-6</v>
      </c>
    </row>
    <row r="1594" spans="1:18" hidden="1" x14ac:dyDescent="0.2">
      <c r="A1594" s="4">
        <v>17</v>
      </c>
      <c r="B1594" s="2">
        <v>266092</v>
      </c>
      <c r="C1594" s="2">
        <v>0</v>
      </c>
      <c r="D1594" s="4" t="s">
        <v>6226</v>
      </c>
      <c r="E1594" s="2">
        <v>266092</v>
      </c>
      <c r="F1594" s="2">
        <v>49607.48</v>
      </c>
      <c r="G1594" s="2">
        <v>0</v>
      </c>
      <c r="H1594" s="4">
        <v>0</v>
      </c>
      <c r="I1594" s="4">
        <v>0</v>
      </c>
      <c r="J1594" s="4">
        <v>0</v>
      </c>
      <c r="K1594" s="4">
        <v>315699.48</v>
      </c>
      <c r="L1594" s="4" t="s">
        <v>6224</v>
      </c>
      <c r="M1594" s="4" t="s">
        <v>6225</v>
      </c>
      <c r="N1594" s="4" t="s">
        <v>20</v>
      </c>
      <c r="O1594" s="4" t="s">
        <v>900</v>
      </c>
      <c r="P1594" s="4" t="s">
        <v>900</v>
      </c>
      <c r="Q1594" s="4" t="s">
        <v>144</v>
      </c>
      <c r="R1594" s="9">
        <f t="shared" si="24"/>
        <v>5.3005323150920826E-6</v>
      </c>
    </row>
    <row r="1595" spans="1:18" hidden="1" x14ac:dyDescent="0.2">
      <c r="A1595" s="4">
        <v>894</v>
      </c>
      <c r="B1595" s="2">
        <v>260304</v>
      </c>
      <c r="C1595" s="2">
        <v>0</v>
      </c>
      <c r="D1595" s="4" t="s">
        <v>4371</v>
      </c>
      <c r="E1595" s="2">
        <v>260304</v>
      </c>
      <c r="F1595" s="2">
        <v>49457.760000000002</v>
      </c>
      <c r="G1595" s="2">
        <v>0</v>
      </c>
      <c r="H1595" s="4">
        <v>0</v>
      </c>
      <c r="I1595" s="4">
        <v>0</v>
      </c>
      <c r="J1595" s="4">
        <v>0</v>
      </c>
      <c r="K1595" s="4">
        <v>309761.76</v>
      </c>
      <c r="L1595" s="4" t="s">
        <v>4369</v>
      </c>
      <c r="M1595" s="4" t="s">
        <v>4370</v>
      </c>
      <c r="N1595" s="4" t="s">
        <v>20</v>
      </c>
      <c r="O1595" s="4" t="s">
        <v>768</v>
      </c>
      <c r="P1595" s="4" t="s">
        <v>768</v>
      </c>
      <c r="Q1595" s="4" t="s">
        <v>100</v>
      </c>
      <c r="R1595" s="9">
        <f t="shared" si="24"/>
        <v>5.1852357971969446E-6</v>
      </c>
    </row>
    <row r="1596" spans="1:18" hidden="1" x14ac:dyDescent="0.2">
      <c r="A1596" s="4">
        <v>497</v>
      </c>
      <c r="B1596" s="2">
        <v>259134</v>
      </c>
      <c r="C1596" s="2">
        <v>0</v>
      </c>
      <c r="D1596" s="4" t="s">
        <v>6229</v>
      </c>
      <c r="E1596" s="2">
        <v>259134</v>
      </c>
      <c r="F1596" s="2">
        <v>49235.46</v>
      </c>
      <c r="G1596" s="2">
        <v>0</v>
      </c>
      <c r="H1596" s="4">
        <v>0</v>
      </c>
      <c r="I1596" s="4">
        <v>0</v>
      </c>
      <c r="J1596" s="4">
        <v>0</v>
      </c>
      <c r="K1596" s="4">
        <v>308369.46000000002</v>
      </c>
      <c r="L1596" s="4" t="s">
        <v>6227</v>
      </c>
      <c r="M1596" s="4" t="s">
        <v>6228</v>
      </c>
      <c r="N1596" s="4" t="s">
        <v>20</v>
      </c>
      <c r="O1596" s="4" t="s">
        <v>2863</v>
      </c>
      <c r="P1596" s="4" t="s">
        <v>2863</v>
      </c>
      <c r="Q1596" s="4" t="s">
        <v>100</v>
      </c>
      <c r="R1596" s="9">
        <f t="shared" si="24"/>
        <v>5.1619294865650668E-6</v>
      </c>
    </row>
    <row r="1597" spans="1:18" hidden="1" x14ac:dyDescent="0.2">
      <c r="A1597" s="4">
        <v>1897</v>
      </c>
      <c r="B1597" s="2">
        <v>258860.79999999999</v>
      </c>
      <c r="C1597" s="2">
        <v>0</v>
      </c>
      <c r="D1597" s="4" t="s">
        <v>6232</v>
      </c>
      <c r="E1597" s="2">
        <v>258860.79999999999</v>
      </c>
      <c r="F1597" s="2">
        <v>48233.55</v>
      </c>
      <c r="G1597" s="2">
        <v>0</v>
      </c>
      <c r="H1597" s="4">
        <v>0</v>
      </c>
      <c r="I1597" s="4">
        <v>0</v>
      </c>
      <c r="J1597" s="4">
        <v>0</v>
      </c>
      <c r="K1597" s="4">
        <v>307094.34999999998</v>
      </c>
      <c r="L1597" s="4" t="s">
        <v>6230</v>
      </c>
      <c r="M1597" s="4" t="s">
        <v>6231</v>
      </c>
      <c r="N1597" s="4" t="s">
        <v>20</v>
      </c>
      <c r="O1597" s="4" t="s">
        <v>900</v>
      </c>
      <c r="P1597" s="4" t="s">
        <v>900</v>
      </c>
      <c r="Q1597" s="4" t="s">
        <v>144</v>
      </c>
      <c r="R1597" s="9">
        <f t="shared" si="24"/>
        <v>5.1564873634329047E-6</v>
      </c>
    </row>
    <row r="1598" spans="1:18" hidden="1" x14ac:dyDescent="0.2">
      <c r="A1598" s="4">
        <v>1489</v>
      </c>
      <c r="B1598" s="2">
        <v>256064</v>
      </c>
      <c r="C1598" s="2">
        <v>0</v>
      </c>
      <c r="D1598" s="4" t="s">
        <v>6235</v>
      </c>
      <c r="E1598" s="2">
        <v>256064</v>
      </c>
      <c r="F1598" s="2">
        <v>48652.160000000003</v>
      </c>
      <c r="G1598" s="2">
        <v>0</v>
      </c>
      <c r="H1598" s="4">
        <v>0</v>
      </c>
      <c r="I1598" s="4">
        <v>0</v>
      </c>
      <c r="J1598" s="4">
        <v>0</v>
      </c>
      <c r="K1598" s="4">
        <v>304716.15999999997</v>
      </c>
      <c r="L1598" s="4" t="s">
        <v>6233</v>
      </c>
      <c r="M1598" s="4" t="s">
        <v>6234</v>
      </c>
      <c r="N1598" s="4" t="s">
        <v>20</v>
      </c>
      <c r="O1598" s="4" t="s">
        <v>2863</v>
      </c>
      <c r="P1598" s="4" t="s">
        <v>2863</v>
      </c>
      <c r="Q1598" s="4" t="s">
        <v>100</v>
      </c>
      <c r="R1598" s="9">
        <f t="shared" si="24"/>
        <v>5.1007753210609077E-6</v>
      </c>
    </row>
    <row r="1599" spans="1:18" hidden="1" x14ac:dyDescent="0.2">
      <c r="A1599" s="4">
        <v>636</v>
      </c>
      <c r="B1599" s="2">
        <v>255936</v>
      </c>
      <c r="C1599" s="2">
        <v>0</v>
      </c>
      <c r="D1599" s="4" t="s">
        <v>2668</v>
      </c>
      <c r="E1599" s="2">
        <v>255936</v>
      </c>
      <c r="F1599" s="2">
        <v>48627.839999999997</v>
      </c>
      <c r="G1599" s="2">
        <v>0</v>
      </c>
      <c r="H1599" s="4">
        <v>0</v>
      </c>
      <c r="I1599" s="4">
        <v>0</v>
      </c>
      <c r="J1599" s="4">
        <v>0</v>
      </c>
      <c r="K1599" s="4">
        <v>304563.84000000003</v>
      </c>
      <c r="L1599" s="4" t="s">
        <v>2666</v>
      </c>
      <c r="M1599" s="4" t="s">
        <v>2667</v>
      </c>
      <c r="N1599" s="4" t="s">
        <v>20</v>
      </c>
      <c r="O1599" s="4" t="s">
        <v>257</v>
      </c>
      <c r="P1599" s="4" t="s">
        <v>257</v>
      </c>
      <c r="Q1599" s="4" t="s">
        <v>100</v>
      </c>
      <c r="R1599" s="9">
        <f t="shared" si="24"/>
        <v>5.0982255708379332E-6</v>
      </c>
    </row>
    <row r="1600" spans="1:18" hidden="1" x14ac:dyDescent="0.2">
      <c r="A1600" s="4">
        <v>204</v>
      </c>
      <c r="B1600" s="2">
        <v>255590</v>
      </c>
      <c r="C1600" s="2">
        <v>0</v>
      </c>
      <c r="D1600" s="4" t="s">
        <v>5066</v>
      </c>
      <c r="E1600" s="2">
        <v>255590</v>
      </c>
      <c r="F1600" s="2">
        <v>48562.1</v>
      </c>
      <c r="G1600" s="2">
        <v>0</v>
      </c>
      <c r="H1600" s="4">
        <v>0</v>
      </c>
      <c r="I1600" s="4">
        <v>0</v>
      </c>
      <c r="J1600" s="4">
        <v>0</v>
      </c>
      <c r="K1600" s="4">
        <v>304152.09999999998</v>
      </c>
      <c r="L1600" s="4" t="s">
        <v>5064</v>
      </c>
      <c r="M1600" s="4" t="s">
        <v>5065</v>
      </c>
      <c r="N1600" s="4" t="s">
        <v>1143</v>
      </c>
      <c r="O1600" s="4" t="s">
        <v>340</v>
      </c>
      <c r="P1600" s="4" t="s">
        <v>340</v>
      </c>
      <c r="Q1600" s="4" t="s">
        <v>100</v>
      </c>
      <c r="R1600" s="9">
        <f t="shared" si="24"/>
        <v>5.0913332772664547E-6</v>
      </c>
    </row>
    <row r="1601" spans="1:18" hidden="1" x14ac:dyDescent="0.2">
      <c r="A1601" s="4">
        <v>493</v>
      </c>
      <c r="B1601" s="2">
        <v>254505</v>
      </c>
      <c r="C1601" s="2">
        <v>0</v>
      </c>
      <c r="D1601" s="4" t="s">
        <v>6238</v>
      </c>
      <c r="E1601" s="2">
        <v>254505</v>
      </c>
      <c r="F1601" s="2">
        <v>48355.95</v>
      </c>
      <c r="G1601" s="2">
        <v>0</v>
      </c>
      <c r="H1601" s="4">
        <v>0</v>
      </c>
      <c r="I1601" s="4">
        <v>0</v>
      </c>
      <c r="J1601" s="4">
        <v>0</v>
      </c>
      <c r="K1601" s="4">
        <v>302860.95</v>
      </c>
      <c r="L1601" s="4" t="s">
        <v>6236</v>
      </c>
      <c r="M1601" s="4" t="s">
        <v>6237</v>
      </c>
      <c r="N1601" s="4" t="s">
        <v>32</v>
      </c>
      <c r="O1601" s="4" t="s">
        <v>900</v>
      </c>
      <c r="P1601" s="4" t="s">
        <v>900</v>
      </c>
      <c r="Q1601" s="4" t="s">
        <v>144</v>
      </c>
      <c r="R1601" s="9">
        <f t="shared" si="24"/>
        <v>5.0697201601420205E-6</v>
      </c>
    </row>
    <row r="1602" spans="1:18" hidden="1" x14ac:dyDescent="0.2">
      <c r="A1602" s="4">
        <v>1350</v>
      </c>
      <c r="B1602" s="2">
        <v>253459</v>
      </c>
      <c r="C1602" s="2">
        <v>0</v>
      </c>
      <c r="D1602" s="4" t="s">
        <v>6241</v>
      </c>
      <c r="E1602" s="2">
        <v>253459</v>
      </c>
      <c r="F1602" s="2">
        <v>48157.21</v>
      </c>
      <c r="G1602" s="2">
        <v>0</v>
      </c>
      <c r="H1602" s="4">
        <v>0</v>
      </c>
      <c r="I1602" s="4">
        <v>0</v>
      </c>
      <c r="J1602" s="4">
        <v>0</v>
      </c>
      <c r="K1602" s="4">
        <v>301616.21000000002</v>
      </c>
      <c r="L1602" s="4" t="s">
        <v>6239</v>
      </c>
      <c r="M1602" s="4" t="s">
        <v>6240</v>
      </c>
      <c r="N1602" s="4" t="s">
        <v>20</v>
      </c>
      <c r="O1602" s="4" t="s">
        <v>2863</v>
      </c>
      <c r="P1602" s="4" t="s">
        <v>2863</v>
      </c>
      <c r="Q1602" s="4" t="s">
        <v>100</v>
      </c>
      <c r="R1602" s="9">
        <f t="shared" si="24"/>
        <v>5.0488839200386486E-6</v>
      </c>
    </row>
    <row r="1603" spans="1:18" hidden="1" x14ac:dyDescent="0.2">
      <c r="A1603" s="4">
        <v>18</v>
      </c>
      <c r="B1603" s="2">
        <v>251610</v>
      </c>
      <c r="C1603" s="2">
        <v>0</v>
      </c>
      <c r="D1603" s="4" t="s">
        <v>6244</v>
      </c>
      <c r="E1603" s="2">
        <v>251610</v>
      </c>
      <c r="F1603" s="2">
        <v>46855.9</v>
      </c>
      <c r="G1603" s="2">
        <v>0</v>
      </c>
      <c r="H1603" s="4">
        <v>0</v>
      </c>
      <c r="I1603" s="4">
        <v>0</v>
      </c>
      <c r="J1603" s="4">
        <v>0</v>
      </c>
      <c r="K1603" s="4">
        <v>298465.90000000002</v>
      </c>
      <c r="L1603" s="4" t="s">
        <v>6242</v>
      </c>
      <c r="M1603" s="4" t="s">
        <v>6243</v>
      </c>
      <c r="N1603" s="4" t="s">
        <v>20</v>
      </c>
      <c r="O1603" s="4" t="s">
        <v>900</v>
      </c>
      <c r="P1603" s="4" t="s">
        <v>900</v>
      </c>
      <c r="Q1603" s="4" t="s">
        <v>144</v>
      </c>
      <c r="R1603" s="9">
        <f t="shared" ref="R1603:R1666" si="25">E1603/$E$2034</f>
        <v>5.0120519812708346E-6</v>
      </c>
    </row>
    <row r="1604" spans="1:18" hidden="1" x14ac:dyDescent="0.2">
      <c r="A1604" s="4">
        <v>2017</v>
      </c>
      <c r="B1604" s="2">
        <v>251300</v>
      </c>
      <c r="C1604" s="2">
        <v>0</v>
      </c>
      <c r="D1604" s="4" t="s">
        <v>6247</v>
      </c>
      <c r="E1604" s="2">
        <v>251300</v>
      </c>
      <c r="F1604" s="2">
        <v>46797</v>
      </c>
      <c r="G1604" s="2">
        <v>0</v>
      </c>
      <c r="H1604" s="4">
        <v>0</v>
      </c>
      <c r="I1604" s="4">
        <v>0</v>
      </c>
      <c r="J1604" s="4">
        <v>0</v>
      </c>
      <c r="K1604" s="4">
        <v>298097</v>
      </c>
      <c r="L1604" s="4" t="s">
        <v>6245</v>
      </c>
      <c r="M1604" s="4" t="s">
        <v>6246</v>
      </c>
      <c r="N1604" s="4" t="s">
        <v>20</v>
      </c>
      <c r="O1604" s="4" t="s">
        <v>900</v>
      </c>
      <c r="P1604" s="4" t="s">
        <v>900</v>
      </c>
      <c r="Q1604" s="4" t="s">
        <v>144</v>
      </c>
      <c r="R1604" s="9">
        <f t="shared" si="25"/>
        <v>5.0058768049495679E-6</v>
      </c>
    </row>
    <row r="1605" spans="1:18" hidden="1" x14ac:dyDescent="0.2">
      <c r="A1605" s="4">
        <v>791</v>
      </c>
      <c r="B1605" s="2">
        <v>250896</v>
      </c>
      <c r="C1605" s="2">
        <v>0</v>
      </c>
      <c r="D1605" s="4" t="s">
        <v>6250</v>
      </c>
      <c r="E1605" s="2">
        <v>250896</v>
      </c>
      <c r="F1605" s="2">
        <v>47670.239999999998</v>
      </c>
      <c r="G1605" s="2">
        <v>0</v>
      </c>
      <c r="H1605" s="4">
        <v>0</v>
      </c>
      <c r="I1605" s="4">
        <v>0</v>
      </c>
      <c r="J1605" s="4">
        <v>0</v>
      </c>
      <c r="K1605" s="4">
        <v>298566.24</v>
      </c>
      <c r="L1605" s="4" t="s">
        <v>6248</v>
      </c>
      <c r="M1605" s="4" t="s">
        <v>6249</v>
      </c>
      <c r="N1605" s="4" t="s">
        <v>20</v>
      </c>
      <c r="O1605" s="4" t="s">
        <v>2863</v>
      </c>
      <c r="P1605" s="4" t="s">
        <v>2863</v>
      </c>
      <c r="Q1605" s="4" t="s">
        <v>100</v>
      </c>
      <c r="R1605" s="9">
        <f t="shared" si="25"/>
        <v>4.9978291558083039E-6</v>
      </c>
    </row>
    <row r="1606" spans="1:18" hidden="1" x14ac:dyDescent="0.2">
      <c r="A1606" s="4">
        <v>1237</v>
      </c>
      <c r="B1606" s="2">
        <v>247891</v>
      </c>
      <c r="C1606" s="2">
        <v>0</v>
      </c>
      <c r="D1606" s="4" t="s">
        <v>4903</v>
      </c>
      <c r="E1606" s="2">
        <v>247891</v>
      </c>
      <c r="F1606" s="2">
        <v>47099.29</v>
      </c>
      <c r="G1606" s="2">
        <v>0</v>
      </c>
      <c r="H1606" s="4">
        <v>0</v>
      </c>
      <c r="I1606" s="4">
        <v>0</v>
      </c>
      <c r="J1606" s="4">
        <v>0</v>
      </c>
      <c r="K1606" s="4">
        <v>294990.28999999998</v>
      </c>
      <c r="L1606" s="4" t="s">
        <v>4901</v>
      </c>
      <c r="M1606" s="4" t="s">
        <v>4902</v>
      </c>
      <c r="N1606" s="4" t="s">
        <v>20</v>
      </c>
      <c r="O1606" s="4" t="s">
        <v>1157</v>
      </c>
      <c r="P1606" s="4" t="s">
        <v>1157</v>
      </c>
      <c r="Q1606" s="4" t="s">
        <v>100</v>
      </c>
      <c r="R1606" s="9">
        <f t="shared" si="25"/>
        <v>4.9379697853392485E-6</v>
      </c>
    </row>
    <row r="1607" spans="1:18" hidden="1" x14ac:dyDescent="0.2">
      <c r="A1607" s="4">
        <v>189</v>
      </c>
      <c r="B1607" s="2">
        <v>246214</v>
      </c>
      <c r="C1607" s="2">
        <v>0</v>
      </c>
      <c r="D1607" s="4" t="s">
        <v>6253</v>
      </c>
      <c r="E1607" s="2">
        <v>246214</v>
      </c>
      <c r="F1607" s="2">
        <v>46780.66</v>
      </c>
      <c r="G1607" s="2">
        <v>0</v>
      </c>
      <c r="H1607" s="4">
        <v>0</v>
      </c>
      <c r="I1607" s="4">
        <v>0</v>
      </c>
      <c r="J1607" s="4">
        <v>0</v>
      </c>
      <c r="K1607" s="4">
        <v>292994.65999999997</v>
      </c>
      <c r="L1607" s="4" t="s">
        <v>6251</v>
      </c>
      <c r="M1607" s="4" t="s">
        <v>6252</v>
      </c>
      <c r="N1607" s="4" t="s">
        <v>20</v>
      </c>
      <c r="O1607" s="4" t="s">
        <v>386</v>
      </c>
      <c r="P1607" s="4" t="s">
        <v>386</v>
      </c>
      <c r="Q1607" s="4" t="s">
        <v>585</v>
      </c>
      <c r="R1607" s="9">
        <f t="shared" si="25"/>
        <v>4.9045640734335564E-6</v>
      </c>
    </row>
    <row r="1608" spans="1:18" hidden="1" x14ac:dyDescent="0.2">
      <c r="A1608" s="4">
        <v>1675</v>
      </c>
      <c r="B1608" s="2">
        <v>246166</v>
      </c>
      <c r="C1608" s="2">
        <v>0</v>
      </c>
      <c r="D1608" s="4" t="s">
        <v>4358</v>
      </c>
      <c r="E1608" s="2">
        <v>246166</v>
      </c>
      <c r="F1608" s="2">
        <v>46771.54</v>
      </c>
      <c r="G1608" s="2">
        <v>0</v>
      </c>
      <c r="H1608" s="4">
        <v>0</v>
      </c>
      <c r="I1608" s="4">
        <v>0</v>
      </c>
      <c r="J1608" s="4">
        <v>0</v>
      </c>
      <c r="K1608" s="4">
        <v>292937.53999999998</v>
      </c>
      <c r="L1608" s="4" t="s">
        <v>4356</v>
      </c>
      <c r="M1608" s="4" t="s">
        <v>4357</v>
      </c>
      <c r="N1608" s="4" t="s">
        <v>20</v>
      </c>
      <c r="O1608" s="4" t="s">
        <v>2863</v>
      </c>
      <c r="P1608" s="4" t="s">
        <v>2863</v>
      </c>
      <c r="Q1608" s="4" t="s">
        <v>100</v>
      </c>
      <c r="R1608" s="9">
        <f t="shared" si="25"/>
        <v>4.9036079170999412E-6</v>
      </c>
    </row>
    <row r="1609" spans="1:18" hidden="1" x14ac:dyDescent="0.2">
      <c r="A1609" s="4">
        <v>1032</v>
      </c>
      <c r="B1609" s="2">
        <v>242789</v>
      </c>
      <c r="C1609" s="2">
        <v>0</v>
      </c>
      <c r="D1609" s="4" t="s">
        <v>6256</v>
      </c>
      <c r="E1609" s="2">
        <v>242789</v>
      </c>
      <c r="F1609" s="2">
        <v>46129.91</v>
      </c>
      <c r="G1609" s="2">
        <v>0</v>
      </c>
      <c r="H1609" s="4">
        <v>0</v>
      </c>
      <c r="I1609" s="4">
        <v>0</v>
      </c>
      <c r="J1609" s="4">
        <v>0</v>
      </c>
      <c r="K1609" s="4">
        <v>288918.90999999997</v>
      </c>
      <c r="L1609" s="4" t="s">
        <v>6254</v>
      </c>
      <c r="M1609" s="4" t="s">
        <v>6255</v>
      </c>
      <c r="N1609" s="4" t="s">
        <v>20</v>
      </c>
      <c r="O1609" s="4" t="s">
        <v>3938</v>
      </c>
      <c r="P1609" s="4" t="s">
        <v>3938</v>
      </c>
      <c r="Q1609" s="4" t="s">
        <v>1378</v>
      </c>
      <c r="R1609" s="9">
        <f t="shared" si="25"/>
        <v>4.8363383350453667E-6</v>
      </c>
    </row>
    <row r="1610" spans="1:18" hidden="1" x14ac:dyDescent="0.2">
      <c r="A1610" s="4">
        <v>2005</v>
      </c>
      <c r="B1610" s="2">
        <v>242231.22</v>
      </c>
      <c r="C1610" s="2">
        <v>0</v>
      </c>
      <c r="D1610" s="4" t="s">
        <v>6259</v>
      </c>
      <c r="E1610" s="2">
        <v>242231.22</v>
      </c>
      <c r="F1610" s="2">
        <v>42223.93</v>
      </c>
      <c r="G1610" s="2">
        <v>0</v>
      </c>
      <c r="H1610" s="4">
        <v>0</v>
      </c>
      <c r="I1610" s="4">
        <v>0</v>
      </c>
      <c r="J1610" s="4">
        <v>0</v>
      </c>
      <c r="K1610" s="4">
        <v>284455.15000000002</v>
      </c>
      <c r="L1610" s="4" t="s">
        <v>6257</v>
      </c>
      <c r="M1610" s="4" t="s">
        <v>6258</v>
      </c>
      <c r="N1610" s="4" t="s">
        <v>20</v>
      </c>
      <c r="O1610" s="4" t="s">
        <v>900</v>
      </c>
      <c r="P1610" s="4" t="s">
        <v>900</v>
      </c>
      <c r="Q1610" s="4" t="s">
        <v>144</v>
      </c>
      <c r="R1610" s="9">
        <f t="shared" si="25"/>
        <v>4.8252274000502818E-6</v>
      </c>
    </row>
    <row r="1611" spans="1:18" hidden="1" x14ac:dyDescent="0.2">
      <c r="A1611" s="4">
        <v>2023</v>
      </c>
      <c r="B1611" s="2">
        <v>240408</v>
      </c>
      <c r="C1611" s="2">
        <v>0</v>
      </c>
      <c r="D1611" s="4" t="s">
        <v>4934</v>
      </c>
      <c r="E1611" s="2">
        <v>240408</v>
      </c>
      <c r="F1611" s="2">
        <v>45677.52</v>
      </c>
      <c r="G1611" s="2">
        <v>0</v>
      </c>
      <c r="H1611" s="4">
        <v>0</v>
      </c>
      <c r="I1611" s="4">
        <v>0</v>
      </c>
      <c r="J1611" s="4">
        <v>0</v>
      </c>
      <c r="K1611" s="4">
        <v>286085.52</v>
      </c>
      <c r="L1611" s="4" t="s">
        <v>4932</v>
      </c>
      <c r="M1611" s="4" t="s">
        <v>4933</v>
      </c>
      <c r="N1611" s="4" t="s">
        <v>20</v>
      </c>
      <c r="O1611" s="4" t="s">
        <v>3938</v>
      </c>
      <c r="P1611" s="4" t="s">
        <v>3938</v>
      </c>
      <c r="Q1611" s="4" t="s">
        <v>1378</v>
      </c>
      <c r="R1611" s="9">
        <f t="shared" si="25"/>
        <v>4.7889089969133133E-6</v>
      </c>
    </row>
    <row r="1612" spans="1:18" hidden="1" x14ac:dyDescent="0.2">
      <c r="A1612" s="4">
        <v>1677</v>
      </c>
      <c r="B1612" s="2">
        <v>237544</v>
      </c>
      <c r="C1612" s="2">
        <v>0</v>
      </c>
      <c r="D1612" s="4" t="s">
        <v>3721</v>
      </c>
      <c r="E1612" s="2">
        <v>237544</v>
      </c>
      <c r="F1612" s="2">
        <v>45133.36</v>
      </c>
      <c r="G1612" s="2">
        <v>0</v>
      </c>
      <c r="H1612" s="4">
        <v>0</v>
      </c>
      <c r="I1612" s="4">
        <v>0</v>
      </c>
      <c r="J1612" s="4">
        <v>0</v>
      </c>
      <c r="K1612" s="4">
        <v>282677.36</v>
      </c>
      <c r="L1612" s="4" t="s">
        <v>3719</v>
      </c>
      <c r="M1612" s="4" t="s">
        <v>3720</v>
      </c>
      <c r="N1612" s="4" t="s">
        <v>20</v>
      </c>
      <c r="O1612" s="4" t="s">
        <v>2863</v>
      </c>
      <c r="P1612" s="4" t="s">
        <v>2863</v>
      </c>
      <c r="Q1612" s="4" t="s">
        <v>100</v>
      </c>
      <c r="R1612" s="9">
        <f t="shared" si="25"/>
        <v>4.731858335674254E-6</v>
      </c>
    </row>
    <row r="1613" spans="1:18" hidden="1" x14ac:dyDescent="0.2">
      <c r="A1613" s="4">
        <v>1438</v>
      </c>
      <c r="B1613" s="2">
        <v>233282</v>
      </c>
      <c r="C1613" s="2">
        <v>0</v>
      </c>
      <c r="D1613" s="4" t="s">
        <v>4835</v>
      </c>
      <c r="E1613" s="2">
        <v>233282</v>
      </c>
      <c r="F1613" s="2">
        <v>44323.58</v>
      </c>
      <c r="G1613" s="2">
        <v>0</v>
      </c>
      <c r="H1613" s="4">
        <v>0</v>
      </c>
      <c r="I1613" s="4">
        <v>0</v>
      </c>
      <c r="J1613" s="4">
        <v>0</v>
      </c>
      <c r="K1613" s="4">
        <v>277605.58</v>
      </c>
      <c r="L1613" s="4" t="s">
        <v>6260</v>
      </c>
      <c r="M1613" s="4" t="s">
        <v>4834</v>
      </c>
      <c r="N1613" s="4" t="s">
        <v>20</v>
      </c>
      <c r="O1613" s="4" t="s">
        <v>2863</v>
      </c>
      <c r="P1613" s="4" t="s">
        <v>2863</v>
      </c>
      <c r="Q1613" s="4" t="s">
        <v>100</v>
      </c>
      <c r="R1613" s="9">
        <f t="shared" si="25"/>
        <v>4.6469596212186434E-6</v>
      </c>
    </row>
    <row r="1614" spans="1:18" hidden="1" x14ac:dyDescent="0.2">
      <c r="A1614" s="4">
        <v>1239</v>
      </c>
      <c r="B1614" s="2">
        <v>231638</v>
      </c>
      <c r="C1614" s="2">
        <v>0</v>
      </c>
      <c r="D1614" s="4" t="s">
        <v>6263</v>
      </c>
      <c r="E1614" s="2">
        <v>231638</v>
      </c>
      <c r="F1614" s="2">
        <v>43061.22</v>
      </c>
      <c r="G1614" s="2">
        <v>0</v>
      </c>
      <c r="H1614" s="4">
        <v>0</v>
      </c>
      <c r="I1614" s="4">
        <v>0</v>
      </c>
      <c r="J1614" s="4">
        <v>0</v>
      </c>
      <c r="K1614" s="4">
        <v>274699.21999999997</v>
      </c>
      <c r="L1614" s="4" t="s">
        <v>6261</v>
      </c>
      <c r="M1614" s="4" t="s">
        <v>6262</v>
      </c>
      <c r="N1614" s="4" t="s">
        <v>20</v>
      </c>
      <c r="O1614" s="4" t="s">
        <v>900</v>
      </c>
      <c r="P1614" s="4" t="s">
        <v>900</v>
      </c>
      <c r="Q1614" s="4" t="s">
        <v>144</v>
      </c>
      <c r="R1614" s="9">
        <f t="shared" si="25"/>
        <v>4.6142112667923119E-6</v>
      </c>
    </row>
    <row r="1615" spans="1:18" hidden="1" x14ac:dyDescent="0.2">
      <c r="A1615" s="4">
        <v>1326</v>
      </c>
      <c r="B1615" s="2">
        <v>230142</v>
      </c>
      <c r="C1615" s="2">
        <v>0</v>
      </c>
      <c r="D1615" s="4" t="s">
        <v>6266</v>
      </c>
      <c r="E1615" s="2">
        <v>230142</v>
      </c>
      <c r="F1615" s="2">
        <v>43726.98</v>
      </c>
      <c r="G1615" s="2">
        <v>0</v>
      </c>
      <c r="H1615" s="4">
        <v>0</v>
      </c>
      <c r="I1615" s="4">
        <v>0</v>
      </c>
      <c r="J1615" s="4">
        <v>0</v>
      </c>
      <c r="K1615" s="4">
        <v>273868.98</v>
      </c>
      <c r="L1615" s="4" t="s">
        <v>6264</v>
      </c>
      <c r="M1615" s="4" t="s">
        <v>6265</v>
      </c>
      <c r="N1615" s="4" t="s">
        <v>20</v>
      </c>
      <c r="O1615" s="4" t="s">
        <v>3938</v>
      </c>
      <c r="P1615" s="4" t="s">
        <v>3938</v>
      </c>
      <c r="Q1615" s="4" t="s">
        <v>1378</v>
      </c>
      <c r="R1615" s="9">
        <f t="shared" si="25"/>
        <v>4.5844110610612946E-6</v>
      </c>
    </row>
    <row r="1616" spans="1:18" hidden="1" x14ac:dyDescent="0.2">
      <c r="A1616" s="4">
        <v>1128</v>
      </c>
      <c r="B1616" s="2">
        <v>228277</v>
      </c>
      <c r="C1616" s="2">
        <v>0</v>
      </c>
      <c r="D1616" s="4" t="s">
        <v>6269</v>
      </c>
      <c r="E1616" s="2">
        <v>228277</v>
      </c>
      <c r="F1616" s="2">
        <v>42422.63</v>
      </c>
      <c r="G1616" s="2">
        <v>0</v>
      </c>
      <c r="H1616" s="4">
        <v>0</v>
      </c>
      <c r="I1616" s="4">
        <v>0</v>
      </c>
      <c r="J1616" s="4">
        <v>0</v>
      </c>
      <c r="K1616" s="4">
        <v>270699.63</v>
      </c>
      <c r="L1616" s="4" t="s">
        <v>6267</v>
      </c>
      <c r="M1616" s="4" t="s">
        <v>6268</v>
      </c>
      <c r="N1616" s="4" t="s">
        <v>20</v>
      </c>
      <c r="O1616" s="4" t="s">
        <v>900</v>
      </c>
      <c r="P1616" s="4" t="s">
        <v>900</v>
      </c>
      <c r="Q1616" s="4" t="s">
        <v>144</v>
      </c>
      <c r="R1616" s="9">
        <f t="shared" si="25"/>
        <v>4.5472604035156085E-6</v>
      </c>
    </row>
    <row r="1617" spans="1:18" hidden="1" x14ac:dyDescent="0.2">
      <c r="A1617" s="4">
        <v>1235</v>
      </c>
      <c r="B1617" s="2">
        <v>228252.7</v>
      </c>
      <c r="C1617" s="2">
        <v>0</v>
      </c>
      <c r="D1617" s="4" t="s">
        <v>6272</v>
      </c>
      <c r="E1617" s="2">
        <v>228252.7</v>
      </c>
      <c r="F1617" s="2">
        <v>42418.01</v>
      </c>
      <c r="G1617" s="2">
        <v>0</v>
      </c>
      <c r="H1617" s="4">
        <v>0</v>
      </c>
      <c r="I1617" s="4">
        <v>0</v>
      </c>
      <c r="J1617" s="4">
        <v>0</v>
      </c>
      <c r="K1617" s="4">
        <v>270670.71000000002</v>
      </c>
      <c r="L1617" s="4" t="s">
        <v>6270</v>
      </c>
      <c r="M1617" s="4" t="s">
        <v>6271</v>
      </c>
      <c r="N1617" s="4" t="s">
        <v>20</v>
      </c>
      <c r="O1617" s="4" t="s">
        <v>900</v>
      </c>
      <c r="P1617" s="4" t="s">
        <v>900</v>
      </c>
      <c r="Q1617" s="4" t="s">
        <v>144</v>
      </c>
      <c r="R1617" s="9">
        <f t="shared" si="25"/>
        <v>4.5467763493717161E-6</v>
      </c>
    </row>
    <row r="1618" spans="1:18" hidden="1" x14ac:dyDescent="0.2">
      <c r="A1618" s="4">
        <v>2028</v>
      </c>
      <c r="B1618" s="2">
        <v>225882</v>
      </c>
      <c r="C1618" s="2">
        <v>0</v>
      </c>
      <c r="D1618" s="4" t="s">
        <v>4593</v>
      </c>
      <c r="E1618" s="2">
        <v>225882</v>
      </c>
      <c r="F1618" s="2">
        <v>42917.58</v>
      </c>
      <c r="G1618" s="2">
        <v>0</v>
      </c>
      <c r="H1618" s="4">
        <v>0</v>
      </c>
      <c r="I1618" s="4">
        <v>0</v>
      </c>
      <c r="J1618" s="4">
        <v>0</v>
      </c>
      <c r="K1618" s="4">
        <v>268799.58</v>
      </c>
      <c r="L1618" s="4" t="s">
        <v>4591</v>
      </c>
      <c r="M1618" s="4" t="s">
        <v>4592</v>
      </c>
      <c r="N1618" s="4" t="s">
        <v>20</v>
      </c>
      <c r="O1618" s="4" t="s">
        <v>3938</v>
      </c>
      <c r="P1618" s="4" t="s">
        <v>3938</v>
      </c>
      <c r="Q1618" s="4" t="s">
        <v>1378</v>
      </c>
      <c r="R1618" s="9">
        <f t="shared" si="25"/>
        <v>4.4995521864529179E-6</v>
      </c>
    </row>
    <row r="1619" spans="1:18" hidden="1" x14ac:dyDescent="0.2">
      <c r="A1619" s="4">
        <v>1317</v>
      </c>
      <c r="B1619" s="2">
        <v>225000</v>
      </c>
      <c r="C1619" s="2">
        <v>0</v>
      </c>
      <c r="D1619" s="4" t="s">
        <v>6275</v>
      </c>
      <c r="E1619" s="2">
        <v>225000</v>
      </c>
      <c r="F1619" s="2">
        <v>41800</v>
      </c>
      <c r="G1619" s="2">
        <v>0</v>
      </c>
      <c r="H1619" s="4">
        <v>0</v>
      </c>
      <c r="I1619" s="4">
        <v>0</v>
      </c>
      <c r="J1619" s="4">
        <v>0</v>
      </c>
      <c r="K1619" s="4">
        <v>266800</v>
      </c>
      <c r="L1619" s="4" t="s">
        <v>6273</v>
      </c>
      <c r="M1619" s="4" t="s">
        <v>6274</v>
      </c>
      <c r="N1619" s="4" t="s">
        <v>20</v>
      </c>
      <c r="O1619" s="4" t="s">
        <v>900</v>
      </c>
      <c r="P1619" s="4" t="s">
        <v>900</v>
      </c>
      <c r="Q1619" s="4" t="s">
        <v>144</v>
      </c>
      <c r="R1619" s="9">
        <f t="shared" si="25"/>
        <v>4.4819828138227323E-6</v>
      </c>
    </row>
    <row r="1620" spans="1:18" hidden="1" x14ac:dyDescent="0.2">
      <c r="A1620" s="4">
        <v>96</v>
      </c>
      <c r="B1620" s="2">
        <v>223986</v>
      </c>
      <c r="C1620" s="2">
        <v>0</v>
      </c>
      <c r="D1620" s="4" t="s">
        <v>6277</v>
      </c>
      <c r="E1620" s="2">
        <v>223986</v>
      </c>
      <c r="F1620" s="2">
        <v>42557.34</v>
      </c>
      <c r="G1620" s="2">
        <v>0</v>
      </c>
      <c r="H1620" s="4">
        <v>0</v>
      </c>
      <c r="I1620" s="4">
        <v>0</v>
      </c>
      <c r="J1620" s="4">
        <v>0</v>
      </c>
      <c r="K1620" s="4">
        <v>266543.34000000003</v>
      </c>
      <c r="L1620" s="4" t="s">
        <v>6276</v>
      </c>
      <c r="M1620" s="4" t="s">
        <v>3997</v>
      </c>
      <c r="N1620" s="4" t="s">
        <v>20</v>
      </c>
      <c r="O1620" s="4" t="s">
        <v>2863</v>
      </c>
      <c r="P1620" s="4" t="s">
        <v>2863</v>
      </c>
      <c r="Q1620" s="4" t="s">
        <v>100</v>
      </c>
      <c r="R1620" s="9">
        <f t="shared" si="25"/>
        <v>4.4617840112751052E-6</v>
      </c>
    </row>
    <row r="1621" spans="1:18" hidden="1" x14ac:dyDescent="0.2">
      <c r="A1621" s="4">
        <v>365</v>
      </c>
      <c r="B1621" s="2">
        <v>222529</v>
      </c>
      <c r="C1621" s="2">
        <v>0</v>
      </c>
      <c r="D1621" s="4" t="s">
        <v>4627</v>
      </c>
      <c r="E1621" s="2">
        <v>222529</v>
      </c>
      <c r="F1621" s="2">
        <v>42280.51</v>
      </c>
      <c r="G1621" s="2">
        <v>0</v>
      </c>
      <c r="H1621" s="4">
        <v>0</v>
      </c>
      <c r="I1621" s="4">
        <v>0</v>
      </c>
      <c r="J1621" s="4">
        <v>0</v>
      </c>
      <c r="K1621" s="4">
        <v>264809.51</v>
      </c>
      <c r="L1621" s="4" t="s">
        <v>4625</v>
      </c>
      <c r="M1621" s="4" t="s">
        <v>4626</v>
      </c>
      <c r="N1621" s="4" t="s">
        <v>20</v>
      </c>
      <c r="O1621" s="4" t="s">
        <v>900</v>
      </c>
      <c r="P1621" s="4" t="s">
        <v>900</v>
      </c>
      <c r="Q1621" s="4" t="s">
        <v>585</v>
      </c>
      <c r="R1621" s="9">
        <f t="shared" si="25"/>
        <v>4.4327606825651502E-6</v>
      </c>
    </row>
    <row r="1622" spans="1:18" hidden="1" x14ac:dyDescent="0.2">
      <c r="A1622" s="4">
        <v>233</v>
      </c>
      <c r="B1622" s="2">
        <v>222384</v>
      </c>
      <c r="C1622" s="2">
        <v>0</v>
      </c>
      <c r="D1622" s="4" t="s">
        <v>6280</v>
      </c>
      <c r="E1622" s="2">
        <v>222384</v>
      </c>
      <c r="F1622" s="2">
        <v>42252.959999999999</v>
      </c>
      <c r="G1622" s="2">
        <v>0</v>
      </c>
      <c r="H1622" s="4">
        <v>0</v>
      </c>
      <c r="I1622" s="4">
        <v>0</v>
      </c>
      <c r="J1622" s="4">
        <v>0</v>
      </c>
      <c r="K1622" s="4">
        <v>264636.96000000002</v>
      </c>
      <c r="L1622" s="4" t="s">
        <v>6278</v>
      </c>
      <c r="M1622" s="4" t="s">
        <v>6279</v>
      </c>
      <c r="N1622" s="4" t="s">
        <v>20</v>
      </c>
      <c r="O1622" s="4" t="s">
        <v>2863</v>
      </c>
      <c r="P1622" s="4" t="s">
        <v>2863</v>
      </c>
      <c r="Q1622" s="4" t="s">
        <v>100</v>
      </c>
      <c r="R1622" s="9">
        <f t="shared" si="25"/>
        <v>4.4298722936406872E-6</v>
      </c>
    </row>
    <row r="1623" spans="1:18" hidden="1" x14ac:dyDescent="0.2">
      <c r="A1623" s="4">
        <v>913</v>
      </c>
      <c r="B1623" s="2">
        <v>228261</v>
      </c>
      <c r="C1623" s="2">
        <v>6847.83</v>
      </c>
      <c r="D1623" s="4" t="s">
        <v>6283</v>
      </c>
      <c r="E1623" s="2">
        <v>221413.17</v>
      </c>
      <c r="F1623" s="2">
        <v>42068.5</v>
      </c>
      <c r="G1623" s="2">
        <v>0</v>
      </c>
      <c r="H1623" s="4">
        <v>0</v>
      </c>
      <c r="I1623" s="4">
        <v>0</v>
      </c>
      <c r="J1623" s="4">
        <v>0</v>
      </c>
      <c r="K1623" s="4">
        <v>263481.67</v>
      </c>
      <c r="L1623" s="4" t="s">
        <v>6281</v>
      </c>
      <c r="M1623" s="4" t="s">
        <v>6282</v>
      </c>
      <c r="N1623" s="4" t="s">
        <v>20</v>
      </c>
      <c r="O1623" s="4" t="s">
        <v>2863</v>
      </c>
      <c r="P1623" s="4" t="s">
        <v>2863</v>
      </c>
      <c r="Q1623" s="4" t="s">
        <v>100</v>
      </c>
      <c r="R1623" s="9">
        <f t="shared" si="25"/>
        <v>4.4105334341956048E-6</v>
      </c>
    </row>
    <row r="1624" spans="1:18" hidden="1" x14ac:dyDescent="0.2">
      <c r="A1624" s="4">
        <v>830</v>
      </c>
      <c r="B1624" s="2">
        <v>218518</v>
      </c>
      <c r="C1624" s="2">
        <v>0</v>
      </c>
      <c r="D1624" s="4" t="s">
        <v>4437</v>
      </c>
      <c r="E1624" s="2">
        <v>218518</v>
      </c>
      <c r="F1624" s="2">
        <v>41518.42</v>
      </c>
      <c r="G1624" s="2">
        <v>0</v>
      </c>
      <c r="H1624" s="4">
        <v>0</v>
      </c>
      <c r="I1624" s="4">
        <v>0</v>
      </c>
      <c r="J1624" s="4">
        <v>0</v>
      </c>
      <c r="K1624" s="4">
        <v>260036.42</v>
      </c>
      <c r="L1624" s="4" t="s">
        <v>4435</v>
      </c>
      <c r="M1624" s="4" t="s">
        <v>4436</v>
      </c>
      <c r="N1624" s="4" t="s">
        <v>1421</v>
      </c>
      <c r="O1624" s="4" t="s">
        <v>340</v>
      </c>
      <c r="P1624" s="4" t="s">
        <v>340</v>
      </c>
      <c r="Q1624" s="4" t="s">
        <v>100</v>
      </c>
      <c r="R1624" s="9">
        <f t="shared" si="25"/>
        <v>4.3528618689374042E-6</v>
      </c>
    </row>
    <row r="1625" spans="1:18" hidden="1" x14ac:dyDescent="0.2">
      <c r="A1625" s="4">
        <v>1697</v>
      </c>
      <c r="B1625" s="2">
        <v>217248</v>
      </c>
      <c r="C1625" s="2">
        <v>0</v>
      </c>
      <c r="D1625" s="4" t="s">
        <v>6285</v>
      </c>
      <c r="E1625" s="2">
        <v>217248</v>
      </c>
      <c r="F1625" s="2">
        <v>41277.120000000003</v>
      </c>
      <c r="G1625" s="2">
        <v>0</v>
      </c>
      <c r="H1625" s="4">
        <v>0</v>
      </c>
      <c r="I1625" s="4">
        <v>0</v>
      </c>
      <c r="J1625" s="4">
        <v>0</v>
      </c>
      <c r="K1625" s="4">
        <v>258525.12</v>
      </c>
      <c r="L1625" s="4" t="s">
        <v>6284</v>
      </c>
      <c r="M1625" s="4" t="s">
        <v>6284</v>
      </c>
      <c r="N1625" s="4" t="s">
        <v>20</v>
      </c>
      <c r="O1625" s="4" t="s">
        <v>316</v>
      </c>
      <c r="P1625" s="4" t="s">
        <v>316</v>
      </c>
      <c r="Q1625" s="4" t="s">
        <v>100</v>
      </c>
      <c r="R1625" s="9">
        <f t="shared" si="25"/>
        <v>4.3275635659438265E-6</v>
      </c>
    </row>
    <row r="1626" spans="1:18" hidden="1" x14ac:dyDescent="0.2">
      <c r="A1626" s="4">
        <v>469</v>
      </c>
      <c r="B1626" s="2">
        <v>216573</v>
      </c>
      <c r="C1626" s="2">
        <v>0</v>
      </c>
      <c r="D1626" s="4" t="s">
        <v>4905</v>
      </c>
      <c r="E1626" s="2">
        <v>216573</v>
      </c>
      <c r="F1626" s="2">
        <v>41148.870000000003</v>
      </c>
      <c r="G1626" s="2">
        <v>5414.33</v>
      </c>
      <c r="H1626" s="4">
        <v>0</v>
      </c>
      <c r="I1626" s="4">
        <v>0</v>
      </c>
      <c r="J1626" s="4">
        <v>5414.33</v>
      </c>
      <c r="K1626" s="4">
        <v>252307.54</v>
      </c>
      <c r="L1626" s="4" t="s">
        <v>4904</v>
      </c>
      <c r="M1626" s="4" t="s">
        <v>4904</v>
      </c>
      <c r="N1626" s="4" t="s">
        <v>368</v>
      </c>
      <c r="O1626" s="4" t="s">
        <v>89</v>
      </c>
      <c r="P1626" s="4" t="s">
        <v>89</v>
      </c>
      <c r="Q1626" s="4" t="s">
        <v>100</v>
      </c>
      <c r="R1626" s="9">
        <f t="shared" si="25"/>
        <v>4.3141176175023589E-6</v>
      </c>
    </row>
    <row r="1627" spans="1:18" hidden="1" x14ac:dyDescent="0.2">
      <c r="A1627" s="4">
        <v>1596</v>
      </c>
      <c r="B1627" s="2">
        <v>216573</v>
      </c>
      <c r="C1627" s="2">
        <v>0</v>
      </c>
      <c r="D1627" s="4" t="s">
        <v>2049</v>
      </c>
      <c r="E1627" s="2">
        <v>216573</v>
      </c>
      <c r="F1627" s="2">
        <v>41148.870000000003</v>
      </c>
      <c r="G1627" s="2">
        <v>0</v>
      </c>
      <c r="H1627" s="4">
        <v>0</v>
      </c>
      <c r="I1627" s="4">
        <v>0</v>
      </c>
      <c r="J1627" s="4">
        <v>0</v>
      </c>
      <c r="K1627" s="4">
        <v>257721.87</v>
      </c>
      <c r="L1627" s="4" t="s">
        <v>2047</v>
      </c>
      <c r="M1627" s="4" t="s">
        <v>2048</v>
      </c>
      <c r="N1627" s="4" t="s">
        <v>20</v>
      </c>
      <c r="O1627" s="4" t="s">
        <v>603</v>
      </c>
      <c r="P1627" s="4" t="s">
        <v>603</v>
      </c>
      <c r="Q1627" s="4" t="s">
        <v>100</v>
      </c>
      <c r="R1627" s="9">
        <f t="shared" si="25"/>
        <v>4.3141176175023589E-6</v>
      </c>
    </row>
    <row r="1628" spans="1:18" hidden="1" x14ac:dyDescent="0.2">
      <c r="A1628" s="4">
        <v>1364</v>
      </c>
      <c r="B1628" s="2">
        <v>214213</v>
      </c>
      <c r="C1628" s="2">
        <v>0</v>
      </c>
      <c r="D1628" s="4" t="s">
        <v>5015</v>
      </c>
      <c r="E1628" s="2">
        <v>214213</v>
      </c>
      <c r="F1628" s="2">
        <v>40700.47</v>
      </c>
      <c r="G1628" s="2">
        <v>0</v>
      </c>
      <c r="H1628" s="4">
        <v>0</v>
      </c>
      <c r="I1628" s="4">
        <v>0</v>
      </c>
      <c r="J1628" s="4">
        <v>0</v>
      </c>
      <c r="K1628" s="4">
        <v>254913.47</v>
      </c>
      <c r="L1628" s="4" t="s">
        <v>5013</v>
      </c>
      <c r="M1628" s="4" t="s">
        <v>5014</v>
      </c>
      <c r="N1628" s="4" t="s">
        <v>20</v>
      </c>
      <c r="O1628" s="4" t="s">
        <v>3938</v>
      </c>
      <c r="P1628" s="4" t="s">
        <v>3938</v>
      </c>
      <c r="Q1628" s="4" t="s">
        <v>1378</v>
      </c>
      <c r="R1628" s="9">
        <f t="shared" si="25"/>
        <v>4.2671065977662619E-6</v>
      </c>
    </row>
    <row r="1629" spans="1:18" hidden="1" x14ac:dyDescent="0.2">
      <c r="A1629" s="4">
        <v>117</v>
      </c>
      <c r="B1629" s="2">
        <v>213696</v>
      </c>
      <c r="C1629" s="2">
        <v>0</v>
      </c>
      <c r="D1629" s="4" t="s">
        <v>6288</v>
      </c>
      <c r="E1629" s="2">
        <v>213696</v>
      </c>
      <c r="F1629" s="2">
        <v>40602.239999999998</v>
      </c>
      <c r="G1629" s="2">
        <v>0</v>
      </c>
      <c r="H1629" s="4">
        <v>0</v>
      </c>
      <c r="I1629" s="4">
        <v>0</v>
      </c>
      <c r="J1629" s="4">
        <v>0</v>
      </c>
      <c r="K1629" s="4">
        <v>254298.23999999999</v>
      </c>
      <c r="L1629" s="4" t="s">
        <v>6286</v>
      </c>
      <c r="M1629" s="4" t="s">
        <v>6287</v>
      </c>
      <c r="N1629" s="4" t="s">
        <v>20</v>
      </c>
      <c r="O1629" s="4" t="s">
        <v>768</v>
      </c>
      <c r="P1629" s="4" t="s">
        <v>768</v>
      </c>
      <c r="Q1629" s="4" t="s">
        <v>100</v>
      </c>
      <c r="R1629" s="9">
        <f t="shared" si="25"/>
        <v>4.2568079972562789E-6</v>
      </c>
    </row>
    <row r="1630" spans="1:18" hidden="1" x14ac:dyDescent="0.2">
      <c r="A1630" s="4">
        <v>1155</v>
      </c>
      <c r="B1630" s="2">
        <v>213696</v>
      </c>
      <c r="C1630" s="2">
        <v>0</v>
      </c>
      <c r="D1630" s="4" t="s">
        <v>6291</v>
      </c>
      <c r="E1630" s="2">
        <v>213696</v>
      </c>
      <c r="F1630" s="2">
        <v>40602.239999999998</v>
      </c>
      <c r="G1630" s="2">
        <v>0</v>
      </c>
      <c r="H1630" s="4">
        <v>0</v>
      </c>
      <c r="I1630" s="4">
        <v>0</v>
      </c>
      <c r="J1630" s="4">
        <v>0</v>
      </c>
      <c r="K1630" s="4">
        <v>254298.23999999999</v>
      </c>
      <c r="L1630" s="4" t="s">
        <v>6289</v>
      </c>
      <c r="M1630" s="4" t="s">
        <v>6290</v>
      </c>
      <c r="N1630" s="4" t="s">
        <v>20</v>
      </c>
      <c r="O1630" s="4" t="s">
        <v>2863</v>
      </c>
      <c r="P1630" s="4" t="s">
        <v>2863</v>
      </c>
      <c r="Q1630" s="4" t="s">
        <v>100</v>
      </c>
      <c r="R1630" s="9">
        <f t="shared" si="25"/>
        <v>4.2568079972562789E-6</v>
      </c>
    </row>
    <row r="1631" spans="1:18" hidden="1" x14ac:dyDescent="0.2">
      <c r="A1631" s="4">
        <v>1473</v>
      </c>
      <c r="B1631" s="2">
        <v>210471</v>
      </c>
      <c r="C1631" s="2">
        <v>0</v>
      </c>
      <c r="D1631" s="4" t="s">
        <v>6294</v>
      </c>
      <c r="E1631" s="2">
        <v>210471</v>
      </c>
      <c r="F1631" s="2">
        <v>39989.49</v>
      </c>
      <c r="G1631" s="2">
        <v>0</v>
      </c>
      <c r="H1631" s="4">
        <v>0</v>
      </c>
      <c r="I1631" s="4">
        <v>0</v>
      </c>
      <c r="J1631" s="4">
        <v>0</v>
      </c>
      <c r="K1631" s="4">
        <v>250460.49</v>
      </c>
      <c r="L1631" s="4" t="s">
        <v>6292</v>
      </c>
      <c r="M1631" s="4" t="s">
        <v>6293</v>
      </c>
      <c r="N1631" s="4" t="s">
        <v>20</v>
      </c>
      <c r="O1631" s="4" t="s">
        <v>3938</v>
      </c>
      <c r="P1631" s="4" t="s">
        <v>3938</v>
      </c>
      <c r="Q1631" s="4" t="s">
        <v>1378</v>
      </c>
      <c r="R1631" s="9">
        <f t="shared" si="25"/>
        <v>4.1925662435914856E-6</v>
      </c>
    </row>
    <row r="1632" spans="1:18" hidden="1" x14ac:dyDescent="0.2">
      <c r="A1632" s="4">
        <v>69</v>
      </c>
      <c r="B1632" s="2">
        <v>210384</v>
      </c>
      <c r="C1632" s="2">
        <v>0</v>
      </c>
      <c r="D1632" s="4" t="s">
        <v>4913</v>
      </c>
      <c r="E1632" s="2">
        <v>210384</v>
      </c>
      <c r="F1632" s="2">
        <v>39972.959999999999</v>
      </c>
      <c r="G1632" s="2">
        <v>0</v>
      </c>
      <c r="H1632" s="4">
        <v>0</v>
      </c>
      <c r="I1632" s="4">
        <v>0</v>
      </c>
      <c r="J1632" s="4">
        <v>0</v>
      </c>
      <c r="K1632" s="4">
        <v>250356.96</v>
      </c>
      <c r="L1632" s="4" t="s">
        <v>4911</v>
      </c>
      <c r="M1632" s="4" t="s">
        <v>4912</v>
      </c>
      <c r="N1632" s="4" t="s">
        <v>20</v>
      </c>
      <c r="O1632" s="4" t="s">
        <v>3938</v>
      </c>
      <c r="P1632" s="4" t="s">
        <v>3938</v>
      </c>
      <c r="Q1632" s="4" t="s">
        <v>1378</v>
      </c>
      <c r="R1632" s="9">
        <f t="shared" si="25"/>
        <v>4.1908332102368081E-6</v>
      </c>
    </row>
    <row r="1633" spans="1:18" hidden="1" x14ac:dyDescent="0.2">
      <c r="A1633" s="4">
        <v>780</v>
      </c>
      <c r="B1633" s="2">
        <v>209439</v>
      </c>
      <c r="C1633" s="2">
        <v>0</v>
      </c>
      <c r="D1633" s="4" t="s">
        <v>6297</v>
      </c>
      <c r="E1633" s="2">
        <v>209439</v>
      </c>
      <c r="F1633" s="2">
        <v>39793.410000000003</v>
      </c>
      <c r="G1633" s="2">
        <v>0</v>
      </c>
      <c r="H1633" s="4">
        <v>0</v>
      </c>
      <c r="I1633" s="4">
        <v>0</v>
      </c>
      <c r="J1633" s="4">
        <v>0</v>
      </c>
      <c r="K1633" s="4">
        <v>249232.41</v>
      </c>
      <c r="L1633" s="4" t="s">
        <v>6295</v>
      </c>
      <c r="M1633" s="4" t="s">
        <v>6296</v>
      </c>
      <c r="N1633" s="4" t="s">
        <v>20</v>
      </c>
      <c r="O1633" s="4" t="s">
        <v>2863</v>
      </c>
      <c r="P1633" s="4" t="s">
        <v>2863</v>
      </c>
      <c r="Q1633" s="4" t="s">
        <v>100</v>
      </c>
      <c r="R1633" s="9">
        <f t="shared" si="25"/>
        <v>4.1720088824187526E-6</v>
      </c>
    </row>
    <row r="1634" spans="1:18" hidden="1" x14ac:dyDescent="0.2">
      <c r="A1634" s="4">
        <v>586</v>
      </c>
      <c r="B1634" s="2">
        <v>209410</v>
      </c>
      <c r="C1634" s="2">
        <v>0</v>
      </c>
      <c r="D1634" s="4" t="s">
        <v>4491</v>
      </c>
      <c r="E1634" s="2">
        <v>209410</v>
      </c>
      <c r="F1634" s="2">
        <v>39787.9</v>
      </c>
      <c r="G1634" s="2">
        <v>0</v>
      </c>
      <c r="H1634" s="4">
        <v>0</v>
      </c>
      <c r="I1634" s="4">
        <v>0</v>
      </c>
      <c r="J1634" s="4">
        <v>0</v>
      </c>
      <c r="K1634" s="4">
        <v>249197.9</v>
      </c>
      <c r="L1634" s="4" t="s">
        <v>4489</v>
      </c>
      <c r="M1634" s="4" t="s">
        <v>4490</v>
      </c>
      <c r="N1634" s="4" t="s">
        <v>20</v>
      </c>
      <c r="O1634" s="4" t="s">
        <v>692</v>
      </c>
      <c r="P1634" s="4" t="s">
        <v>692</v>
      </c>
      <c r="Q1634" s="4" t="s">
        <v>100</v>
      </c>
      <c r="R1634" s="9">
        <f t="shared" si="25"/>
        <v>4.1714312046338598E-6</v>
      </c>
    </row>
    <row r="1635" spans="1:18" hidden="1" x14ac:dyDescent="0.2">
      <c r="A1635" s="4">
        <v>7</v>
      </c>
      <c r="B1635" s="2">
        <v>209088</v>
      </c>
      <c r="C1635" s="2">
        <v>0</v>
      </c>
      <c r="D1635" s="4" t="s">
        <v>4047</v>
      </c>
      <c r="E1635" s="2">
        <v>209088</v>
      </c>
      <c r="F1635" s="2">
        <v>39726.720000000001</v>
      </c>
      <c r="G1635" s="2">
        <v>0</v>
      </c>
      <c r="H1635" s="4">
        <v>0</v>
      </c>
      <c r="I1635" s="4">
        <v>0</v>
      </c>
      <c r="J1635" s="4">
        <v>0</v>
      </c>
      <c r="K1635" s="4">
        <v>248814.72</v>
      </c>
      <c r="L1635" s="4" t="s">
        <v>4045</v>
      </c>
      <c r="M1635" s="4" t="s">
        <v>4046</v>
      </c>
      <c r="N1635" s="4" t="s">
        <v>20</v>
      </c>
      <c r="O1635" s="4" t="s">
        <v>316</v>
      </c>
      <c r="P1635" s="4" t="s">
        <v>316</v>
      </c>
      <c r="Q1635" s="4" t="s">
        <v>100</v>
      </c>
      <c r="R1635" s="9">
        <f t="shared" si="25"/>
        <v>4.1650169892291889E-6</v>
      </c>
    </row>
    <row r="1636" spans="1:18" hidden="1" x14ac:dyDescent="0.2">
      <c r="A1636" s="4">
        <v>1263</v>
      </c>
      <c r="B1636" s="2">
        <v>209049</v>
      </c>
      <c r="C1636" s="2">
        <v>0</v>
      </c>
      <c r="D1636" s="4" t="s">
        <v>6300</v>
      </c>
      <c r="E1636" s="2">
        <v>209049</v>
      </c>
      <c r="F1636" s="2">
        <v>39719.31</v>
      </c>
      <c r="G1636" s="2">
        <v>0</v>
      </c>
      <c r="H1636" s="4">
        <v>0</v>
      </c>
      <c r="I1636" s="4">
        <v>0</v>
      </c>
      <c r="J1636" s="4">
        <v>0</v>
      </c>
      <c r="K1636" s="4">
        <v>248768.31</v>
      </c>
      <c r="L1636" s="4" t="s">
        <v>6298</v>
      </c>
      <c r="M1636" s="4" t="s">
        <v>6299</v>
      </c>
      <c r="N1636" s="4" t="s">
        <v>20</v>
      </c>
      <c r="O1636" s="4" t="s">
        <v>2863</v>
      </c>
      <c r="P1636" s="4" t="s">
        <v>2863</v>
      </c>
      <c r="Q1636" s="4" t="s">
        <v>100</v>
      </c>
      <c r="R1636" s="9">
        <f t="shared" si="25"/>
        <v>4.1642401122081267E-6</v>
      </c>
    </row>
    <row r="1637" spans="1:18" hidden="1" x14ac:dyDescent="0.2">
      <c r="A1637" s="4">
        <v>1446</v>
      </c>
      <c r="B1637" s="2">
        <v>208927</v>
      </c>
      <c r="C1637" s="2">
        <v>0</v>
      </c>
      <c r="D1637" s="4" t="s">
        <v>6302</v>
      </c>
      <c r="E1637" s="2">
        <v>208927</v>
      </c>
      <c r="F1637" s="2">
        <v>39696.129999999997</v>
      </c>
      <c r="G1637" s="2">
        <v>0</v>
      </c>
      <c r="H1637" s="4">
        <v>0</v>
      </c>
      <c r="I1637" s="4">
        <v>0</v>
      </c>
      <c r="J1637" s="4">
        <v>0</v>
      </c>
      <c r="K1637" s="4">
        <v>248623.13</v>
      </c>
      <c r="L1637" s="4" t="s">
        <v>6301</v>
      </c>
      <c r="M1637" s="4" t="s">
        <v>3034</v>
      </c>
      <c r="N1637" s="4" t="s">
        <v>20</v>
      </c>
      <c r="O1637" s="4" t="s">
        <v>76</v>
      </c>
      <c r="P1637" s="4" t="s">
        <v>76</v>
      </c>
      <c r="Q1637" s="4" t="s">
        <v>585</v>
      </c>
      <c r="R1637" s="9">
        <f t="shared" si="25"/>
        <v>4.1618098815268539E-6</v>
      </c>
    </row>
    <row r="1638" spans="1:18" hidden="1" x14ac:dyDescent="0.2">
      <c r="A1638" s="4">
        <v>447</v>
      </c>
      <c r="B1638" s="2">
        <v>207760.7</v>
      </c>
      <c r="C1638" s="2">
        <v>0</v>
      </c>
      <c r="D1638" s="4" t="s">
        <v>6305</v>
      </c>
      <c r="E1638" s="2">
        <v>207760.7</v>
      </c>
      <c r="F1638" s="2">
        <v>39474.53</v>
      </c>
      <c r="G1638" s="2">
        <v>0</v>
      </c>
      <c r="H1638" s="4">
        <v>0</v>
      </c>
      <c r="I1638" s="4">
        <v>0</v>
      </c>
      <c r="J1638" s="4">
        <v>0</v>
      </c>
      <c r="K1638" s="4">
        <v>247235.23</v>
      </c>
      <c r="L1638" s="4" t="s">
        <v>6303</v>
      </c>
      <c r="M1638" s="4" t="s">
        <v>6304</v>
      </c>
      <c r="N1638" s="4" t="s">
        <v>20</v>
      </c>
      <c r="O1638" s="4" t="s">
        <v>900</v>
      </c>
      <c r="P1638" s="4" t="s">
        <v>900</v>
      </c>
      <c r="Q1638" s="4" t="s">
        <v>144</v>
      </c>
      <c r="R1638" s="9">
        <f t="shared" si="25"/>
        <v>4.1385772746123582E-6</v>
      </c>
    </row>
    <row r="1639" spans="1:18" hidden="1" x14ac:dyDescent="0.2">
      <c r="A1639" s="4">
        <v>1770</v>
      </c>
      <c r="B1639" s="2">
        <v>207252</v>
      </c>
      <c r="C1639" s="2">
        <v>0</v>
      </c>
      <c r="D1639" s="4" t="s">
        <v>6308</v>
      </c>
      <c r="E1639" s="2">
        <v>207252</v>
      </c>
      <c r="F1639" s="2">
        <v>39377.879999999997</v>
      </c>
      <c r="G1639" s="2">
        <v>0</v>
      </c>
      <c r="H1639" s="4">
        <v>0</v>
      </c>
      <c r="I1639" s="4">
        <v>0</v>
      </c>
      <c r="J1639" s="4">
        <v>0</v>
      </c>
      <c r="K1639" s="4">
        <v>246629.88</v>
      </c>
      <c r="L1639" s="4" t="s">
        <v>6306</v>
      </c>
      <c r="M1639" s="4" t="s">
        <v>6307</v>
      </c>
      <c r="N1639" s="4" t="s">
        <v>20</v>
      </c>
      <c r="O1639" s="4" t="s">
        <v>2863</v>
      </c>
      <c r="P1639" s="4" t="s">
        <v>2863</v>
      </c>
      <c r="Q1639" s="4" t="s">
        <v>100</v>
      </c>
      <c r="R1639" s="9">
        <f t="shared" si="25"/>
        <v>4.1284440094683957E-6</v>
      </c>
    </row>
    <row r="1640" spans="1:18" hidden="1" x14ac:dyDescent="0.2">
      <c r="A1640" s="4">
        <v>209</v>
      </c>
      <c r="B1640" s="2">
        <v>206901</v>
      </c>
      <c r="C1640" s="2">
        <v>0</v>
      </c>
      <c r="D1640" s="4" t="s">
        <v>5063</v>
      </c>
      <c r="E1640" s="2">
        <v>206901</v>
      </c>
      <c r="F1640" s="2">
        <v>39311.19</v>
      </c>
      <c r="G1640" s="2">
        <v>0</v>
      </c>
      <c r="H1640" s="4">
        <v>0</v>
      </c>
      <c r="I1640" s="4">
        <v>0</v>
      </c>
      <c r="J1640" s="4">
        <v>0</v>
      </c>
      <c r="K1640" s="4">
        <v>246212.19</v>
      </c>
      <c r="L1640" s="4" t="s">
        <v>5061</v>
      </c>
      <c r="M1640" s="4" t="s">
        <v>5062</v>
      </c>
      <c r="N1640" s="4" t="s">
        <v>20</v>
      </c>
      <c r="O1640" s="4" t="s">
        <v>1356</v>
      </c>
      <c r="P1640" s="4" t="s">
        <v>1356</v>
      </c>
      <c r="Q1640" s="4" t="s">
        <v>100</v>
      </c>
      <c r="R1640" s="9">
        <f t="shared" si="25"/>
        <v>4.121452116278832E-6</v>
      </c>
    </row>
    <row r="1641" spans="1:18" hidden="1" x14ac:dyDescent="0.2">
      <c r="A1641" s="4">
        <v>1280</v>
      </c>
      <c r="B1641" s="2">
        <v>204285</v>
      </c>
      <c r="C1641" s="2">
        <v>0</v>
      </c>
      <c r="D1641" s="4" t="s">
        <v>4188</v>
      </c>
      <c r="E1641" s="2">
        <v>204285</v>
      </c>
      <c r="F1641" s="2">
        <v>38814.15</v>
      </c>
      <c r="G1641" s="2">
        <v>0</v>
      </c>
      <c r="H1641" s="4">
        <v>0</v>
      </c>
      <c r="I1641" s="4">
        <v>0</v>
      </c>
      <c r="J1641" s="4">
        <v>0</v>
      </c>
      <c r="K1641" s="4">
        <v>243099.15</v>
      </c>
      <c r="L1641" s="4" t="s">
        <v>4186</v>
      </c>
      <c r="M1641" s="4" t="s">
        <v>4187</v>
      </c>
      <c r="N1641" s="4" t="s">
        <v>20</v>
      </c>
      <c r="O1641" s="4" t="s">
        <v>316</v>
      </c>
      <c r="P1641" s="4" t="s">
        <v>316</v>
      </c>
      <c r="Q1641" s="4" t="s">
        <v>100</v>
      </c>
      <c r="R1641" s="9">
        <f t="shared" si="25"/>
        <v>4.0693415960967861E-6</v>
      </c>
    </row>
    <row r="1642" spans="1:18" hidden="1" x14ac:dyDescent="0.2">
      <c r="A1642" s="4">
        <v>1136</v>
      </c>
      <c r="B1642" s="2">
        <v>202872</v>
      </c>
      <c r="C1642" s="2">
        <v>0</v>
      </c>
      <c r="D1642" s="4" t="s">
        <v>6311</v>
      </c>
      <c r="E1642" s="2">
        <v>202872</v>
      </c>
      <c r="F1642" s="2">
        <v>38545.68</v>
      </c>
      <c r="G1642" s="2">
        <v>0</v>
      </c>
      <c r="H1642" s="4">
        <v>0</v>
      </c>
      <c r="I1642" s="4">
        <v>0</v>
      </c>
      <c r="J1642" s="4">
        <v>0</v>
      </c>
      <c r="K1642" s="4">
        <v>241417.68</v>
      </c>
      <c r="L1642" s="4" t="s">
        <v>6309</v>
      </c>
      <c r="M1642" s="4" t="s">
        <v>6310</v>
      </c>
      <c r="N1642" s="4" t="s">
        <v>20</v>
      </c>
      <c r="O1642" s="4" t="s">
        <v>2863</v>
      </c>
      <c r="P1642" s="4" t="s">
        <v>2863</v>
      </c>
      <c r="Q1642" s="4" t="s">
        <v>100</v>
      </c>
      <c r="R1642" s="9">
        <f t="shared" si="25"/>
        <v>4.0411947440259793E-6</v>
      </c>
    </row>
    <row r="1643" spans="1:18" hidden="1" x14ac:dyDescent="0.2">
      <c r="A1643" s="4">
        <v>1240</v>
      </c>
      <c r="B1643" s="2">
        <v>202716</v>
      </c>
      <c r="C1643" s="2">
        <v>0</v>
      </c>
      <c r="D1643" s="4" t="s">
        <v>6313</v>
      </c>
      <c r="E1643" s="2">
        <v>202716</v>
      </c>
      <c r="F1643" s="2">
        <v>38516.04</v>
      </c>
      <c r="G1643" s="2">
        <v>0</v>
      </c>
      <c r="H1643" s="4">
        <v>0</v>
      </c>
      <c r="I1643" s="4">
        <v>0</v>
      </c>
      <c r="J1643" s="4">
        <v>0</v>
      </c>
      <c r="K1643" s="4">
        <v>241232.04</v>
      </c>
      <c r="L1643" s="4" t="s">
        <v>6312</v>
      </c>
      <c r="M1643" s="4" t="s">
        <v>4954</v>
      </c>
      <c r="N1643" s="4" t="s">
        <v>20</v>
      </c>
      <c r="O1643" s="4" t="s">
        <v>2863</v>
      </c>
      <c r="P1643" s="4" t="s">
        <v>2863</v>
      </c>
      <c r="Q1643" s="4" t="s">
        <v>100</v>
      </c>
      <c r="R1643" s="9">
        <f t="shared" si="25"/>
        <v>4.0380872359417294E-6</v>
      </c>
    </row>
    <row r="1644" spans="1:18" hidden="1" x14ac:dyDescent="0.2">
      <c r="A1644" s="4">
        <v>1143</v>
      </c>
      <c r="B1644" s="2">
        <v>198108</v>
      </c>
      <c r="C1644" s="2">
        <v>0</v>
      </c>
      <c r="D1644" s="4" t="s">
        <v>6316</v>
      </c>
      <c r="E1644" s="2">
        <v>198108</v>
      </c>
      <c r="F1644" s="2">
        <v>36690.519999999997</v>
      </c>
      <c r="G1644" s="2">
        <v>0</v>
      </c>
      <c r="H1644" s="4">
        <v>0</v>
      </c>
      <c r="I1644" s="4">
        <v>0</v>
      </c>
      <c r="J1644" s="4">
        <v>0</v>
      </c>
      <c r="K1644" s="4">
        <v>234798.52</v>
      </c>
      <c r="L1644" s="4" t="s">
        <v>6314</v>
      </c>
      <c r="M1644" s="4" t="s">
        <v>6315</v>
      </c>
      <c r="N1644" s="4" t="s">
        <v>20</v>
      </c>
      <c r="O1644" s="4" t="s">
        <v>900</v>
      </c>
      <c r="P1644" s="4" t="s">
        <v>900</v>
      </c>
      <c r="Q1644" s="4" t="s">
        <v>144</v>
      </c>
      <c r="R1644" s="9">
        <f t="shared" si="25"/>
        <v>3.9462962279146395E-6</v>
      </c>
    </row>
    <row r="1645" spans="1:18" hidden="1" x14ac:dyDescent="0.2">
      <c r="A1645" s="4">
        <v>879</v>
      </c>
      <c r="B1645" s="2">
        <v>194084</v>
      </c>
      <c r="C1645" s="2">
        <v>0</v>
      </c>
      <c r="D1645" s="4" t="s">
        <v>6319</v>
      </c>
      <c r="E1645" s="2">
        <v>194084</v>
      </c>
      <c r="F1645" s="2">
        <v>0</v>
      </c>
      <c r="G1645" s="2">
        <v>0</v>
      </c>
      <c r="H1645" s="4">
        <v>0</v>
      </c>
      <c r="I1645" s="4">
        <v>0</v>
      </c>
      <c r="J1645" s="4">
        <v>0</v>
      </c>
      <c r="K1645" s="4">
        <v>194084</v>
      </c>
      <c r="L1645" s="4" t="s">
        <v>6317</v>
      </c>
      <c r="M1645" s="4" t="s">
        <v>6318</v>
      </c>
      <c r="N1645" s="4" t="s">
        <v>20</v>
      </c>
      <c r="O1645" s="4" t="s">
        <v>3907</v>
      </c>
      <c r="P1645" s="4" t="s">
        <v>3907</v>
      </c>
      <c r="Q1645" s="4" t="s">
        <v>4365</v>
      </c>
      <c r="R1645" s="9">
        <f t="shared" si="25"/>
        <v>3.8661384552798719E-6</v>
      </c>
    </row>
    <row r="1646" spans="1:18" hidden="1" x14ac:dyDescent="0.2">
      <c r="A1646" s="4">
        <v>313</v>
      </c>
      <c r="B1646" s="2">
        <v>192112</v>
      </c>
      <c r="C1646" s="2">
        <v>0</v>
      </c>
      <c r="D1646" s="4" t="s">
        <v>6322</v>
      </c>
      <c r="E1646" s="2">
        <v>192112</v>
      </c>
      <c r="F1646" s="2">
        <v>36501.279999999999</v>
      </c>
      <c r="G1646" s="2">
        <v>0</v>
      </c>
      <c r="H1646" s="4">
        <v>0</v>
      </c>
      <c r="I1646" s="4">
        <v>0</v>
      </c>
      <c r="J1646" s="4">
        <v>0</v>
      </c>
      <c r="K1646" s="4">
        <v>228613.28</v>
      </c>
      <c r="L1646" s="4" t="s">
        <v>6320</v>
      </c>
      <c r="M1646" s="4" t="s">
        <v>6321</v>
      </c>
      <c r="N1646" s="4" t="s">
        <v>20</v>
      </c>
      <c r="O1646" s="4" t="s">
        <v>2863</v>
      </c>
      <c r="P1646" s="4" t="s">
        <v>2863</v>
      </c>
      <c r="Q1646" s="4" t="s">
        <v>100</v>
      </c>
      <c r="R1646" s="9">
        <f t="shared" si="25"/>
        <v>3.8268563659071678E-6</v>
      </c>
    </row>
    <row r="1647" spans="1:18" hidden="1" x14ac:dyDescent="0.2">
      <c r="A1647" s="4">
        <v>1441</v>
      </c>
      <c r="B1647" s="2">
        <v>192048</v>
      </c>
      <c r="C1647" s="2">
        <v>0</v>
      </c>
      <c r="D1647" s="4" t="s">
        <v>6325</v>
      </c>
      <c r="E1647" s="2">
        <v>192048</v>
      </c>
      <c r="F1647" s="2">
        <v>36489.120000000003</v>
      </c>
      <c r="G1647" s="2">
        <v>0</v>
      </c>
      <c r="H1647" s="4">
        <v>0</v>
      </c>
      <c r="I1647" s="4">
        <v>0</v>
      </c>
      <c r="J1647" s="4">
        <v>0</v>
      </c>
      <c r="K1647" s="4">
        <v>228537.12</v>
      </c>
      <c r="L1647" s="4" t="s">
        <v>6323</v>
      </c>
      <c r="M1647" s="4" t="s">
        <v>6324</v>
      </c>
      <c r="N1647" s="4" t="s">
        <v>20</v>
      </c>
      <c r="O1647" s="4" t="s">
        <v>2863</v>
      </c>
      <c r="P1647" s="4" t="s">
        <v>2863</v>
      </c>
      <c r="Q1647" s="4" t="s">
        <v>100</v>
      </c>
      <c r="R1647" s="9">
        <f t="shared" si="25"/>
        <v>3.8255814907956806E-6</v>
      </c>
    </row>
    <row r="1648" spans="1:18" hidden="1" x14ac:dyDescent="0.2">
      <c r="A1648" s="4">
        <v>503</v>
      </c>
      <c r="B1648" s="2">
        <v>192024</v>
      </c>
      <c r="C1648" s="2">
        <v>0</v>
      </c>
      <c r="D1648" s="4" t="s">
        <v>6328</v>
      </c>
      <c r="E1648" s="2">
        <v>192024</v>
      </c>
      <c r="F1648" s="2">
        <v>36484.559999999998</v>
      </c>
      <c r="G1648" s="2">
        <v>0</v>
      </c>
      <c r="H1648" s="4">
        <v>0</v>
      </c>
      <c r="I1648" s="4">
        <v>0</v>
      </c>
      <c r="J1648" s="4">
        <v>0</v>
      </c>
      <c r="K1648" s="4">
        <v>228508.56</v>
      </c>
      <c r="L1648" s="4" t="s">
        <v>6326</v>
      </c>
      <c r="M1648" s="4" t="s">
        <v>6327</v>
      </c>
      <c r="N1648" s="4" t="s">
        <v>20</v>
      </c>
      <c r="O1648" s="4" t="s">
        <v>2863</v>
      </c>
      <c r="P1648" s="4" t="s">
        <v>2863</v>
      </c>
      <c r="Q1648" s="4" t="s">
        <v>100</v>
      </c>
      <c r="R1648" s="9">
        <f t="shared" si="25"/>
        <v>3.825103412628873E-6</v>
      </c>
    </row>
    <row r="1649" spans="1:18" hidden="1" x14ac:dyDescent="0.2">
      <c r="A1649" s="4">
        <v>1551</v>
      </c>
      <c r="B1649" s="2">
        <v>192024</v>
      </c>
      <c r="C1649" s="2">
        <v>0</v>
      </c>
      <c r="D1649" s="4" t="s">
        <v>6331</v>
      </c>
      <c r="E1649" s="2">
        <v>192024</v>
      </c>
      <c r="F1649" s="2">
        <v>36484.559999999998</v>
      </c>
      <c r="G1649" s="2">
        <v>0</v>
      </c>
      <c r="H1649" s="4">
        <v>0</v>
      </c>
      <c r="I1649" s="4">
        <v>0</v>
      </c>
      <c r="J1649" s="4">
        <v>0</v>
      </c>
      <c r="K1649" s="4">
        <v>228508.56</v>
      </c>
      <c r="L1649" s="4" t="s">
        <v>6329</v>
      </c>
      <c r="M1649" s="4" t="s">
        <v>6330</v>
      </c>
      <c r="N1649" s="4" t="s">
        <v>20</v>
      </c>
      <c r="O1649" s="4" t="s">
        <v>2863</v>
      </c>
      <c r="P1649" s="4" t="s">
        <v>2863</v>
      </c>
      <c r="Q1649" s="4" t="s">
        <v>100</v>
      </c>
      <c r="R1649" s="9">
        <f t="shared" si="25"/>
        <v>3.825103412628873E-6</v>
      </c>
    </row>
    <row r="1650" spans="1:18" hidden="1" x14ac:dyDescent="0.2">
      <c r="A1650" s="4">
        <v>1971</v>
      </c>
      <c r="B1650" s="2">
        <v>191320</v>
      </c>
      <c r="C1650" s="2">
        <v>0</v>
      </c>
      <c r="D1650" s="4" t="s">
        <v>6334</v>
      </c>
      <c r="E1650" s="2">
        <v>191320</v>
      </c>
      <c r="F1650" s="2">
        <v>36350.800000000003</v>
      </c>
      <c r="G1650" s="2">
        <v>0</v>
      </c>
      <c r="H1650" s="4">
        <v>0</v>
      </c>
      <c r="I1650" s="4">
        <v>0</v>
      </c>
      <c r="J1650" s="4">
        <v>0</v>
      </c>
      <c r="K1650" s="4">
        <v>227670.8</v>
      </c>
      <c r="L1650" s="4" t="s">
        <v>6332</v>
      </c>
      <c r="M1650" s="4" t="s">
        <v>6333</v>
      </c>
      <c r="N1650" s="4" t="s">
        <v>20</v>
      </c>
      <c r="O1650" s="4" t="s">
        <v>1517</v>
      </c>
      <c r="P1650" s="4" t="s">
        <v>603</v>
      </c>
      <c r="Q1650" s="4" t="s">
        <v>100</v>
      </c>
      <c r="R1650" s="9">
        <f t="shared" si="25"/>
        <v>3.8110797864025121E-6</v>
      </c>
    </row>
    <row r="1651" spans="1:18" hidden="1" x14ac:dyDescent="0.2">
      <c r="A1651" s="4">
        <v>1117</v>
      </c>
      <c r="B1651" s="2">
        <v>193830</v>
      </c>
      <c r="C1651" s="2">
        <v>5454.9</v>
      </c>
      <c r="D1651" s="4" t="s">
        <v>6337</v>
      </c>
      <c r="E1651" s="2">
        <v>188375.1</v>
      </c>
      <c r="F1651" s="2">
        <v>33511.269999999997</v>
      </c>
      <c r="G1651" s="2">
        <v>0</v>
      </c>
      <c r="H1651" s="4">
        <v>0</v>
      </c>
      <c r="I1651" s="4">
        <v>0</v>
      </c>
      <c r="J1651" s="4">
        <v>0</v>
      </c>
      <c r="K1651" s="4">
        <v>221886.37</v>
      </c>
      <c r="L1651" s="4" t="s">
        <v>6335</v>
      </c>
      <c r="M1651" s="4" t="s">
        <v>6336</v>
      </c>
      <c r="N1651" s="4" t="s">
        <v>20</v>
      </c>
      <c r="O1651" s="4" t="s">
        <v>2863</v>
      </c>
      <c r="P1651" s="4" t="s">
        <v>2863</v>
      </c>
      <c r="Q1651" s="4" t="s">
        <v>100</v>
      </c>
      <c r="R1651" s="9">
        <f t="shared" si="25"/>
        <v>3.7524176033428386E-6</v>
      </c>
    </row>
    <row r="1652" spans="1:18" hidden="1" x14ac:dyDescent="0.2">
      <c r="A1652" s="4">
        <v>1159</v>
      </c>
      <c r="B1652" s="2">
        <v>187857</v>
      </c>
      <c r="C1652" s="2">
        <v>0</v>
      </c>
      <c r="D1652" s="4" t="s">
        <v>6340</v>
      </c>
      <c r="E1652" s="2">
        <v>187857</v>
      </c>
      <c r="F1652" s="2">
        <v>35692.83</v>
      </c>
      <c r="G1652" s="2">
        <v>0</v>
      </c>
      <c r="H1652" s="4">
        <v>0</v>
      </c>
      <c r="I1652" s="4">
        <v>0</v>
      </c>
      <c r="J1652" s="4">
        <v>0</v>
      </c>
      <c r="K1652" s="4">
        <v>223549.83</v>
      </c>
      <c r="L1652" s="4" t="s">
        <v>6338</v>
      </c>
      <c r="M1652" s="4" t="s">
        <v>6339</v>
      </c>
      <c r="N1652" s="4" t="s">
        <v>20</v>
      </c>
      <c r="O1652" s="4" t="s">
        <v>900</v>
      </c>
      <c r="P1652" s="4" t="s">
        <v>900</v>
      </c>
      <c r="Q1652" s="4" t="s">
        <v>144</v>
      </c>
      <c r="R1652" s="9">
        <f t="shared" si="25"/>
        <v>3.7420970909168759E-6</v>
      </c>
    </row>
    <row r="1653" spans="1:18" hidden="1" x14ac:dyDescent="0.2">
      <c r="A1653" s="4">
        <v>1518</v>
      </c>
      <c r="B1653" s="2">
        <v>186376</v>
      </c>
      <c r="C1653" s="2">
        <v>0</v>
      </c>
      <c r="D1653" s="4" t="s">
        <v>6343</v>
      </c>
      <c r="E1653" s="2">
        <v>186376</v>
      </c>
      <c r="F1653" s="2">
        <v>35411.440000000002</v>
      </c>
      <c r="G1653" s="2">
        <v>0</v>
      </c>
      <c r="H1653" s="4">
        <v>0</v>
      </c>
      <c r="I1653" s="4">
        <v>0</v>
      </c>
      <c r="J1653" s="4">
        <v>0</v>
      </c>
      <c r="K1653" s="4">
        <v>221787.44</v>
      </c>
      <c r="L1653" s="4" t="s">
        <v>6341</v>
      </c>
      <c r="M1653" s="4" t="s">
        <v>6342</v>
      </c>
      <c r="N1653" s="4" t="s">
        <v>20</v>
      </c>
      <c r="O1653" s="4" t="s">
        <v>372</v>
      </c>
      <c r="P1653" s="4" t="s">
        <v>1039</v>
      </c>
      <c r="Q1653" s="4" t="s">
        <v>100</v>
      </c>
      <c r="R1653" s="9">
        <f t="shared" si="25"/>
        <v>3.7125956840401136E-6</v>
      </c>
    </row>
    <row r="1654" spans="1:18" hidden="1" x14ac:dyDescent="0.2">
      <c r="A1654" s="4">
        <v>80</v>
      </c>
      <c r="B1654" s="2">
        <v>184408.7</v>
      </c>
      <c r="C1654" s="2">
        <v>0</v>
      </c>
      <c r="D1654" s="4" t="s">
        <v>4769</v>
      </c>
      <c r="E1654" s="2">
        <v>184408.7</v>
      </c>
      <c r="F1654" s="2">
        <v>34087.65</v>
      </c>
      <c r="G1654" s="2">
        <v>0</v>
      </c>
      <c r="H1654" s="4">
        <v>0</v>
      </c>
      <c r="I1654" s="4">
        <v>0</v>
      </c>
      <c r="J1654" s="4">
        <v>0</v>
      </c>
      <c r="K1654" s="4">
        <v>218496.35</v>
      </c>
      <c r="L1654" s="4" t="s">
        <v>4767</v>
      </c>
      <c r="M1654" s="4" t="s">
        <v>4768</v>
      </c>
      <c r="N1654" s="4" t="s">
        <v>20</v>
      </c>
      <c r="O1654" s="4" t="s">
        <v>900</v>
      </c>
      <c r="P1654" s="4" t="s">
        <v>1677</v>
      </c>
      <c r="Q1654" s="4" t="s">
        <v>144</v>
      </c>
      <c r="R1654" s="9">
        <f t="shared" si="25"/>
        <v>3.6734072183084098E-6</v>
      </c>
    </row>
    <row r="1655" spans="1:18" hidden="1" x14ac:dyDescent="0.2">
      <c r="A1655" s="4">
        <v>790</v>
      </c>
      <c r="B1655" s="2">
        <v>181890</v>
      </c>
      <c r="C1655" s="2">
        <v>0</v>
      </c>
      <c r="D1655" s="4" t="s">
        <v>4869</v>
      </c>
      <c r="E1655" s="2">
        <v>181890</v>
      </c>
      <c r="F1655" s="2">
        <v>34559.1</v>
      </c>
      <c r="G1655" s="2">
        <v>0</v>
      </c>
      <c r="H1655" s="4">
        <v>0</v>
      </c>
      <c r="I1655" s="4">
        <v>0</v>
      </c>
      <c r="J1655" s="4">
        <v>0</v>
      </c>
      <c r="K1655" s="4">
        <v>216449.1</v>
      </c>
      <c r="L1655" s="4" t="s">
        <v>4867</v>
      </c>
      <c r="M1655" s="4" t="s">
        <v>4868</v>
      </c>
      <c r="N1655" s="4" t="s">
        <v>1421</v>
      </c>
      <c r="O1655" s="4" t="s">
        <v>340</v>
      </c>
      <c r="P1655" s="4" t="s">
        <v>340</v>
      </c>
      <c r="Q1655" s="4" t="s">
        <v>100</v>
      </c>
      <c r="R1655" s="9">
        <f t="shared" si="25"/>
        <v>3.6232349066942969E-6</v>
      </c>
    </row>
    <row r="1656" spans="1:18" hidden="1" x14ac:dyDescent="0.2">
      <c r="A1656" s="4">
        <v>584</v>
      </c>
      <c r="B1656" s="2">
        <v>181830</v>
      </c>
      <c r="C1656" s="2">
        <v>0</v>
      </c>
      <c r="D1656" s="4" t="s">
        <v>6346</v>
      </c>
      <c r="E1656" s="2">
        <v>181830</v>
      </c>
      <c r="F1656" s="2">
        <v>34547.699999999997</v>
      </c>
      <c r="G1656" s="2">
        <v>0</v>
      </c>
      <c r="H1656" s="4">
        <v>0</v>
      </c>
      <c r="I1656" s="4">
        <v>0</v>
      </c>
      <c r="J1656" s="4">
        <v>0</v>
      </c>
      <c r="K1656" s="4">
        <v>216377.7</v>
      </c>
      <c r="L1656" s="4" t="s">
        <v>6344</v>
      </c>
      <c r="M1656" s="4" t="s">
        <v>6345</v>
      </c>
      <c r="N1656" s="4" t="s">
        <v>20</v>
      </c>
      <c r="O1656" s="4" t="s">
        <v>2863</v>
      </c>
      <c r="P1656" s="4" t="s">
        <v>2863</v>
      </c>
      <c r="Q1656" s="4" t="s">
        <v>100</v>
      </c>
      <c r="R1656" s="9">
        <f t="shared" si="25"/>
        <v>3.6220397112772775E-6</v>
      </c>
    </row>
    <row r="1657" spans="1:18" hidden="1" x14ac:dyDescent="0.2">
      <c r="A1657" s="4">
        <v>582</v>
      </c>
      <c r="B1657" s="2">
        <v>179620</v>
      </c>
      <c r="C1657" s="2">
        <v>0</v>
      </c>
      <c r="D1657" s="4" t="s">
        <v>6349</v>
      </c>
      <c r="E1657" s="2">
        <v>179620</v>
      </c>
      <c r="F1657" s="2">
        <v>33177.800000000003</v>
      </c>
      <c r="G1657" s="2">
        <v>0</v>
      </c>
      <c r="H1657" s="4">
        <v>0</v>
      </c>
      <c r="I1657" s="4">
        <v>0</v>
      </c>
      <c r="J1657" s="4">
        <v>0</v>
      </c>
      <c r="K1657" s="4">
        <v>212797.8</v>
      </c>
      <c r="L1657" s="4" t="s">
        <v>6347</v>
      </c>
      <c r="M1657" s="4" t="s">
        <v>6348</v>
      </c>
      <c r="N1657" s="4" t="s">
        <v>20</v>
      </c>
      <c r="O1657" s="4" t="s">
        <v>900</v>
      </c>
      <c r="P1657" s="4" t="s">
        <v>900</v>
      </c>
      <c r="Q1657" s="4" t="s">
        <v>144</v>
      </c>
      <c r="R1657" s="9">
        <f t="shared" si="25"/>
        <v>3.5780166800837299E-6</v>
      </c>
    </row>
    <row r="1658" spans="1:18" hidden="1" x14ac:dyDescent="0.2">
      <c r="A1658" s="4">
        <v>1110</v>
      </c>
      <c r="B1658" s="2">
        <v>177924</v>
      </c>
      <c r="C1658" s="2">
        <v>0</v>
      </c>
      <c r="D1658" s="4" t="s">
        <v>6352</v>
      </c>
      <c r="E1658" s="2">
        <v>177924</v>
      </c>
      <c r="F1658" s="2">
        <v>33805.56</v>
      </c>
      <c r="G1658" s="2">
        <v>0</v>
      </c>
      <c r="H1658" s="4">
        <v>0</v>
      </c>
      <c r="I1658" s="4">
        <v>0</v>
      </c>
      <c r="J1658" s="4">
        <v>0</v>
      </c>
      <c r="K1658" s="4">
        <v>211729.56</v>
      </c>
      <c r="L1658" s="4" t="s">
        <v>6350</v>
      </c>
      <c r="M1658" s="4" t="s">
        <v>6351</v>
      </c>
      <c r="N1658" s="4" t="s">
        <v>20</v>
      </c>
      <c r="O1658" s="4" t="s">
        <v>2863</v>
      </c>
      <c r="P1658" s="4" t="s">
        <v>2863</v>
      </c>
      <c r="Q1658" s="4" t="s">
        <v>100</v>
      </c>
      <c r="R1658" s="9">
        <f t="shared" si="25"/>
        <v>3.5442324896293149E-6</v>
      </c>
    </row>
    <row r="1659" spans="1:18" hidden="1" x14ac:dyDescent="0.2">
      <c r="A1659" s="4">
        <v>2003</v>
      </c>
      <c r="B1659" s="2">
        <v>177672.94</v>
      </c>
      <c r="C1659" s="2">
        <v>0</v>
      </c>
      <c r="D1659" s="4" t="s">
        <v>6355</v>
      </c>
      <c r="E1659" s="2">
        <v>177672.94</v>
      </c>
      <c r="F1659" s="2">
        <v>32807.86</v>
      </c>
      <c r="G1659" s="2">
        <v>0</v>
      </c>
      <c r="H1659" s="4">
        <v>0</v>
      </c>
      <c r="I1659" s="4">
        <v>0</v>
      </c>
      <c r="J1659" s="4">
        <v>0</v>
      </c>
      <c r="K1659" s="4">
        <v>210480.8</v>
      </c>
      <c r="L1659" s="4" t="s">
        <v>6353</v>
      </c>
      <c r="M1659" s="4" t="s">
        <v>6354</v>
      </c>
      <c r="N1659" s="4" t="s">
        <v>20</v>
      </c>
      <c r="O1659" s="4" t="s">
        <v>900</v>
      </c>
      <c r="P1659" s="4" t="s">
        <v>900</v>
      </c>
      <c r="Q1659" s="4" t="s">
        <v>144</v>
      </c>
      <c r="R1659" s="9">
        <f t="shared" si="25"/>
        <v>3.5392313936060336E-6</v>
      </c>
    </row>
    <row r="1660" spans="1:18" hidden="1" x14ac:dyDescent="0.2">
      <c r="A1660" s="4">
        <v>1668</v>
      </c>
      <c r="B1660" s="2">
        <v>175620</v>
      </c>
      <c r="C1660" s="2">
        <v>0</v>
      </c>
      <c r="D1660" s="4" t="s">
        <v>6358</v>
      </c>
      <c r="E1660" s="2">
        <v>175620</v>
      </c>
      <c r="F1660" s="2">
        <v>33367.800000000003</v>
      </c>
      <c r="G1660" s="2">
        <v>0</v>
      </c>
      <c r="H1660" s="4">
        <v>0</v>
      </c>
      <c r="I1660" s="4">
        <v>0</v>
      </c>
      <c r="J1660" s="4">
        <v>0</v>
      </c>
      <c r="K1660" s="4">
        <v>208987.8</v>
      </c>
      <c r="L1660" s="4" t="s">
        <v>6356</v>
      </c>
      <c r="M1660" s="4" t="s">
        <v>6357</v>
      </c>
      <c r="N1660" s="4" t="s">
        <v>142</v>
      </c>
      <c r="O1660" s="4" t="s">
        <v>340</v>
      </c>
      <c r="P1660" s="4" t="s">
        <v>340</v>
      </c>
      <c r="Q1660" s="4" t="s">
        <v>100</v>
      </c>
      <c r="R1660" s="9">
        <f t="shared" si="25"/>
        <v>3.4983369856157703E-6</v>
      </c>
    </row>
    <row r="1661" spans="1:18" hidden="1" x14ac:dyDescent="0.2">
      <c r="A1661" s="4">
        <v>1145</v>
      </c>
      <c r="B1661" s="2">
        <v>173231.8</v>
      </c>
      <c r="C1661" s="2">
        <v>0</v>
      </c>
      <c r="D1661" s="4" t="s">
        <v>6361</v>
      </c>
      <c r="E1661" s="2">
        <v>173231.8</v>
      </c>
      <c r="F1661" s="2">
        <v>30064.04</v>
      </c>
      <c r="G1661" s="2">
        <v>0</v>
      </c>
      <c r="H1661" s="4">
        <v>0</v>
      </c>
      <c r="I1661" s="4">
        <v>0</v>
      </c>
      <c r="J1661" s="4">
        <v>0</v>
      </c>
      <c r="K1661" s="4">
        <v>203295.84</v>
      </c>
      <c r="L1661" s="4" t="s">
        <v>6359</v>
      </c>
      <c r="M1661" s="4" t="s">
        <v>6360</v>
      </c>
      <c r="N1661" s="4" t="s">
        <v>20</v>
      </c>
      <c r="O1661" s="4" t="s">
        <v>900</v>
      </c>
      <c r="P1661" s="4" t="s">
        <v>900</v>
      </c>
      <c r="Q1661" s="4" t="s">
        <v>144</v>
      </c>
      <c r="R1661" s="9">
        <f t="shared" si="25"/>
        <v>3.4507642240336745E-6</v>
      </c>
    </row>
    <row r="1662" spans="1:18" hidden="1" x14ac:dyDescent="0.2">
      <c r="A1662" s="4">
        <v>655</v>
      </c>
      <c r="B1662" s="2">
        <v>170528</v>
      </c>
      <c r="C1662" s="2">
        <v>0</v>
      </c>
      <c r="D1662" s="4" t="s">
        <v>2662</v>
      </c>
      <c r="E1662" s="2">
        <v>170528</v>
      </c>
      <c r="F1662" s="2">
        <v>32400.32</v>
      </c>
      <c r="G1662" s="2">
        <v>0</v>
      </c>
      <c r="H1662" s="4">
        <v>0</v>
      </c>
      <c r="I1662" s="4">
        <v>0</v>
      </c>
      <c r="J1662" s="4">
        <v>0</v>
      </c>
      <c r="K1662" s="4">
        <v>202928.32</v>
      </c>
      <c r="L1662" s="4" t="s">
        <v>6362</v>
      </c>
      <c r="M1662" s="4" t="s">
        <v>2661</v>
      </c>
      <c r="N1662" s="4" t="s">
        <v>20</v>
      </c>
      <c r="O1662" s="4" t="s">
        <v>2863</v>
      </c>
      <c r="P1662" s="4" t="s">
        <v>2863</v>
      </c>
      <c r="Q1662" s="4" t="s">
        <v>100</v>
      </c>
      <c r="R1662" s="9">
        <f t="shared" si="25"/>
        <v>3.3969047345580575E-6</v>
      </c>
    </row>
    <row r="1663" spans="1:18" hidden="1" x14ac:dyDescent="0.2">
      <c r="A1663" s="4">
        <v>1061</v>
      </c>
      <c r="B1663" s="2">
        <v>170308</v>
      </c>
      <c r="C1663" s="2">
        <v>0</v>
      </c>
      <c r="D1663" s="4" t="s">
        <v>3476</v>
      </c>
      <c r="E1663" s="2">
        <v>170308</v>
      </c>
      <c r="F1663" s="2">
        <v>32358.52</v>
      </c>
      <c r="G1663" s="2">
        <v>0</v>
      </c>
      <c r="H1663" s="4">
        <v>0</v>
      </c>
      <c r="I1663" s="4">
        <v>0</v>
      </c>
      <c r="J1663" s="4">
        <v>0</v>
      </c>
      <c r="K1663" s="4">
        <v>202666.52</v>
      </c>
      <c r="L1663" s="4" t="s">
        <v>3474</v>
      </c>
      <c r="M1663" s="4" t="s">
        <v>3475</v>
      </c>
      <c r="N1663" s="4" t="s">
        <v>20</v>
      </c>
      <c r="O1663" s="4" t="s">
        <v>386</v>
      </c>
      <c r="P1663" s="4" t="s">
        <v>386</v>
      </c>
      <c r="Q1663" s="4" t="s">
        <v>1378</v>
      </c>
      <c r="R1663" s="9">
        <f t="shared" si="25"/>
        <v>3.3925223513623196E-6</v>
      </c>
    </row>
    <row r="1664" spans="1:18" hidden="1" x14ac:dyDescent="0.2">
      <c r="A1664" s="4">
        <v>1877</v>
      </c>
      <c r="B1664" s="2">
        <v>169072</v>
      </c>
      <c r="C1664" s="2">
        <v>0</v>
      </c>
      <c r="D1664" s="4" t="s">
        <v>5133</v>
      </c>
      <c r="E1664" s="2">
        <v>169072</v>
      </c>
      <c r="F1664" s="2">
        <v>32123.68</v>
      </c>
      <c r="G1664" s="2">
        <v>0</v>
      </c>
      <c r="H1664" s="4">
        <v>0</v>
      </c>
      <c r="I1664" s="4">
        <v>0</v>
      </c>
      <c r="J1664" s="4">
        <v>0</v>
      </c>
      <c r="K1664" s="4">
        <v>201195.68</v>
      </c>
      <c r="L1664" s="4" t="s">
        <v>5131</v>
      </c>
      <c r="M1664" s="4" t="s">
        <v>5132</v>
      </c>
      <c r="N1664" s="4" t="s">
        <v>20</v>
      </c>
      <c r="O1664" s="4" t="s">
        <v>3938</v>
      </c>
      <c r="P1664" s="4" t="s">
        <v>3938</v>
      </c>
      <c r="Q1664" s="4" t="s">
        <v>1378</v>
      </c>
      <c r="R1664" s="9">
        <f t="shared" si="25"/>
        <v>3.3679013257717203E-6</v>
      </c>
    </row>
    <row r="1665" spans="1:18" hidden="1" x14ac:dyDescent="0.2">
      <c r="A1665" s="4">
        <v>435</v>
      </c>
      <c r="B1665" s="2">
        <v>167016.34</v>
      </c>
      <c r="C1665" s="2">
        <v>0</v>
      </c>
      <c r="D1665" s="4" t="s">
        <v>6365</v>
      </c>
      <c r="E1665" s="2">
        <v>167016.34</v>
      </c>
      <c r="F1665" s="2">
        <v>30783.1</v>
      </c>
      <c r="G1665" s="2">
        <v>0</v>
      </c>
      <c r="H1665" s="4">
        <v>0</v>
      </c>
      <c r="I1665" s="4">
        <v>0</v>
      </c>
      <c r="J1665" s="4">
        <v>0</v>
      </c>
      <c r="K1665" s="4">
        <v>197799.44</v>
      </c>
      <c r="L1665" s="4" t="s">
        <v>6363</v>
      </c>
      <c r="M1665" s="4" t="s">
        <v>6364</v>
      </c>
      <c r="N1665" s="4" t="s">
        <v>20</v>
      </c>
      <c r="O1665" s="4" t="s">
        <v>900</v>
      </c>
      <c r="P1665" s="4" t="s">
        <v>900</v>
      </c>
      <c r="Q1665" s="4" t="s">
        <v>144</v>
      </c>
      <c r="R1665" s="9">
        <f t="shared" si="25"/>
        <v>3.3269527355892188E-6</v>
      </c>
    </row>
    <row r="1666" spans="1:18" hidden="1" x14ac:dyDescent="0.2">
      <c r="A1666" s="4">
        <v>330</v>
      </c>
      <c r="B1666" s="2">
        <v>161934</v>
      </c>
      <c r="C1666" s="2">
        <v>0</v>
      </c>
      <c r="D1666" s="4" t="s">
        <v>6368</v>
      </c>
      <c r="E1666" s="2">
        <v>161934</v>
      </c>
      <c r="F1666" s="2">
        <v>30767.46</v>
      </c>
      <c r="G1666" s="2">
        <v>0</v>
      </c>
      <c r="H1666" s="4">
        <v>0</v>
      </c>
      <c r="I1666" s="4">
        <v>0</v>
      </c>
      <c r="J1666" s="4">
        <v>0</v>
      </c>
      <c r="K1666" s="4">
        <v>192701.46</v>
      </c>
      <c r="L1666" s="4" t="s">
        <v>6366</v>
      </c>
      <c r="M1666" s="4" t="s">
        <v>6367</v>
      </c>
      <c r="N1666" s="4" t="s">
        <v>20</v>
      </c>
      <c r="O1666" s="4" t="s">
        <v>2863</v>
      </c>
      <c r="P1666" s="4" t="s">
        <v>2863</v>
      </c>
      <c r="Q1666" s="4" t="s">
        <v>100</v>
      </c>
      <c r="R1666" s="9">
        <f t="shared" si="25"/>
        <v>3.2257129109936462E-6</v>
      </c>
    </row>
    <row r="1667" spans="1:18" hidden="1" x14ac:dyDescent="0.2">
      <c r="A1667" s="4">
        <v>1870</v>
      </c>
      <c r="B1667" s="2">
        <v>161934</v>
      </c>
      <c r="C1667" s="2">
        <v>0</v>
      </c>
      <c r="D1667" s="4" t="s">
        <v>5003</v>
      </c>
      <c r="E1667" s="2">
        <v>161934</v>
      </c>
      <c r="F1667" s="2">
        <v>30767.46</v>
      </c>
      <c r="G1667" s="2">
        <v>0</v>
      </c>
      <c r="H1667" s="4">
        <v>0</v>
      </c>
      <c r="I1667" s="4">
        <v>0</v>
      </c>
      <c r="J1667" s="4">
        <v>0</v>
      </c>
      <c r="K1667" s="4">
        <v>192701.46</v>
      </c>
      <c r="L1667" s="4" t="s">
        <v>5001</v>
      </c>
      <c r="M1667" s="4" t="s">
        <v>5002</v>
      </c>
      <c r="N1667" s="4" t="s">
        <v>20</v>
      </c>
      <c r="O1667" s="4" t="s">
        <v>2863</v>
      </c>
      <c r="P1667" s="4" t="s">
        <v>2863</v>
      </c>
      <c r="Q1667" s="4" t="s">
        <v>100</v>
      </c>
      <c r="R1667" s="9">
        <f t="shared" ref="R1667:R1730" si="26">E1667/$E$2034</f>
        <v>3.2257129109936462E-6</v>
      </c>
    </row>
    <row r="1668" spans="1:18" hidden="1" x14ac:dyDescent="0.2">
      <c r="A1668" s="4">
        <v>1322</v>
      </c>
      <c r="B1668" s="2">
        <v>161712</v>
      </c>
      <c r="C1668" s="2">
        <v>0</v>
      </c>
      <c r="D1668" s="4" t="s">
        <v>6371</v>
      </c>
      <c r="E1668" s="2">
        <v>161712</v>
      </c>
      <c r="F1668" s="2">
        <v>30725.279999999999</v>
      </c>
      <c r="G1668" s="2">
        <v>0</v>
      </c>
      <c r="H1668" s="4">
        <v>0</v>
      </c>
      <c r="I1668" s="4">
        <v>0</v>
      </c>
      <c r="J1668" s="4">
        <v>0</v>
      </c>
      <c r="K1668" s="4">
        <v>192437.28</v>
      </c>
      <c r="L1668" s="4" t="s">
        <v>6369</v>
      </c>
      <c r="M1668" s="4" t="s">
        <v>6370</v>
      </c>
      <c r="N1668" s="4" t="s">
        <v>20</v>
      </c>
      <c r="O1668" s="4" t="s">
        <v>2863</v>
      </c>
      <c r="P1668" s="4" t="s">
        <v>2863</v>
      </c>
      <c r="Q1668" s="4" t="s">
        <v>100</v>
      </c>
      <c r="R1668" s="9">
        <f t="shared" si="26"/>
        <v>3.2212906879506744E-6</v>
      </c>
    </row>
    <row r="1669" spans="1:18" hidden="1" x14ac:dyDescent="0.2">
      <c r="A1669" s="4">
        <v>1073</v>
      </c>
      <c r="B1669" s="2">
        <v>157688</v>
      </c>
      <c r="C1669" s="2">
        <v>0</v>
      </c>
      <c r="D1669" s="4" t="s">
        <v>6374</v>
      </c>
      <c r="E1669" s="2">
        <v>157688</v>
      </c>
      <c r="F1669" s="2">
        <v>29010.720000000001</v>
      </c>
      <c r="G1669" s="2">
        <v>0</v>
      </c>
      <c r="H1669" s="4">
        <v>0</v>
      </c>
      <c r="I1669" s="4">
        <v>0</v>
      </c>
      <c r="J1669" s="4">
        <v>0</v>
      </c>
      <c r="K1669" s="4">
        <v>186698.72</v>
      </c>
      <c r="L1669" s="4" t="s">
        <v>6372</v>
      </c>
      <c r="M1669" s="4" t="s">
        <v>6373</v>
      </c>
      <c r="N1669" s="4" t="s">
        <v>20</v>
      </c>
      <c r="O1669" s="4" t="s">
        <v>900</v>
      </c>
      <c r="P1669" s="4" t="s">
        <v>900</v>
      </c>
      <c r="Q1669" s="4" t="s">
        <v>144</v>
      </c>
      <c r="R1669" s="9">
        <f t="shared" si="26"/>
        <v>3.1411329153159068E-6</v>
      </c>
    </row>
    <row r="1670" spans="1:18" hidden="1" x14ac:dyDescent="0.2">
      <c r="A1670" s="4">
        <v>2004</v>
      </c>
      <c r="B1670" s="2">
        <v>158098</v>
      </c>
      <c r="C1670" s="2">
        <v>4729.92</v>
      </c>
      <c r="D1670" s="4" t="s">
        <v>6377</v>
      </c>
      <c r="E1670" s="2">
        <v>153368.07999999999</v>
      </c>
      <c r="F1670" s="2">
        <v>29139.94</v>
      </c>
      <c r="G1670" s="2">
        <v>0</v>
      </c>
      <c r="H1670" s="4">
        <v>0</v>
      </c>
      <c r="I1670" s="4">
        <v>0</v>
      </c>
      <c r="J1670" s="4">
        <v>0</v>
      </c>
      <c r="K1670" s="4">
        <v>182508.02</v>
      </c>
      <c r="L1670" s="4" t="s">
        <v>6375</v>
      </c>
      <c r="M1670" s="4" t="s">
        <v>6376</v>
      </c>
      <c r="N1670" s="4" t="s">
        <v>20</v>
      </c>
      <c r="O1670" s="4" t="s">
        <v>2863</v>
      </c>
      <c r="P1670" s="4" t="s">
        <v>2863</v>
      </c>
      <c r="Q1670" s="4" t="s">
        <v>100</v>
      </c>
      <c r="R1670" s="9">
        <f t="shared" si="26"/>
        <v>3.0550804388843996E-6</v>
      </c>
    </row>
    <row r="1671" spans="1:18" hidden="1" x14ac:dyDescent="0.2">
      <c r="A1671" s="4">
        <v>1458</v>
      </c>
      <c r="B1671" s="2">
        <v>152058</v>
      </c>
      <c r="C1671" s="2">
        <v>0</v>
      </c>
      <c r="D1671" s="4" t="s">
        <v>6380</v>
      </c>
      <c r="E1671" s="2">
        <v>152058</v>
      </c>
      <c r="F1671" s="2">
        <v>27941.02</v>
      </c>
      <c r="G1671" s="2">
        <v>0</v>
      </c>
      <c r="H1671" s="4">
        <v>0</v>
      </c>
      <c r="I1671" s="4">
        <v>0</v>
      </c>
      <c r="J1671" s="4">
        <v>0</v>
      </c>
      <c r="K1671" s="4">
        <v>179999.02</v>
      </c>
      <c r="L1671" s="4" t="s">
        <v>6378</v>
      </c>
      <c r="M1671" s="4" t="s">
        <v>6379</v>
      </c>
      <c r="N1671" s="4" t="s">
        <v>20</v>
      </c>
      <c r="O1671" s="4" t="s">
        <v>900</v>
      </c>
      <c r="P1671" s="4" t="s">
        <v>900</v>
      </c>
      <c r="Q1671" s="4" t="s">
        <v>144</v>
      </c>
      <c r="R1671" s="9">
        <f t="shared" si="26"/>
        <v>3.0289837453522538E-6</v>
      </c>
    </row>
    <row r="1672" spans="1:18" hidden="1" x14ac:dyDescent="0.2">
      <c r="A1672" s="4">
        <v>1934</v>
      </c>
      <c r="B1672" s="2">
        <v>151890</v>
      </c>
      <c r="C1672" s="2">
        <v>0</v>
      </c>
      <c r="D1672" s="4" t="s">
        <v>6383</v>
      </c>
      <c r="E1672" s="2">
        <v>151890</v>
      </c>
      <c r="F1672" s="2">
        <v>27909.1</v>
      </c>
      <c r="G1672" s="2">
        <v>0</v>
      </c>
      <c r="H1672" s="4">
        <v>0</v>
      </c>
      <c r="I1672" s="4">
        <v>0</v>
      </c>
      <c r="J1672" s="4">
        <v>0</v>
      </c>
      <c r="K1672" s="4">
        <v>179799.1</v>
      </c>
      <c r="L1672" s="4" t="s">
        <v>6381</v>
      </c>
      <c r="M1672" s="4" t="s">
        <v>6382</v>
      </c>
      <c r="N1672" s="4" t="s">
        <v>20</v>
      </c>
      <c r="O1672" s="4" t="s">
        <v>900</v>
      </c>
      <c r="P1672" s="4" t="s">
        <v>900</v>
      </c>
      <c r="Q1672" s="4" t="s">
        <v>144</v>
      </c>
      <c r="R1672" s="9">
        <f t="shared" si="26"/>
        <v>3.0256371981845993E-6</v>
      </c>
    </row>
    <row r="1673" spans="1:18" hidden="1" x14ac:dyDescent="0.2">
      <c r="A1673" s="4">
        <v>2016</v>
      </c>
      <c r="B1673" s="2">
        <v>150892</v>
      </c>
      <c r="C1673" s="2">
        <v>0</v>
      </c>
      <c r="D1673" s="4" t="s">
        <v>6386</v>
      </c>
      <c r="E1673" s="2">
        <v>150892</v>
      </c>
      <c r="F1673" s="2">
        <v>28669.48</v>
      </c>
      <c r="G1673" s="2">
        <v>0</v>
      </c>
      <c r="H1673" s="4">
        <v>0</v>
      </c>
      <c r="I1673" s="4">
        <v>0</v>
      </c>
      <c r="J1673" s="4">
        <v>0</v>
      </c>
      <c r="K1673" s="4">
        <v>179561.48</v>
      </c>
      <c r="L1673" s="4" t="s">
        <v>6384</v>
      </c>
      <c r="M1673" s="4" t="s">
        <v>6385</v>
      </c>
      <c r="N1673" s="4" t="s">
        <v>20</v>
      </c>
      <c r="O1673" s="4" t="s">
        <v>2863</v>
      </c>
      <c r="P1673" s="4" t="s">
        <v>2863</v>
      </c>
      <c r="Q1673" s="4" t="s">
        <v>100</v>
      </c>
      <c r="R1673" s="9">
        <f t="shared" si="26"/>
        <v>3.0057571144148434E-6</v>
      </c>
    </row>
    <row r="1674" spans="1:18" hidden="1" x14ac:dyDescent="0.2">
      <c r="A1674" s="4">
        <v>1756</v>
      </c>
      <c r="B1674" s="2">
        <v>148620</v>
      </c>
      <c r="C1674" s="2">
        <v>0</v>
      </c>
      <c r="D1674" s="4" t="s">
        <v>6389</v>
      </c>
      <c r="E1674" s="2">
        <v>148620</v>
      </c>
      <c r="F1674" s="2">
        <v>28237.8</v>
      </c>
      <c r="G1674" s="2">
        <v>0</v>
      </c>
      <c r="H1674" s="4">
        <v>0</v>
      </c>
      <c r="I1674" s="4">
        <v>0</v>
      </c>
      <c r="J1674" s="4">
        <v>0</v>
      </c>
      <c r="K1674" s="4">
        <v>176857.8</v>
      </c>
      <c r="L1674" s="4" t="s">
        <v>6387</v>
      </c>
      <c r="M1674" s="4" t="s">
        <v>6388</v>
      </c>
      <c r="N1674" s="4" t="s">
        <v>20</v>
      </c>
      <c r="O1674" s="4" t="s">
        <v>257</v>
      </c>
      <c r="P1674" s="4" t="s">
        <v>257</v>
      </c>
      <c r="Q1674" s="4" t="s">
        <v>100</v>
      </c>
      <c r="R1674" s="9">
        <f t="shared" si="26"/>
        <v>2.9604990479570421E-6</v>
      </c>
    </row>
    <row r="1675" spans="1:18" hidden="1" x14ac:dyDescent="0.2">
      <c r="A1675" s="4">
        <v>964</v>
      </c>
      <c r="B1675" s="2">
        <v>147698</v>
      </c>
      <c r="C1675" s="2">
        <v>0</v>
      </c>
      <c r="D1675" s="4" t="s">
        <v>4584</v>
      </c>
      <c r="E1675" s="2">
        <v>147698</v>
      </c>
      <c r="F1675" s="2">
        <v>28062.62</v>
      </c>
      <c r="G1675" s="2">
        <v>0</v>
      </c>
      <c r="H1675" s="4">
        <v>0</v>
      </c>
      <c r="I1675" s="4">
        <v>0</v>
      </c>
      <c r="J1675" s="4">
        <v>0</v>
      </c>
      <c r="K1675" s="4">
        <v>175760.62</v>
      </c>
      <c r="L1675" s="4" t="s">
        <v>4582</v>
      </c>
      <c r="M1675" s="4" t="s">
        <v>4583</v>
      </c>
      <c r="N1675" s="4" t="s">
        <v>20</v>
      </c>
      <c r="O1675" s="4" t="s">
        <v>3938</v>
      </c>
      <c r="P1675" s="4" t="s">
        <v>3938</v>
      </c>
      <c r="Q1675" s="4" t="s">
        <v>1378</v>
      </c>
      <c r="R1675" s="9">
        <f t="shared" si="26"/>
        <v>2.9421328783821777E-6</v>
      </c>
    </row>
    <row r="1676" spans="1:18" hidden="1" x14ac:dyDescent="0.2">
      <c r="A1676" s="4">
        <v>179</v>
      </c>
      <c r="B1676" s="2">
        <v>144269</v>
      </c>
      <c r="C1676" s="2">
        <v>0</v>
      </c>
      <c r="D1676" s="4" t="s">
        <v>5216</v>
      </c>
      <c r="E1676" s="2">
        <v>144269</v>
      </c>
      <c r="F1676" s="2">
        <v>27411.11</v>
      </c>
      <c r="G1676" s="2">
        <v>0</v>
      </c>
      <c r="H1676" s="4">
        <v>0</v>
      </c>
      <c r="I1676" s="4">
        <v>0</v>
      </c>
      <c r="J1676" s="4">
        <v>0</v>
      </c>
      <c r="K1676" s="4">
        <v>171680.11</v>
      </c>
      <c r="L1676" s="4" t="s">
        <v>5214</v>
      </c>
      <c r="M1676" s="4" t="s">
        <v>5215</v>
      </c>
      <c r="N1676" s="4" t="s">
        <v>20</v>
      </c>
      <c r="O1676" s="4" t="s">
        <v>631</v>
      </c>
      <c r="P1676" s="4" t="s">
        <v>631</v>
      </c>
      <c r="Q1676" s="4" t="s">
        <v>100</v>
      </c>
      <c r="R1676" s="9">
        <f t="shared" si="26"/>
        <v>2.8738274602995193E-6</v>
      </c>
    </row>
    <row r="1677" spans="1:18" hidden="1" x14ac:dyDescent="0.2">
      <c r="A1677" s="4">
        <v>187</v>
      </c>
      <c r="B1677" s="2">
        <v>146082</v>
      </c>
      <c r="C1677" s="2">
        <v>4382.46</v>
      </c>
      <c r="D1677" s="4" t="s">
        <v>6392</v>
      </c>
      <c r="E1677" s="2">
        <v>141699.54</v>
      </c>
      <c r="F1677" s="2">
        <v>26922.91</v>
      </c>
      <c r="G1677" s="2">
        <v>0</v>
      </c>
      <c r="H1677" s="4">
        <v>0</v>
      </c>
      <c r="I1677" s="4">
        <v>0</v>
      </c>
      <c r="J1677" s="4">
        <v>0</v>
      </c>
      <c r="K1677" s="4">
        <v>168622.45</v>
      </c>
      <c r="L1677" s="4" t="s">
        <v>6390</v>
      </c>
      <c r="M1677" s="4" t="s">
        <v>6391</v>
      </c>
      <c r="N1677" s="4" t="s">
        <v>20</v>
      </c>
      <c r="O1677" s="4" t="s">
        <v>2863</v>
      </c>
      <c r="P1677" s="4" t="s">
        <v>2863</v>
      </c>
      <c r="Q1677" s="4" t="s">
        <v>100</v>
      </c>
      <c r="R1677" s="9">
        <f t="shared" si="26"/>
        <v>2.8226440133626082E-6</v>
      </c>
    </row>
    <row r="1678" spans="1:18" hidden="1" x14ac:dyDescent="0.2">
      <c r="A1678" s="4">
        <v>1818</v>
      </c>
      <c r="B1678" s="2">
        <v>141080</v>
      </c>
      <c r="C1678" s="2">
        <v>0</v>
      </c>
      <c r="D1678" s="4" t="s">
        <v>6395</v>
      </c>
      <c r="E1678" s="2">
        <v>141080</v>
      </c>
      <c r="F1678" s="2">
        <v>25855.200000000001</v>
      </c>
      <c r="G1678" s="2">
        <v>0</v>
      </c>
      <c r="H1678" s="4">
        <v>0</v>
      </c>
      <c r="I1678" s="4">
        <v>0</v>
      </c>
      <c r="J1678" s="4">
        <v>0</v>
      </c>
      <c r="K1678" s="4">
        <v>166935.20000000001</v>
      </c>
      <c r="L1678" s="4" t="s">
        <v>6393</v>
      </c>
      <c r="M1678" s="4" t="s">
        <v>6394</v>
      </c>
      <c r="N1678" s="4" t="s">
        <v>20</v>
      </c>
      <c r="O1678" s="4" t="s">
        <v>900</v>
      </c>
      <c r="P1678" s="4" t="s">
        <v>900</v>
      </c>
      <c r="Q1678" s="4" t="s">
        <v>144</v>
      </c>
      <c r="R1678" s="9">
        <f t="shared" si="26"/>
        <v>2.8103028238849383E-6</v>
      </c>
    </row>
    <row r="1679" spans="1:18" hidden="1" x14ac:dyDescent="0.2">
      <c r="A1679" s="4">
        <v>239</v>
      </c>
      <c r="B1679" s="2">
        <v>140585</v>
      </c>
      <c r="C1679" s="2">
        <v>0</v>
      </c>
      <c r="D1679" s="4" t="s">
        <v>6398</v>
      </c>
      <c r="E1679" s="2">
        <v>140585</v>
      </c>
      <c r="F1679" s="2">
        <v>24811.15</v>
      </c>
      <c r="G1679" s="2">
        <v>0</v>
      </c>
      <c r="H1679" s="4">
        <v>0</v>
      </c>
      <c r="I1679" s="4">
        <v>0</v>
      </c>
      <c r="J1679" s="4">
        <v>0</v>
      </c>
      <c r="K1679" s="4">
        <v>165396.15</v>
      </c>
      <c r="L1679" s="4" t="s">
        <v>6396</v>
      </c>
      <c r="M1679" s="4" t="s">
        <v>6397</v>
      </c>
      <c r="N1679" s="4" t="s">
        <v>20</v>
      </c>
      <c r="O1679" s="4" t="s">
        <v>900</v>
      </c>
      <c r="P1679" s="4" t="s">
        <v>900</v>
      </c>
      <c r="Q1679" s="4" t="s">
        <v>144</v>
      </c>
      <c r="R1679" s="9">
        <f t="shared" si="26"/>
        <v>2.8004424616945281E-6</v>
      </c>
    </row>
    <row r="1680" spans="1:18" hidden="1" x14ac:dyDescent="0.2">
      <c r="A1680" s="4">
        <v>1422</v>
      </c>
      <c r="B1680" s="2">
        <v>138614</v>
      </c>
      <c r="C1680" s="2">
        <v>0</v>
      </c>
      <c r="D1680" s="4" t="s">
        <v>6401</v>
      </c>
      <c r="E1680" s="2">
        <v>138614</v>
      </c>
      <c r="F1680" s="2">
        <v>25386.66</v>
      </c>
      <c r="G1680" s="2">
        <v>0</v>
      </c>
      <c r="H1680" s="4">
        <v>0</v>
      </c>
      <c r="I1680" s="4">
        <v>0</v>
      </c>
      <c r="J1680" s="4">
        <v>0</v>
      </c>
      <c r="K1680" s="4">
        <v>164000.66</v>
      </c>
      <c r="L1680" s="4" t="s">
        <v>6399</v>
      </c>
      <c r="M1680" s="4" t="s">
        <v>6400</v>
      </c>
      <c r="N1680" s="4" t="s">
        <v>20</v>
      </c>
      <c r="O1680" s="4" t="s">
        <v>900</v>
      </c>
      <c r="P1680" s="4" t="s">
        <v>900</v>
      </c>
      <c r="Q1680" s="4" t="s">
        <v>144</v>
      </c>
      <c r="R1680" s="9">
        <f t="shared" si="26"/>
        <v>2.7611802922454409E-6</v>
      </c>
    </row>
    <row r="1681" spans="1:18" hidden="1" x14ac:dyDescent="0.2">
      <c r="A1681" s="4">
        <v>1788</v>
      </c>
      <c r="B1681" s="2">
        <v>134376</v>
      </c>
      <c r="C1681" s="2">
        <v>0</v>
      </c>
      <c r="D1681" s="4" t="s">
        <v>6404</v>
      </c>
      <c r="E1681" s="2">
        <v>134376</v>
      </c>
      <c r="F1681" s="2">
        <v>25531.439999999999</v>
      </c>
      <c r="G1681" s="2">
        <v>0</v>
      </c>
      <c r="H1681" s="4">
        <v>0</v>
      </c>
      <c r="I1681" s="4">
        <v>0</v>
      </c>
      <c r="J1681" s="4">
        <v>0</v>
      </c>
      <c r="K1681" s="4">
        <v>159907.44</v>
      </c>
      <c r="L1681" s="4" t="s">
        <v>6402</v>
      </c>
      <c r="M1681" s="4" t="s">
        <v>6403</v>
      </c>
      <c r="N1681" s="4" t="s">
        <v>20</v>
      </c>
      <c r="O1681" s="4" t="s">
        <v>2863</v>
      </c>
      <c r="P1681" s="4" t="s">
        <v>2863</v>
      </c>
      <c r="Q1681" s="4" t="s">
        <v>100</v>
      </c>
      <c r="R1681" s="9">
        <f t="shared" si="26"/>
        <v>2.676759655956638E-6</v>
      </c>
    </row>
    <row r="1682" spans="1:18" hidden="1" x14ac:dyDescent="0.2">
      <c r="A1682" s="4">
        <v>1405</v>
      </c>
      <c r="B1682" s="2">
        <v>134274</v>
      </c>
      <c r="C1682" s="2">
        <v>0</v>
      </c>
      <c r="D1682" s="4" t="s">
        <v>6407</v>
      </c>
      <c r="E1682" s="2">
        <v>134274</v>
      </c>
      <c r="F1682" s="2">
        <v>25512.06</v>
      </c>
      <c r="G1682" s="2">
        <v>0</v>
      </c>
      <c r="H1682" s="4">
        <v>0</v>
      </c>
      <c r="I1682" s="4">
        <v>0</v>
      </c>
      <c r="J1682" s="4">
        <v>0</v>
      </c>
      <c r="K1682" s="4">
        <v>159786.06</v>
      </c>
      <c r="L1682" s="4" t="s">
        <v>6405</v>
      </c>
      <c r="M1682" s="4" t="s">
        <v>6406</v>
      </c>
      <c r="N1682" s="4" t="s">
        <v>20</v>
      </c>
      <c r="O1682" s="4" t="s">
        <v>2863</v>
      </c>
      <c r="P1682" s="4" t="s">
        <v>2863</v>
      </c>
      <c r="Q1682" s="4" t="s">
        <v>100</v>
      </c>
      <c r="R1682" s="9">
        <f t="shared" si="26"/>
        <v>2.674727823747705E-6</v>
      </c>
    </row>
    <row r="1683" spans="1:18" hidden="1" x14ac:dyDescent="0.2">
      <c r="A1683" s="4">
        <v>1115</v>
      </c>
      <c r="B1683" s="2">
        <v>133572</v>
      </c>
      <c r="C1683" s="2">
        <v>0</v>
      </c>
      <c r="D1683" s="4" t="s">
        <v>6410</v>
      </c>
      <c r="E1683" s="2">
        <v>133572</v>
      </c>
      <c r="F1683" s="2">
        <v>24428.68</v>
      </c>
      <c r="G1683" s="2">
        <v>0</v>
      </c>
      <c r="H1683" s="4">
        <v>0</v>
      </c>
      <c r="I1683" s="4">
        <v>0</v>
      </c>
      <c r="J1683" s="4">
        <v>0</v>
      </c>
      <c r="K1683" s="4">
        <v>158000.68</v>
      </c>
      <c r="L1683" s="4" t="s">
        <v>6408</v>
      </c>
      <c r="M1683" s="4" t="s">
        <v>6409</v>
      </c>
      <c r="N1683" s="4" t="s">
        <v>20</v>
      </c>
      <c r="O1683" s="4" t="s">
        <v>900</v>
      </c>
      <c r="P1683" s="4" t="s">
        <v>900</v>
      </c>
      <c r="Q1683" s="4" t="s">
        <v>144</v>
      </c>
      <c r="R1683" s="9">
        <f t="shared" si="26"/>
        <v>2.6607440373685781E-6</v>
      </c>
    </row>
    <row r="1684" spans="1:18" hidden="1" x14ac:dyDescent="0.2">
      <c r="A1684" s="4">
        <v>1399</v>
      </c>
      <c r="B1684" s="2">
        <v>133570</v>
      </c>
      <c r="C1684" s="2">
        <v>0</v>
      </c>
      <c r="D1684" s="4" t="s">
        <v>6413</v>
      </c>
      <c r="E1684" s="2">
        <v>133570</v>
      </c>
      <c r="F1684" s="2">
        <v>24428.3</v>
      </c>
      <c r="G1684" s="2">
        <v>0</v>
      </c>
      <c r="H1684" s="4">
        <v>0</v>
      </c>
      <c r="I1684" s="4">
        <v>0</v>
      </c>
      <c r="J1684" s="4">
        <v>0</v>
      </c>
      <c r="K1684" s="4">
        <v>157998.29999999999</v>
      </c>
      <c r="L1684" s="4" t="s">
        <v>6411</v>
      </c>
      <c r="M1684" s="4" t="s">
        <v>6412</v>
      </c>
      <c r="N1684" s="4" t="s">
        <v>20</v>
      </c>
      <c r="O1684" s="4" t="s">
        <v>900</v>
      </c>
      <c r="P1684" s="4" t="s">
        <v>900</v>
      </c>
      <c r="Q1684" s="4" t="s">
        <v>144</v>
      </c>
      <c r="R1684" s="9">
        <f t="shared" si="26"/>
        <v>2.6607041975213438E-6</v>
      </c>
    </row>
    <row r="1685" spans="1:18" hidden="1" x14ac:dyDescent="0.2">
      <c r="A1685" s="4">
        <v>240</v>
      </c>
      <c r="B1685" s="2">
        <v>132793</v>
      </c>
      <c r="C1685" s="2">
        <v>0</v>
      </c>
      <c r="D1685" s="4" t="s">
        <v>6416</v>
      </c>
      <c r="E1685" s="2">
        <v>132793</v>
      </c>
      <c r="F1685" s="2">
        <v>24280.67</v>
      </c>
      <c r="G1685" s="2">
        <v>0</v>
      </c>
      <c r="H1685" s="4">
        <v>0</v>
      </c>
      <c r="I1685" s="4">
        <v>0</v>
      </c>
      <c r="J1685" s="4">
        <v>0</v>
      </c>
      <c r="K1685" s="4">
        <v>157073.67000000001</v>
      </c>
      <c r="L1685" s="4" t="s">
        <v>6414</v>
      </c>
      <c r="M1685" s="4" t="s">
        <v>6415</v>
      </c>
      <c r="N1685" s="4" t="s">
        <v>20</v>
      </c>
      <c r="O1685" s="4" t="s">
        <v>900</v>
      </c>
      <c r="P1685" s="4" t="s">
        <v>900</v>
      </c>
      <c r="Q1685" s="4" t="s">
        <v>144</v>
      </c>
      <c r="R1685" s="9">
        <f t="shared" si="26"/>
        <v>2.6452264168709428E-6</v>
      </c>
    </row>
    <row r="1686" spans="1:18" hidden="1" x14ac:dyDescent="0.2">
      <c r="A1686" s="4">
        <v>67</v>
      </c>
      <c r="B1686" s="2">
        <v>131923</v>
      </c>
      <c r="C1686" s="2">
        <v>0</v>
      </c>
      <c r="D1686" s="4" t="s">
        <v>4528</v>
      </c>
      <c r="E1686" s="2">
        <v>131923</v>
      </c>
      <c r="F1686" s="2">
        <v>25065.37</v>
      </c>
      <c r="G1686" s="2">
        <v>0</v>
      </c>
      <c r="H1686" s="4">
        <v>0</v>
      </c>
      <c r="I1686" s="4">
        <v>0</v>
      </c>
      <c r="J1686" s="4">
        <v>0</v>
      </c>
      <c r="K1686" s="4">
        <v>156988.37</v>
      </c>
      <c r="L1686" s="4" t="s">
        <v>4526</v>
      </c>
      <c r="M1686" s="4" t="s">
        <v>4527</v>
      </c>
      <c r="N1686" s="4" t="s">
        <v>20</v>
      </c>
      <c r="O1686" s="4" t="s">
        <v>3938</v>
      </c>
      <c r="P1686" s="4" t="s">
        <v>3938</v>
      </c>
      <c r="Q1686" s="4" t="s">
        <v>1378</v>
      </c>
      <c r="R1686" s="9">
        <f t="shared" si="26"/>
        <v>2.6278960833241614E-6</v>
      </c>
    </row>
    <row r="1687" spans="1:18" hidden="1" x14ac:dyDescent="0.2">
      <c r="A1687" s="4">
        <v>5</v>
      </c>
      <c r="B1687" s="2">
        <v>131718</v>
      </c>
      <c r="C1687" s="2">
        <v>0</v>
      </c>
      <c r="D1687" s="4" t="s">
        <v>6419</v>
      </c>
      <c r="E1687" s="2">
        <v>131718</v>
      </c>
      <c r="F1687" s="2">
        <v>25026.42</v>
      </c>
      <c r="G1687" s="2">
        <v>0</v>
      </c>
      <c r="H1687" s="4">
        <v>0</v>
      </c>
      <c r="I1687" s="4">
        <v>0</v>
      </c>
      <c r="J1687" s="4">
        <v>0</v>
      </c>
      <c r="K1687" s="4">
        <v>156744.42000000001</v>
      </c>
      <c r="L1687" s="4" t="s">
        <v>6417</v>
      </c>
      <c r="M1687" s="4" t="s">
        <v>6418</v>
      </c>
      <c r="N1687" s="4" t="s">
        <v>20</v>
      </c>
      <c r="O1687" s="4" t="s">
        <v>2863</v>
      </c>
      <c r="P1687" s="4" t="s">
        <v>2863</v>
      </c>
      <c r="Q1687" s="4" t="s">
        <v>100</v>
      </c>
      <c r="R1687" s="9">
        <f t="shared" si="26"/>
        <v>2.6238124989826785E-6</v>
      </c>
    </row>
    <row r="1688" spans="1:18" hidden="1" x14ac:dyDescent="0.2">
      <c r="A1688" s="4">
        <v>133</v>
      </c>
      <c r="B1688" s="2">
        <v>129130</v>
      </c>
      <c r="C1688" s="2">
        <v>0</v>
      </c>
      <c r="D1688" s="4" t="s">
        <v>6422</v>
      </c>
      <c r="E1688" s="2">
        <v>129130</v>
      </c>
      <c r="F1688" s="2">
        <v>24534.7</v>
      </c>
      <c r="G1688" s="2">
        <v>0</v>
      </c>
      <c r="H1688" s="4">
        <v>0</v>
      </c>
      <c r="I1688" s="4">
        <v>0</v>
      </c>
      <c r="J1688" s="4">
        <v>0</v>
      </c>
      <c r="K1688" s="4">
        <v>153664.70000000001</v>
      </c>
      <c r="L1688" s="4" t="s">
        <v>6420</v>
      </c>
      <c r="M1688" s="4" t="s">
        <v>6421</v>
      </c>
      <c r="N1688" s="4" t="s">
        <v>20</v>
      </c>
      <c r="O1688" s="4" t="s">
        <v>3938</v>
      </c>
      <c r="P1688" s="4" t="s">
        <v>3938</v>
      </c>
      <c r="Q1688" s="4" t="s">
        <v>1378</v>
      </c>
      <c r="R1688" s="9">
        <f t="shared" si="26"/>
        <v>2.5722597366619088E-6</v>
      </c>
    </row>
    <row r="1689" spans="1:18" hidden="1" x14ac:dyDescent="0.2">
      <c r="A1689" s="4">
        <v>1141</v>
      </c>
      <c r="B1689" s="2">
        <v>118134</v>
      </c>
      <c r="C1689" s="2">
        <v>0</v>
      </c>
      <c r="D1689" s="4" t="s">
        <v>6425</v>
      </c>
      <c r="E1689" s="2">
        <v>118134</v>
      </c>
      <c r="F1689" s="2">
        <v>22445.46</v>
      </c>
      <c r="G1689" s="2">
        <v>0</v>
      </c>
      <c r="H1689" s="4">
        <v>0</v>
      </c>
      <c r="I1689" s="4">
        <v>0</v>
      </c>
      <c r="J1689" s="4">
        <v>0</v>
      </c>
      <c r="K1689" s="4">
        <v>140579.46</v>
      </c>
      <c r="L1689" s="4" t="s">
        <v>6423</v>
      </c>
      <c r="M1689" s="4" t="s">
        <v>6424</v>
      </c>
      <c r="N1689" s="4" t="s">
        <v>20</v>
      </c>
      <c r="O1689" s="4" t="s">
        <v>2863</v>
      </c>
      <c r="P1689" s="4" t="s">
        <v>2863</v>
      </c>
      <c r="Q1689" s="4" t="s">
        <v>100</v>
      </c>
      <c r="R1689" s="9">
        <f t="shared" si="26"/>
        <v>2.3532202565694873E-6</v>
      </c>
    </row>
    <row r="1690" spans="1:18" hidden="1" x14ac:dyDescent="0.2">
      <c r="A1690" s="4">
        <v>659</v>
      </c>
      <c r="B1690" s="2">
        <v>116557</v>
      </c>
      <c r="C1690" s="2">
        <v>0</v>
      </c>
      <c r="D1690" s="4" t="s">
        <v>6428</v>
      </c>
      <c r="E1690" s="2">
        <v>116557</v>
      </c>
      <c r="F1690" s="2">
        <v>22145.83</v>
      </c>
      <c r="G1690" s="2">
        <v>0</v>
      </c>
      <c r="H1690" s="4">
        <v>0</v>
      </c>
      <c r="I1690" s="4">
        <v>0</v>
      </c>
      <c r="J1690" s="4">
        <v>0</v>
      </c>
      <c r="K1690" s="4">
        <v>138702.82999999999</v>
      </c>
      <c r="L1690" s="4" t="s">
        <v>6426</v>
      </c>
      <c r="M1690" s="4" t="s">
        <v>6427</v>
      </c>
      <c r="N1690" s="4" t="s">
        <v>20</v>
      </c>
      <c r="O1690" s="4" t="s">
        <v>2863</v>
      </c>
      <c r="P1690" s="4" t="s">
        <v>2863</v>
      </c>
      <c r="Q1690" s="4" t="s">
        <v>100</v>
      </c>
      <c r="R1690" s="9">
        <f t="shared" si="26"/>
        <v>2.3218065370254943E-6</v>
      </c>
    </row>
    <row r="1691" spans="1:18" hidden="1" x14ac:dyDescent="0.2">
      <c r="A1691" s="4">
        <v>160</v>
      </c>
      <c r="B1691" s="2">
        <v>115908</v>
      </c>
      <c r="C1691" s="2">
        <v>0</v>
      </c>
      <c r="D1691" s="4" t="s">
        <v>6431</v>
      </c>
      <c r="E1691" s="2">
        <v>115908</v>
      </c>
      <c r="F1691" s="2">
        <v>22022.52</v>
      </c>
      <c r="G1691" s="2">
        <v>0</v>
      </c>
      <c r="H1691" s="4">
        <v>0</v>
      </c>
      <c r="I1691" s="4">
        <v>0</v>
      </c>
      <c r="J1691" s="4">
        <v>0</v>
      </c>
      <c r="K1691" s="4">
        <v>137930.51999999999</v>
      </c>
      <c r="L1691" s="4" t="s">
        <v>6429</v>
      </c>
      <c r="M1691" s="4" t="s">
        <v>6430</v>
      </c>
      <c r="N1691" s="4" t="s">
        <v>20</v>
      </c>
      <c r="O1691" s="4" t="s">
        <v>3938</v>
      </c>
      <c r="P1691" s="4" t="s">
        <v>3938</v>
      </c>
      <c r="Q1691" s="4" t="s">
        <v>1378</v>
      </c>
      <c r="R1691" s="9">
        <f t="shared" si="26"/>
        <v>2.3088785065980681E-6</v>
      </c>
    </row>
    <row r="1692" spans="1:18" hidden="1" x14ac:dyDescent="0.2">
      <c r="A1692" s="4">
        <v>257</v>
      </c>
      <c r="B1692" s="2">
        <v>115700</v>
      </c>
      <c r="C1692" s="2">
        <v>0</v>
      </c>
      <c r="D1692" s="4" t="s">
        <v>6434</v>
      </c>
      <c r="E1692" s="2">
        <v>115700</v>
      </c>
      <c r="F1692" s="2">
        <v>21983</v>
      </c>
      <c r="G1692" s="2">
        <v>0</v>
      </c>
      <c r="H1692" s="4">
        <v>0</v>
      </c>
      <c r="I1692" s="4">
        <v>0</v>
      </c>
      <c r="J1692" s="4">
        <v>0</v>
      </c>
      <c r="K1692" s="4">
        <v>137683</v>
      </c>
      <c r="L1692" s="4" t="s">
        <v>6432</v>
      </c>
      <c r="M1692" s="4" t="s">
        <v>6433</v>
      </c>
      <c r="N1692" s="4" t="s">
        <v>20</v>
      </c>
      <c r="O1692" s="4" t="s">
        <v>631</v>
      </c>
      <c r="P1692" s="4" t="s">
        <v>631</v>
      </c>
      <c r="Q1692" s="4" t="s">
        <v>100</v>
      </c>
      <c r="R1692" s="9">
        <f t="shared" si="26"/>
        <v>2.304735162485734E-6</v>
      </c>
    </row>
    <row r="1693" spans="1:18" hidden="1" x14ac:dyDescent="0.2">
      <c r="A1693" s="4">
        <v>535</v>
      </c>
      <c r="B1693" s="2">
        <v>115700</v>
      </c>
      <c r="C1693" s="2">
        <v>0</v>
      </c>
      <c r="D1693" s="4" t="s">
        <v>6437</v>
      </c>
      <c r="E1693" s="2">
        <v>115700</v>
      </c>
      <c r="F1693" s="2">
        <v>21983</v>
      </c>
      <c r="G1693" s="2">
        <v>0</v>
      </c>
      <c r="H1693" s="4">
        <v>0</v>
      </c>
      <c r="I1693" s="4">
        <v>0</v>
      </c>
      <c r="J1693" s="4">
        <v>0</v>
      </c>
      <c r="K1693" s="4">
        <v>137683</v>
      </c>
      <c r="L1693" s="4" t="s">
        <v>6435</v>
      </c>
      <c r="M1693" s="4" t="s">
        <v>6436</v>
      </c>
      <c r="N1693" s="4" t="s">
        <v>20</v>
      </c>
      <c r="O1693" s="4" t="s">
        <v>2863</v>
      </c>
      <c r="P1693" s="4" t="s">
        <v>2863</v>
      </c>
      <c r="Q1693" s="4" t="s">
        <v>100</v>
      </c>
      <c r="R1693" s="9">
        <f t="shared" si="26"/>
        <v>2.304735162485734E-6</v>
      </c>
    </row>
    <row r="1694" spans="1:18" hidden="1" x14ac:dyDescent="0.2">
      <c r="A1694" s="4">
        <v>1415</v>
      </c>
      <c r="B1694" s="2">
        <v>115700</v>
      </c>
      <c r="C1694" s="2">
        <v>0</v>
      </c>
      <c r="D1694" s="4" t="s">
        <v>6440</v>
      </c>
      <c r="E1694" s="2">
        <v>115700</v>
      </c>
      <c r="F1694" s="2">
        <v>21983</v>
      </c>
      <c r="G1694" s="2">
        <v>0</v>
      </c>
      <c r="H1694" s="4">
        <v>0</v>
      </c>
      <c r="I1694" s="4">
        <v>0</v>
      </c>
      <c r="J1694" s="4">
        <v>0</v>
      </c>
      <c r="K1694" s="4">
        <v>137683</v>
      </c>
      <c r="L1694" s="4" t="s">
        <v>6438</v>
      </c>
      <c r="M1694" s="4" t="s">
        <v>6439</v>
      </c>
      <c r="N1694" s="4" t="s">
        <v>20</v>
      </c>
      <c r="O1694" s="4" t="s">
        <v>2863</v>
      </c>
      <c r="P1694" s="4" t="s">
        <v>2863</v>
      </c>
      <c r="Q1694" s="4" t="s">
        <v>100</v>
      </c>
      <c r="R1694" s="9">
        <f t="shared" si="26"/>
        <v>2.304735162485734E-6</v>
      </c>
    </row>
    <row r="1695" spans="1:18" hidden="1" x14ac:dyDescent="0.2">
      <c r="A1695" s="4">
        <v>1824</v>
      </c>
      <c r="B1695" s="2">
        <v>115700</v>
      </c>
      <c r="C1695" s="2">
        <v>0</v>
      </c>
      <c r="D1695" s="4" t="s">
        <v>6443</v>
      </c>
      <c r="E1695" s="2">
        <v>115700</v>
      </c>
      <c r="F1695" s="2">
        <v>21983</v>
      </c>
      <c r="G1695" s="2">
        <v>0</v>
      </c>
      <c r="H1695" s="4">
        <v>0</v>
      </c>
      <c r="I1695" s="4">
        <v>0</v>
      </c>
      <c r="J1695" s="4">
        <v>0</v>
      </c>
      <c r="K1695" s="4">
        <v>137683</v>
      </c>
      <c r="L1695" s="4" t="s">
        <v>6441</v>
      </c>
      <c r="M1695" s="4" t="s">
        <v>6442</v>
      </c>
      <c r="N1695" s="4" t="s">
        <v>20</v>
      </c>
      <c r="O1695" s="4" t="s">
        <v>2863</v>
      </c>
      <c r="P1695" s="4" t="s">
        <v>2863</v>
      </c>
      <c r="Q1695" s="4" t="s">
        <v>100</v>
      </c>
      <c r="R1695" s="9">
        <f t="shared" si="26"/>
        <v>2.304735162485734E-6</v>
      </c>
    </row>
    <row r="1696" spans="1:18" hidden="1" x14ac:dyDescent="0.2">
      <c r="A1696" s="4">
        <v>574</v>
      </c>
      <c r="B1696" s="2">
        <v>113810</v>
      </c>
      <c r="C1696" s="2">
        <v>0</v>
      </c>
      <c r="D1696" s="4" t="s">
        <v>6446</v>
      </c>
      <c r="E1696" s="2">
        <v>113810</v>
      </c>
      <c r="F1696" s="2">
        <v>21623.9</v>
      </c>
      <c r="G1696" s="2">
        <v>0</v>
      </c>
      <c r="H1696" s="4">
        <v>0</v>
      </c>
      <c r="I1696" s="4">
        <v>0</v>
      </c>
      <c r="J1696" s="4">
        <v>0</v>
      </c>
      <c r="K1696" s="4">
        <v>135433.9</v>
      </c>
      <c r="L1696" s="4" t="s">
        <v>6444</v>
      </c>
      <c r="M1696" s="4" t="s">
        <v>6445</v>
      </c>
      <c r="N1696" s="4" t="s">
        <v>20</v>
      </c>
      <c r="O1696" s="4" t="s">
        <v>2863</v>
      </c>
      <c r="P1696" s="4" t="s">
        <v>2863</v>
      </c>
      <c r="Q1696" s="4" t="s">
        <v>100</v>
      </c>
      <c r="R1696" s="9">
        <f t="shared" si="26"/>
        <v>2.267086506849623E-6</v>
      </c>
    </row>
    <row r="1697" spans="1:18" hidden="1" x14ac:dyDescent="0.2">
      <c r="A1697" s="4">
        <v>1208</v>
      </c>
      <c r="B1697" s="2">
        <v>113655</v>
      </c>
      <c r="C1697" s="2">
        <v>0</v>
      </c>
      <c r="D1697" s="4" t="s">
        <v>6449</v>
      </c>
      <c r="E1697" s="2">
        <v>113655</v>
      </c>
      <c r="F1697" s="2">
        <v>20644.45</v>
      </c>
      <c r="G1697" s="2">
        <v>0</v>
      </c>
      <c r="H1697" s="4">
        <v>0</v>
      </c>
      <c r="I1697" s="4">
        <v>0</v>
      </c>
      <c r="J1697" s="4">
        <v>0</v>
      </c>
      <c r="K1697" s="4">
        <v>134299.45000000001</v>
      </c>
      <c r="L1697" s="4" t="s">
        <v>6447</v>
      </c>
      <c r="M1697" s="4" t="s">
        <v>6448</v>
      </c>
      <c r="N1697" s="4" t="s">
        <v>20</v>
      </c>
      <c r="O1697" s="4" t="s">
        <v>900</v>
      </c>
      <c r="P1697" s="4" t="s">
        <v>900</v>
      </c>
      <c r="Q1697" s="4" t="s">
        <v>144</v>
      </c>
      <c r="R1697" s="9">
        <f t="shared" si="26"/>
        <v>2.2639989186889897E-6</v>
      </c>
    </row>
    <row r="1698" spans="1:18" hidden="1" x14ac:dyDescent="0.2">
      <c r="A1698" s="4">
        <v>2018</v>
      </c>
      <c r="B1698" s="2">
        <v>109675</v>
      </c>
      <c r="C1698" s="2">
        <v>0</v>
      </c>
      <c r="D1698" s="4" t="s">
        <v>6452</v>
      </c>
      <c r="E1698" s="2">
        <v>109675</v>
      </c>
      <c r="F1698" s="2">
        <v>20838.25</v>
      </c>
      <c r="G1698" s="2">
        <v>0</v>
      </c>
      <c r="H1698" s="4">
        <v>0</v>
      </c>
      <c r="I1698" s="4">
        <v>0</v>
      </c>
      <c r="J1698" s="4">
        <v>0</v>
      </c>
      <c r="K1698" s="4">
        <v>130513.25</v>
      </c>
      <c r="L1698" s="4" t="s">
        <v>6450</v>
      </c>
      <c r="M1698" s="4" t="s">
        <v>6451</v>
      </c>
      <c r="N1698" s="4" t="s">
        <v>20</v>
      </c>
      <c r="O1698" s="4" t="s">
        <v>2863</v>
      </c>
      <c r="P1698" s="4" t="s">
        <v>2863</v>
      </c>
      <c r="Q1698" s="4" t="s">
        <v>1378</v>
      </c>
      <c r="R1698" s="9">
        <f t="shared" si="26"/>
        <v>2.1847176226933699E-6</v>
      </c>
    </row>
    <row r="1699" spans="1:18" hidden="1" x14ac:dyDescent="0.2">
      <c r="A1699" s="4">
        <v>537</v>
      </c>
      <c r="B1699" s="2">
        <v>109648</v>
      </c>
      <c r="C1699" s="2">
        <v>0</v>
      </c>
      <c r="D1699" s="4" t="s">
        <v>6455</v>
      </c>
      <c r="E1699" s="2">
        <v>109648</v>
      </c>
      <c r="F1699" s="2">
        <v>20833.12</v>
      </c>
      <c r="G1699" s="2">
        <v>0</v>
      </c>
      <c r="H1699" s="4">
        <v>0</v>
      </c>
      <c r="I1699" s="4">
        <v>0</v>
      </c>
      <c r="J1699" s="4">
        <v>0</v>
      </c>
      <c r="K1699" s="4">
        <v>130481.12</v>
      </c>
      <c r="L1699" s="4" t="s">
        <v>6453</v>
      </c>
      <c r="M1699" s="4" t="s">
        <v>6454</v>
      </c>
      <c r="N1699" s="4" t="s">
        <v>975</v>
      </c>
      <c r="O1699" s="4" t="s">
        <v>89</v>
      </c>
      <c r="P1699" s="4" t="s">
        <v>89</v>
      </c>
      <c r="Q1699" s="4" t="s">
        <v>100</v>
      </c>
      <c r="R1699" s="9">
        <f t="shared" si="26"/>
        <v>2.1841797847557111E-6</v>
      </c>
    </row>
    <row r="1700" spans="1:18" hidden="1" x14ac:dyDescent="0.2">
      <c r="A1700" s="4">
        <v>161</v>
      </c>
      <c r="B1700" s="2">
        <v>107003</v>
      </c>
      <c r="C1700" s="2">
        <v>0</v>
      </c>
      <c r="D1700" s="4" t="s">
        <v>6458</v>
      </c>
      <c r="E1700" s="2">
        <v>107003</v>
      </c>
      <c r="F1700" s="2">
        <v>20330.57</v>
      </c>
      <c r="G1700" s="2">
        <v>0</v>
      </c>
      <c r="H1700" s="4">
        <v>0</v>
      </c>
      <c r="I1700" s="4">
        <v>0</v>
      </c>
      <c r="J1700" s="4">
        <v>0</v>
      </c>
      <c r="K1700" s="4">
        <v>127333.57</v>
      </c>
      <c r="L1700" s="4" t="s">
        <v>6456</v>
      </c>
      <c r="M1700" s="4" t="s">
        <v>6457</v>
      </c>
      <c r="N1700" s="4" t="s">
        <v>20</v>
      </c>
      <c r="O1700" s="4" t="s">
        <v>3938</v>
      </c>
      <c r="P1700" s="4" t="s">
        <v>3938</v>
      </c>
      <c r="Q1700" s="4" t="s">
        <v>1378</v>
      </c>
      <c r="R1700" s="9">
        <f t="shared" si="26"/>
        <v>2.1314915867887728E-6</v>
      </c>
    </row>
    <row r="1701" spans="1:18" hidden="1" x14ac:dyDescent="0.2">
      <c r="A1701" s="4">
        <v>1733</v>
      </c>
      <c r="B1701" s="2">
        <v>107003</v>
      </c>
      <c r="C1701" s="2">
        <v>0</v>
      </c>
      <c r="D1701" s="4" t="s">
        <v>5111</v>
      </c>
      <c r="E1701" s="2">
        <v>107003</v>
      </c>
      <c r="F1701" s="2">
        <v>20330.57</v>
      </c>
      <c r="G1701" s="2">
        <v>0</v>
      </c>
      <c r="H1701" s="4">
        <v>0</v>
      </c>
      <c r="I1701" s="4">
        <v>0</v>
      </c>
      <c r="J1701" s="4">
        <v>0</v>
      </c>
      <c r="K1701" s="4">
        <v>127333.57</v>
      </c>
      <c r="L1701" s="4" t="s">
        <v>5109</v>
      </c>
      <c r="M1701" s="4" t="s">
        <v>5110</v>
      </c>
      <c r="N1701" s="4" t="s">
        <v>20</v>
      </c>
      <c r="O1701" s="4" t="s">
        <v>3938</v>
      </c>
      <c r="P1701" s="4" t="s">
        <v>3938</v>
      </c>
      <c r="Q1701" s="4" t="s">
        <v>1378</v>
      </c>
      <c r="R1701" s="9">
        <f t="shared" si="26"/>
        <v>2.1314915867887728E-6</v>
      </c>
    </row>
    <row r="1702" spans="1:18" hidden="1" x14ac:dyDescent="0.2">
      <c r="A1702" s="4">
        <v>101</v>
      </c>
      <c r="B1702" s="2">
        <v>106848</v>
      </c>
      <c r="C1702" s="2">
        <v>0</v>
      </c>
      <c r="D1702" s="4" t="s">
        <v>6461</v>
      </c>
      <c r="E1702" s="2">
        <v>106848</v>
      </c>
      <c r="F1702" s="2">
        <v>20301.12</v>
      </c>
      <c r="G1702" s="2">
        <v>0</v>
      </c>
      <c r="H1702" s="4">
        <v>0</v>
      </c>
      <c r="I1702" s="4">
        <v>0</v>
      </c>
      <c r="J1702" s="4">
        <v>0</v>
      </c>
      <c r="K1702" s="4">
        <v>127149.12</v>
      </c>
      <c r="L1702" s="4" t="s">
        <v>6459</v>
      </c>
      <c r="M1702" s="4" t="s">
        <v>6460</v>
      </c>
      <c r="N1702" s="4" t="s">
        <v>20</v>
      </c>
      <c r="O1702" s="4" t="s">
        <v>2863</v>
      </c>
      <c r="P1702" s="4" t="s">
        <v>2863</v>
      </c>
      <c r="Q1702" s="4" t="s">
        <v>100</v>
      </c>
      <c r="R1702" s="9">
        <f t="shared" si="26"/>
        <v>2.1284039986281394E-6</v>
      </c>
    </row>
    <row r="1703" spans="1:18" hidden="1" x14ac:dyDescent="0.2">
      <c r="A1703" s="4">
        <v>1652</v>
      </c>
      <c r="B1703" s="2">
        <v>106692</v>
      </c>
      <c r="C1703" s="2">
        <v>0</v>
      </c>
      <c r="D1703" s="4" t="s">
        <v>6464</v>
      </c>
      <c r="E1703" s="2">
        <v>106692</v>
      </c>
      <c r="F1703" s="2">
        <v>20271.48</v>
      </c>
      <c r="G1703" s="2">
        <v>0</v>
      </c>
      <c r="H1703" s="4">
        <v>0</v>
      </c>
      <c r="I1703" s="4">
        <v>0</v>
      </c>
      <c r="J1703" s="4">
        <v>0</v>
      </c>
      <c r="K1703" s="4">
        <v>126963.48</v>
      </c>
      <c r="L1703" s="4" t="s">
        <v>6462</v>
      </c>
      <c r="M1703" s="4" t="s">
        <v>6463</v>
      </c>
      <c r="N1703" s="4" t="s">
        <v>20</v>
      </c>
      <c r="O1703" s="4" t="s">
        <v>2863</v>
      </c>
      <c r="P1703" s="4" t="s">
        <v>2863</v>
      </c>
      <c r="Q1703" s="4" t="s">
        <v>100</v>
      </c>
      <c r="R1703" s="9">
        <f t="shared" si="26"/>
        <v>2.1252964905438887E-6</v>
      </c>
    </row>
    <row r="1704" spans="1:18" hidden="1" x14ac:dyDescent="0.2">
      <c r="A1704" s="4">
        <v>839</v>
      </c>
      <c r="B1704" s="2">
        <v>104954.1</v>
      </c>
      <c r="C1704" s="2">
        <v>0</v>
      </c>
      <c r="D1704" s="4" t="s">
        <v>6467</v>
      </c>
      <c r="E1704" s="2">
        <v>104954.1</v>
      </c>
      <c r="F1704" s="2">
        <v>19941.28</v>
      </c>
      <c r="G1704" s="2">
        <v>0</v>
      </c>
      <c r="H1704" s="4">
        <v>0</v>
      </c>
      <c r="I1704" s="4">
        <v>0</v>
      </c>
      <c r="J1704" s="4">
        <v>0</v>
      </c>
      <c r="K1704" s="4">
        <v>124895.38</v>
      </c>
      <c r="L1704" s="4" t="s">
        <v>6465</v>
      </c>
      <c r="M1704" s="4" t="s">
        <v>6466</v>
      </c>
      <c r="N1704" s="4" t="s">
        <v>20</v>
      </c>
      <c r="O1704" s="4" t="s">
        <v>900</v>
      </c>
      <c r="P1704" s="4" t="s">
        <v>900</v>
      </c>
      <c r="Q1704" s="4" t="s">
        <v>144</v>
      </c>
      <c r="R1704" s="9">
        <f t="shared" si="26"/>
        <v>2.0906776552899221E-6</v>
      </c>
    </row>
    <row r="1705" spans="1:18" hidden="1" x14ac:dyDescent="0.2">
      <c r="A1705" s="4">
        <v>1040</v>
      </c>
      <c r="B1705" s="2">
        <v>104031</v>
      </c>
      <c r="C1705" s="2">
        <v>0</v>
      </c>
      <c r="D1705" s="4" t="s">
        <v>4820</v>
      </c>
      <c r="E1705" s="2">
        <v>104031</v>
      </c>
      <c r="F1705" s="2">
        <v>19765.89</v>
      </c>
      <c r="G1705" s="2">
        <v>0</v>
      </c>
      <c r="H1705" s="4">
        <v>0</v>
      </c>
      <c r="I1705" s="4">
        <v>0</v>
      </c>
      <c r="J1705" s="4">
        <v>0</v>
      </c>
      <c r="K1705" s="4">
        <v>123796.89</v>
      </c>
      <c r="L1705" s="4" t="s">
        <v>4818</v>
      </c>
      <c r="M1705" s="4" t="s">
        <v>4819</v>
      </c>
      <c r="N1705" s="4" t="s">
        <v>20</v>
      </c>
      <c r="O1705" s="4" t="s">
        <v>692</v>
      </c>
      <c r="P1705" s="4" t="s">
        <v>692</v>
      </c>
      <c r="Q1705" s="4" t="s">
        <v>100</v>
      </c>
      <c r="R1705" s="9">
        <f t="shared" si="26"/>
        <v>2.0722895737990788E-6</v>
      </c>
    </row>
    <row r="1706" spans="1:18" hidden="1" x14ac:dyDescent="0.2">
      <c r="A1706" s="4">
        <v>1124</v>
      </c>
      <c r="B1706" s="2">
        <v>102818</v>
      </c>
      <c r="C1706" s="2">
        <v>0</v>
      </c>
      <c r="D1706" s="4" t="s">
        <v>3006</v>
      </c>
      <c r="E1706" s="2">
        <v>102818</v>
      </c>
      <c r="F1706" s="2">
        <v>19535.419999999998</v>
      </c>
      <c r="G1706" s="2">
        <v>0</v>
      </c>
      <c r="H1706" s="4">
        <v>0</v>
      </c>
      <c r="I1706" s="4">
        <v>0</v>
      </c>
      <c r="J1706" s="4">
        <v>0</v>
      </c>
      <c r="K1706" s="4">
        <v>122353.42</v>
      </c>
      <c r="L1706" s="4" t="s">
        <v>4111</v>
      </c>
      <c r="M1706" s="4" t="s">
        <v>3005</v>
      </c>
      <c r="N1706" s="4" t="s">
        <v>20</v>
      </c>
      <c r="O1706" s="4" t="s">
        <v>2863</v>
      </c>
      <c r="P1706" s="4" t="s">
        <v>2863</v>
      </c>
      <c r="Q1706" s="4" t="s">
        <v>100</v>
      </c>
      <c r="R1706" s="9">
        <f t="shared" si="26"/>
        <v>2.0481267064516698E-6</v>
      </c>
    </row>
    <row r="1707" spans="1:18" hidden="1" x14ac:dyDescent="0.2">
      <c r="A1707" s="4">
        <v>102</v>
      </c>
      <c r="B1707" s="2">
        <v>101806</v>
      </c>
      <c r="C1707" s="2">
        <v>0</v>
      </c>
      <c r="D1707" s="4" t="s">
        <v>6470</v>
      </c>
      <c r="E1707" s="2">
        <v>101806</v>
      </c>
      <c r="F1707" s="2">
        <v>18393.14</v>
      </c>
      <c r="G1707" s="2">
        <v>0</v>
      </c>
      <c r="H1707" s="4">
        <v>0</v>
      </c>
      <c r="I1707" s="4">
        <v>0</v>
      </c>
      <c r="J1707" s="4">
        <v>0</v>
      </c>
      <c r="K1707" s="4">
        <v>120199.14</v>
      </c>
      <c r="L1707" s="4" t="s">
        <v>6468</v>
      </c>
      <c r="M1707" s="4" t="s">
        <v>6469</v>
      </c>
      <c r="N1707" s="4" t="s">
        <v>20</v>
      </c>
      <c r="O1707" s="4" t="s">
        <v>900</v>
      </c>
      <c r="P1707" s="4" t="s">
        <v>900</v>
      </c>
      <c r="Q1707" s="4" t="s">
        <v>144</v>
      </c>
      <c r="R1707" s="9">
        <f t="shared" si="26"/>
        <v>2.0279677437512762E-6</v>
      </c>
    </row>
    <row r="1708" spans="1:18" hidden="1" x14ac:dyDescent="0.2">
      <c r="A1708" s="4">
        <v>1879</v>
      </c>
      <c r="B1708" s="2">
        <v>98361</v>
      </c>
      <c r="C1708" s="2">
        <v>0</v>
      </c>
      <c r="D1708" s="4" t="s">
        <v>6473</v>
      </c>
      <c r="E1708" s="2">
        <v>98361</v>
      </c>
      <c r="F1708" s="2">
        <v>17738.59</v>
      </c>
      <c r="G1708" s="2">
        <v>0</v>
      </c>
      <c r="H1708" s="4">
        <v>0</v>
      </c>
      <c r="I1708" s="4">
        <v>0</v>
      </c>
      <c r="J1708" s="4">
        <v>0</v>
      </c>
      <c r="K1708" s="4">
        <v>116099.59</v>
      </c>
      <c r="L1708" s="4" t="s">
        <v>6471</v>
      </c>
      <c r="M1708" s="4" t="s">
        <v>6472</v>
      </c>
      <c r="N1708" s="4" t="s">
        <v>20</v>
      </c>
      <c r="O1708" s="4" t="s">
        <v>900</v>
      </c>
      <c r="P1708" s="4" t="s">
        <v>900</v>
      </c>
      <c r="Q1708" s="4" t="s">
        <v>144</v>
      </c>
      <c r="R1708" s="9">
        <f t="shared" si="26"/>
        <v>1.9593436068907458E-6</v>
      </c>
    </row>
    <row r="1709" spans="1:18" hidden="1" x14ac:dyDescent="0.2">
      <c r="A1709" s="4">
        <v>1907</v>
      </c>
      <c r="B1709" s="2">
        <v>98361</v>
      </c>
      <c r="C1709" s="2">
        <v>0</v>
      </c>
      <c r="D1709" s="4" t="s">
        <v>6476</v>
      </c>
      <c r="E1709" s="2">
        <v>98361</v>
      </c>
      <c r="F1709" s="2">
        <v>17738.59</v>
      </c>
      <c r="G1709" s="2">
        <v>0</v>
      </c>
      <c r="H1709" s="4">
        <v>0</v>
      </c>
      <c r="I1709" s="4">
        <v>0</v>
      </c>
      <c r="J1709" s="4">
        <v>0</v>
      </c>
      <c r="K1709" s="4">
        <v>116099.59</v>
      </c>
      <c r="L1709" s="4" t="s">
        <v>6474</v>
      </c>
      <c r="M1709" s="4" t="s">
        <v>6475</v>
      </c>
      <c r="N1709" s="4" t="s">
        <v>20</v>
      </c>
      <c r="O1709" s="4" t="s">
        <v>900</v>
      </c>
      <c r="P1709" s="4" t="s">
        <v>900</v>
      </c>
      <c r="Q1709" s="4" t="s">
        <v>144</v>
      </c>
      <c r="R1709" s="9">
        <f t="shared" si="26"/>
        <v>1.9593436068907458E-6</v>
      </c>
    </row>
    <row r="1710" spans="1:18" hidden="1" x14ac:dyDescent="0.2">
      <c r="A1710" s="4">
        <v>491</v>
      </c>
      <c r="B1710" s="2">
        <v>96024</v>
      </c>
      <c r="C1710" s="2">
        <v>0</v>
      </c>
      <c r="D1710" s="4" t="s">
        <v>6479</v>
      </c>
      <c r="E1710" s="2">
        <v>96024</v>
      </c>
      <c r="F1710" s="2">
        <v>18244.560000000001</v>
      </c>
      <c r="G1710" s="2">
        <v>-4801.2</v>
      </c>
      <c r="H1710" s="4">
        <v>0</v>
      </c>
      <c r="I1710" s="4">
        <v>0</v>
      </c>
      <c r="J1710" s="4">
        <v>-4801.2</v>
      </c>
      <c r="K1710" s="4">
        <v>119069.75999999999</v>
      </c>
      <c r="L1710" s="4" t="s">
        <v>6477</v>
      </c>
      <c r="M1710" s="4" t="s">
        <v>6478</v>
      </c>
      <c r="N1710" s="4" t="s">
        <v>20</v>
      </c>
      <c r="O1710" s="4" t="s">
        <v>1517</v>
      </c>
      <c r="P1710" s="4" t="s">
        <v>603</v>
      </c>
      <c r="Q1710" s="4" t="s">
        <v>100</v>
      </c>
      <c r="R1710" s="9">
        <f t="shared" si="26"/>
        <v>1.9127907453978403E-6</v>
      </c>
    </row>
    <row r="1711" spans="1:18" hidden="1" x14ac:dyDescent="0.2">
      <c r="A1711" s="4">
        <v>880</v>
      </c>
      <c r="B1711" s="2">
        <v>96024</v>
      </c>
      <c r="C1711" s="2">
        <v>0</v>
      </c>
      <c r="D1711" s="4" t="s">
        <v>6482</v>
      </c>
      <c r="E1711" s="2">
        <v>96024</v>
      </c>
      <c r="F1711" s="2">
        <v>18244.560000000001</v>
      </c>
      <c r="G1711" s="2">
        <v>0</v>
      </c>
      <c r="H1711" s="4">
        <v>0</v>
      </c>
      <c r="I1711" s="4">
        <v>0</v>
      </c>
      <c r="J1711" s="4">
        <v>0</v>
      </c>
      <c r="K1711" s="4">
        <v>114268.56</v>
      </c>
      <c r="L1711" s="4" t="s">
        <v>6480</v>
      </c>
      <c r="M1711" s="4" t="s">
        <v>6481</v>
      </c>
      <c r="N1711" s="4" t="s">
        <v>20</v>
      </c>
      <c r="O1711" s="4" t="s">
        <v>2863</v>
      </c>
      <c r="P1711" s="4" t="s">
        <v>2863</v>
      </c>
      <c r="Q1711" s="4" t="s">
        <v>100</v>
      </c>
      <c r="R1711" s="9">
        <f t="shared" si="26"/>
        <v>1.9127907453978403E-6</v>
      </c>
    </row>
    <row r="1712" spans="1:18" hidden="1" x14ac:dyDescent="0.2">
      <c r="A1712" s="4">
        <v>1264</v>
      </c>
      <c r="B1712" s="2">
        <v>96024</v>
      </c>
      <c r="C1712" s="2">
        <v>0</v>
      </c>
      <c r="D1712" s="4" t="s">
        <v>6485</v>
      </c>
      <c r="E1712" s="2">
        <v>96024</v>
      </c>
      <c r="F1712" s="2">
        <v>18244.560000000001</v>
      </c>
      <c r="G1712" s="2">
        <v>0</v>
      </c>
      <c r="H1712" s="4">
        <v>0</v>
      </c>
      <c r="I1712" s="4">
        <v>0</v>
      </c>
      <c r="J1712" s="4">
        <v>0</v>
      </c>
      <c r="K1712" s="4">
        <v>114268.56</v>
      </c>
      <c r="L1712" s="4" t="s">
        <v>6483</v>
      </c>
      <c r="M1712" s="4" t="s">
        <v>6484</v>
      </c>
      <c r="N1712" s="4" t="s">
        <v>20</v>
      </c>
      <c r="O1712" s="4" t="s">
        <v>2863</v>
      </c>
      <c r="P1712" s="4" t="s">
        <v>2863</v>
      </c>
      <c r="Q1712" s="4" t="s">
        <v>100</v>
      </c>
      <c r="R1712" s="9">
        <f t="shared" si="26"/>
        <v>1.9127907453978403E-6</v>
      </c>
    </row>
    <row r="1713" spans="1:18" hidden="1" x14ac:dyDescent="0.2">
      <c r="A1713" s="4">
        <v>1281</v>
      </c>
      <c r="B1713" s="2">
        <v>96024</v>
      </c>
      <c r="C1713" s="2">
        <v>0</v>
      </c>
      <c r="D1713" s="4" t="s">
        <v>4866</v>
      </c>
      <c r="E1713" s="2">
        <v>96024</v>
      </c>
      <c r="F1713" s="2">
        <v>18244.560000000001</v>
      </c>
      <c r="G1713" s="2">
        <v>0</v>
      </c>
      <c r="H1713" s="4">
        <v>0</v>
      </c>
      <c r="I1713" s="4">
        <v>0</v>
      </c>
      <c r="J1713" s="4">
        <v>0</v>
      </c>
      <c r="K1713" s="4">
        <v>114268.56</v>
      </c>
      <c r="L1713" s="4" t="s">
        <v>6486</v>
      </c>
      <c r="M1713" s="4" t="s">
        <v>4865</v>
      </c>
      <c r="N1713" s="4" t="s">
        <v>20</v>
      </c>
      <c r="O1713" s="4" t="s">
        <v>2863</v>
      </c>
      <c r="P1713" s="4" t="s">
        <v>2863</v>
      </c>
      <c r="Q1713" s="4" t="s">
        <v>100</v>
      </c>
      <c r="R1713" s="9">
        <f t="shared" si="26"/>
        <v>1.9127907453978403E-6</v>
      </c>
    </row>
    <row r="1714" spans="1:18" hidden="1" x14ac:dyDescent="0.2">
      <c r="A1714" s="4">
        <v>1686</v>
      </c>
      <c r="B1714" s="2">
        <v>96024</v>
      </c>
      <c r="C1714" s="2">
        <v>0</v>
      </c>
      <c r="D1714" s="4" t="s">
        <v>6489</v>
      </c>
      <c r="E1714" s="2">
        <v>96024</v>
      </c>
      <c r="F1714" s="2">
        <v>18244.560000000001</v>
      </c>
      <c r="G1714" s="2">
        <v>0</v>
      </c>
      <c r="H1714" s="4">
        <v>0</v>
      </c>
      <c r="I1714" s="4">
        <v>0</v>
      </c>
      <c r="J1714" s="4">
        <v>0</v>
      </c>
      <c r="K1714" s="4">
        <v>114268.56</v>
      </c>
      <c r="L1714" s="4" t="s">
        <v>6487</v>
      </c>
      <c r="M1714" s="4" t="s">
        <v>6488</v>
      </c>
      <c r="N1714" s="4" t="s">
        <v>20</v>
      </c>
      <c r="O1714" s="4" t="s">
        <v>2863</v>
      </c>
      <c r="P1714" s="4" t="s">
        <v>2863</v>
      </c>
      <c r="Q1714" s="4" t="s">
        <v>100</v>
      </c>
      <c r="R1714" s="9">
        <f t="shared" si="26"/>
        <v>1.9127907453978403E-6</v>
      </c>
    </row>
    <row r="1715" spans="1:18" hidden="1" x14ac:dyDescent="0.2">
      <c r="A1715" s="4">
        <v>16</v>
      </c>
      <c r="B1715" s="2">
        <v>96012</v>
      </c>
      <c r="C1715" s="2">
        <v>0</v>
      </c>
      <c r="D1715" s="4" t="s">
        <v>6492</v>
      </c>
      <c r="E1715" s="2">
        <v>96012</v>
      </c>
      <c r="F1715" s="2">
        <v>18242.28</v>
      </c>
      <c r="G1715" s="2">
        <v>0</v>
      </c>
      <c r="H1715" s="4">
        <v>0</v>
      </c>
      <c r="I1715" s="4">
        <v>0</v>
      </c>
      <c r="J1715" s="4">
        <v>0</v>
      </c>
      <c r="K1715" s="4">
        <v>114254.28</v>
      </c>
      <c r="L1715" s="4" t="s">
        <v>6490</v>
      </c>
      <c r="M1715" s="4" t="s">
        <v>6491</v>
      </c>
      <c r="N1715" s="4" t="s">
        <v>20</v>
      </c>
      <c r="O1715" s="4" t="s">
        <v>2863</v>
      </c>
      <c r="P1715" s="4" t="s">
        <v>2863</v>
      </c>
      <c r="Q1715" s="4" t="s">
        <v>100</v>
      </c>
      <c r="R1715" s="9">
        <f t="shared" si="26"/>
        <v>1.9125517063144365E-6</v>
      </c>
    </row>
    <row r="1716" spans="1:18" hidden="1" x14ac:dyDescent="0.2">
      <c r="A1716" s="4">
        <v>1034</v>
      </c>
      <c r="B1716" s="2">
        <v>96012</v>
      </c>
      <c r="C1716" s="2">
        <v>0</v>
      </c>
      <c r="D1716" s="4" t="s">
        <v>6495</v>
      </c>
      <c r="E1716" s="2">
        <v>96012</v>
      </c>
      <c r="F1716" s="2">
        <v>18242.28</v>
      </c>
      <c r="G1716" s="2">
        <v>0</v>
      </c>
      <c r="H1716" s="4">
        <v>0</v>
      </c>
      <c r="I1716" s="4">
        <v>0</v>
      </c>
      <c r="J1716" s="4">
        <v>0</v>
      </c>
      <c r="K1716" s="4">
        <v>114254.28</v>
      </c>
      <c r="L1716" s="4" t="s">
        <v>6493</v>
      </c>
      <c r="M1716" s="4" t="s">
        <v>6494</v>
      </c>
      <c r="N1716" s="4" t="s">
        <v>20</v>
      </c>
      <c r="O1716" s="4" t="s">
        <v>2863</v>
      </c>
      <c r="P1716" s="4" t="s">
        <v>2863</v>
      </c>
      <c r="Q1716" s="4" t="s">
        <v>100</v>
      </c>
      <c r="R1716" s="9">
        <f t="shared" si="26"/>
        <v>1.9125517063144365E-6</v>
      </c>
    </row>
    <row r="1717" spans="1:18" hidden="1" x14ac:dyDescent="0.2">
      <c r="A1717" s="4">
        <v>1815</v>
      </c>
      <c r="B1717" s="2">
        <v>93420</v>
      </c>
      <c r="C1717" s="2">
        <v>0</v>
      </c>
      <c r="D1717" s="4" t="s">
        <v>6498</v>
      </c>
      <c r="E1717" s="2">
        <v>93420</v>
      </c>
      <c r="F1717" s="2">
        <v>17749.8</v>
      </c>
      <c r="G1717" s="2">
        <v>0</v>
      </c>
      <c r="H1717" s="4">
        <v>0</v>
      </c>
      <c r="I1717" s="4">
        <v>0</v>
      </c>
      <c r="J1717" s="4">
        <v>0</v>
      </c>
      <c r="K1717" s="4">
        <v>111169.8</v>
      </c>
      <c r="L1717" s="4" t="s">
        <v>6496</v>
      </c>
      <c r="M1717" s="4" t="s">
        <v>6497</v>
      </c>
      <c r="N1717" s="4" t="s">
        <v>20</v>
      </c>
      <c r="O1717" s="4" t="s">
        <v>2863</v>
      </c>
      <c r="P1717" s="4" t="s">
        <v>2863</v>
      </c>
      <c r="Q1717" s="4" t="s">
        <v>100</v>
      </c>
      <c r="R1717" s="9">
        <f t="shared" si="26"/>
        <v>1.8609192642991986E-6</v>
      </c>
    </row>
    <row r="1718" spans="1:18" hidden="1" x14ac:dyDescent="0.2">
      <c r="A1718" s="4">
        <v>1108</v>
      </c>
      <c r="B1718" s="2">
        <v>99906</v>
      </c>
      <c r="C1718" s="2">
        <v>7992.48</v>
      </c>
      <c r="D1718" s="4" t="s">
        <v>6501</v>
      </c>
      <c r="E1718" s="2">
        <v>91913.52</v>
      </c>
      <c r="F1718" s="2">
        <v>17463.57</v>
      </c>
      <c r="G1718" s="2">
        <v>0</v>
      </c>
      <c r="H1718" s="4">
        <v>0</v>
      </c>
      <c r="I1718" s="4">
        <v>0</v>
      </c>
      <c r="J1718" s="4">
        <v>0</v>
      </c>
      <c r="K1718" s="4">
        <v>109377.09</v>
      </c>
      <c r="L1718" s="4" t="s">
        <v>6499</v>
      </c>
      <c r="M1718" s="4" t="s">
        <v>6500</v>
      </c>
      <c r="N1718" s="4" t="s">
        <v>20</v>
      </c>
      <c r="O1718" s="4" t="s">
        <v>2863</v>
      </c>
      <c r="P1718" s="4" t="s">
        <v>2863</v>
      </c>
      <c r="Q1718" s="4" t="s">
        <v>100</v>
      </c>
      <c r="R1718" s="9">
        <f t="shared" si="26"/>
        <v>1.8309102977686757E-6</v>
      </c>
    </row>
    <row r="1719" spans="1:18" hidden="1" x14ac:dyDescent="0.2">
      <c r="A1719" s="4">
        <v>1062</v>
      </c>
      <c r="B1719" s="2">
        <v>91470</v>
      </c>
      <c r="C1719" s="2">
        <v>0</v>
      </c>
      <c r="D1719" s="4" t="s">
        <v>6504</v>
      </c>
      <c r="E1719" s="2">
        <v>91470</v>
      </c>
      <c r="F1719" s="2">
        <v>17379.3</v>
      </c>
      <c r="G1719" s="2">
        <v>0</v>
      </c>
      <c r="H1719" s="4">
        <v>0</v>
      </c>
      <c r="I1719" s="4">
        <v>0</v>
      </c>
      <c r="J1719" s="4">
        <v>0</v>
      </c>
      <c r="K1719" s="4">
        <v>108849.3</v>
      </c>
      <c r="L1719" s="4" t="s">
        <v>6502</v>
      </c>
      <c r="M1719" s="4" t="s">
        <v>6503</v>
      </c>
      <c r="N1719" s="4" t="s">
        <v>20</v>
      </c>
      <c r="O1719" s="4" t="s">
        <v>76</v>
      </c>
      <c r="P1719" s="4" t="s">
        <v>76</v>
      </c>
      <c r="Q1719" s="4" t="s">
        <v>144</v>
      </c>
      <c r="R1719" s="9">
        <f t="shared" si="26"/>
        <v>1.8220754132460683E-6</v>
      </c>
    </row>
    <row r="1720" spans="1:18" hidden="1" x14ac:dyDescent="0.2">
      <c r="A1720" s="4">
        <v>107</v>
      </c>
      <c r="B1720" s="2">
        <v>90915</v>
      </c>
      <c r="C1720" s="2">
        <v>0</v>
      </c>
      <c r="D1720" s="4" t="s">
        <v>6507</v>
      </c>
      <c r="E1720" s="2">
        <v>90915</v>
      </c>
      <c r="F1720" s="2">
        <v>17273.849999999999</v>
      </c>
      <c r="G1720" s="2">
        <v>0</v>
      </c>
      <c r="H1720" s="4">
        <v>0</v>
      </c>
      <c r="I1720" s="4">
        <v>0</v>
      </c>
      <c r="J1720" s="4">
        <v>0</v>
      </c>
      <c r="K1720" s="4">
        <v>108188.85</v>
      </c>
      <c r="L1720" s="4" t="s">
        <v>6505</v>
      </c>
      <c r="M1720" s="4" t="s">
        <v>6506</v>
      </c>
      <c r="N1720" s="4" t="s">
        <v>20</v>
      </c>
      <c r="O1720" s="4" t="s">
        <v>2863</v>
      </c>
      <c r="P1720" s="4" t="s">
        <v>2863</v>
      </c>
      <c r="Q1720" s="4" t="s">
        <v>100</v>
      </c>
      <c r="R1720" s="9">
        <f t="shared" si="26"/>
        <v>1.8110198556386387E-6</v>
      </c>
    </row>
    <row r="1721" spans="1:18" hidden="1" x14ac:dyDescent="0.2">
      <c r="A1721" s="4">
        <v>1157</v>
      </c>
      <c r="B1721" s="2">
        <v>90915</v>
      </c>
      <c r="C1721" s="2">
        <v>0</v>
      </c>
      <c r="D1721" s="4" t="s">
        <v>6510</v>
      </c>
      <c r="E1721" s="2">
        <v>90915</v>
      </c>
      <c r="F1721" s="2">
        <v>17273.849999999999</v>
      </c>
      <c r="G1721" s="2">
        <v>0</v>
      </c>
      <c r="H1721" s="4">
        <v>0</v>
      </c>
      <c r="I1721" s="4">
        <v>0</v>
      </c>
      <c r="J1721" s="4">
        <v>0</v>
      </c>
      <c r="K1721" s="4">
        <v>108188.85</v>
      </c>
      <c r="L1721" s="4" t="s">
        <v>6508</v>
      </c>
      <c r="M1721" s="4" t="s">
        <v>6509</v>
      </c>
      <c r="N1721" s="4" t="s">
        <v>20</v>
      </c>
      <c r="O1721" s="4" t="s">
        <v>2863</v>
      </c>
      <c r="P1721" s="4" t="s">
        <v>2863</v>
      </c>
      <c r="Q1721" s="4" t="s">
        <v>100</v>
      </c>
      <c r="R1721" s="9">
        <f t="shared" si="26"/>
        <v>1.8110198556386387E-6</v>
      </c>
    </row>
    <row r="1722" spans="1:18" hidden="1" x14ac:dyDescent="0.2">
      <c r="A1722" s="4">
        <v>1940</v>
      </c>
      <c r="B1722" s="2">
        <v>98784</v>
      </c>
      <c r="C1722" s="2">
        <v>7902.72</v>
      </c>
      <c r="D1722" s="4" t="s">
        <v>6513</v>
      </c>
      <c r="E1722" s="2">
        <v>90881.279999999999</v>
      </c>
      <c r="F1722" s="2">
        <v>17267.439999999999</v>
      </c>
      <c r="G1722" s="2">
        <v>0</v>
      </c>
      <c r="H1722" s="4">
        <v>0</v>
      </c>
      <c r="I1722" s="4">
        <v>0</v>
      </c>
      <c r="J1722" s="4">
        <v>0</v>
      </c>
      <c r="K1722" s="4">
        <v>108148.72</v>
      </c>
      <c r="L1722" s="4" t="s">
        <v>6511</v>
      </c>
      <c r="M1722" s="4" t="s">
        <v>6512</v>
      </c>
      <c r="N1722" s="4" t="s">
        <v>20</v>
      </c>
      <c r="O1722" s="4" t="s">
        <v>2863</v>
      </c>
      <c r="P1722" s="4" t="s">
        <v>2863</v>
      </c>
      <c r="Q1722" s="4" t="s">
        <v>100</v>
      </c>
      <c r="R1722" s="9">
        <f t="shared" si="26"/>
        <v>1.8103481558142739E-6</v>
      </c>
    </row>
    <row r="1723" spans="1:18" hidden="1" x14ac:dyDescent="0.2">
      <c r="A1723" s="4">
        <v>1403</v>
      </c>
      <c r="B1723" s="2">
        <v>89461.9</v>
      </c>
      <c r="C1723" s="2">
        <v>0</v>
      </c>
      <c r="D1723" s="4" t="s">
        <v>6516</v>
      </c>
      <c r="E1723" s="2">
        <v>89461.9</v>
      </c>
      <c r="F1723" s="2">
        <v>16997.759999999998</v>
      </c>
      <c r="G1723" s="2">
        <v>0</v>
      </c>
      <c r="H1723" s="4">
        <v>0</v>
      </c>
      <c r="I1723" s="4">
        <v>0</v>
      </c>
      <c r="J1723" s="4">
        <v>0</v>
      </c>
      <c r="K1723" s="4">
        <v>106459.66</v>
      </c>
      <c r="L1723" s="4" t="s">
        <v>6514</v>
      </c>
      <c r="M1723" s="4" t="s">
        <v>6515</v>
      </c>
      <c r="N1723" s="4" t="s">
        <v>401</v>
      </c>
      <c r="O1723" s="4" t="s">
        <v>900</v>
      </c>
      <c r="P1723" s="4" t="s">
        <v>900</v>
      </c>
      <c r="Q1723" s="4" t="s">
        <v>144</v>
      </c>
      <c r="R1723" s="9">
        <f t="shared" si="26"/>
        <v>1.7820742146307906E-6</v>
      </c>
    </row>
    <row r="1724" spans="1:18" hidden="1" x14ac:dyDescent="0.2">
      <c r="A1724" s="4">
        <v>1134</v>
      </c>
      <c r="B1724" s="2">
        <v>89184</v>
      </c>
      <c r="C1724" s="2">
        <v>0</v>
      </c>
      <c r="D1724" s="4" t="s">
        <v>6519</v>
      </c>
      <c r="E1724" s="2">
        <v>89184</v>
      </c>
      <c r="F1724" s="2">
        <v>16944.96</v>
      </c>
      <c r="G1724" s="2">
        <v>0</v>
      </c>
      <c r="H1724" s="4">
        <v>0</v>
      </c>
      <c r="I1724" s="4">
        <v>0</v>
      </c>
      <c r="J1724" s="4">
        <v>0</v>
      </c>
      <c r="K1724" s="4">
        <v>106128.96000000001</v>
      </c>
      <c r="L1724" s="4" t="s">
        <v>6517</v>
      </c>
      <c r="M1724" s="4" t="s">
        <v>6518</v>
      </c>
      <c r="N1724" s="4" t="s">
        <v>20</v>
      </c>
      <c r="O1724" s="4" t="s">
        <v>2863</v>
      </c>
      <c r="P1724" s="4" t="s">
        <v>2863</v>
      </c>
      <c r="Q1724" s="4" t="s">
        <v>100</v>
      </c>
      <c r="R1724" s="9">
        <f t="shared" si="26"/>
        <v>1.7765384678576293E-6</v>
      </c>
    </row>
    <row r="1725" spans="1:18" hidden="1" x14ac:dyDescent="0.2">
      <c r="A1725" s="4">
        <v>1284</v>
      </c>
      <c r="B1725" s="2">
        <v>89184</v>
      </c>
      <c r="C1725" s="2">
        <v>0</v>
      </c>
      <c r="D1725" s="4" t="s">
        <v>6522</v>
      </c>
      <c r="E1725" s="2">
        <v>89184</v>
      </c>
      <c r="F1725" s="2">
        <v>16944.96</v>
      </c>
      <c r="G1725" s="2">
        <v>0</v>
      </c>
      <c r="H1725" s="4">
        <v>0</v>
      </c>
      <c r="I1725" s="4">
        <v>0</v>
      </c>
      <c r="J1725" s="4">
        <v>0</v>
      </c>
      <c r="K1725" s="4">
        <v>106128.96000000001</v>
      </c>
      <c r="L1725" s="4" t="s">
        <v>6520</v>
      </c>
      <c r="M1725" s="4" t="s">
        <v>6521</v>
      </c>
      <c r="N1725" s="4" t="s">
        <v>20</v>
      </c>
      <c r="O1725" s="4" t="s">
        <v>2863</v>
      </c>
      <c r="P1725" s="4" t="s">
        <v>2863</v>
      </c>
      <c r="Q1725" s="4" t="s">
        <v>100</v>
      </c>
      <c r="R1725" s="9">
        <f t="shared" si="26"/>
        <v>1.7765384678576293E-6</v>
      </c>
    </row>
    <row r="1726" spans="1:18" hidden="1" x14ac:dyDescent="0.2">
      <c r="A1726" s="4">
        <v>1754</v>
      </c>
      <c r="B1726" s="2">
        <v>87810</v>
      </c>
      <c r="C1726" s="2">
        <v>0</v>
      </c>
      <c r="D1726" s="4" t="s">
        <v>6525</v>
      </c>
      <c r="E1726" s="2">
        <v>87810</v>
      </c>
      <c r="F1726" s="2">
        <v>16683.900000000001</v>
      </c>
      <c r="G1726" s="2">
        <v>0</v>
      </c>
      <c r="H1726" s="4">
        <v>0</v>
      </c>
      <c r="I1726" s="4">
        <v>0</v>
      </c>
      <c r="J1726" s="4">
        <v>0</v>
      </c>
      <c r="K1726" s="4">
        <v>104493.9</v>
      </c>
      <c r="L1726" s="4" t="s">
        <v>6523</v>
      </c>
      <c r="M1726" s="4" t="s">
        <v>6524</v>
      </c>
      <c r="N1726" s="4" t="s">
        <v>20</v>
      </c>
      <c r="O1726" s="4" t="s">
        <v>2863</v>
      </c>
      <c r="P1726" s="4" t="s">
        <v>2863</v>
      </c>
      <c r="Q1726" s="4" t="s">
        <v>100</v>
      </c>
      <c r="R1726" s="9">
        <f t="shared" si="26"/>
        <v>1.7491684928078852E-6</v>
      </c>
    </row>
    <row r="1727" spans="1:18" hidden="1" x14ac:dyDescent="0.2">
      <c r="A1727" s="4">
        <v>1299</v>
      </c>
      <c r="B1727" s="2">
        <v>86858</v>
      </c>
      <c r="C1727" s="2">
        <v>0</v>
      </c>
      <c r="D1727" s="4" t="s">
        <v>4790</v>
      </c>
      <c r="E1727" s="2">
        <v>86858</v>
      </c>
      <c r="F1727" s="2">
        <v>16503.02</v>
      </c>
      <c r="G1727" s="2">
        <v>0</v>
      </c>
      <c r="H1727" s="4">
        <v>0</v>
      </c>
      <c r="I1727" s="4">
        <v>0</v>
      </c>
      <c r="J1727" s="4">
        <v>0</v>
      </c>
      <c r="K1727" s="4">
        <v>103361.02</v>
      </c>
      <c r="L1727" s="4" t="s">
        <v>4788</v>
      </c>
      <c r="M1727" s="4" t="s">
        <v>4789</v>
      </c>
      <c r="N1727" s="4" t="s">
        <v>20</v>
      </c>
      <c r="O1727" s="4" t="s">
        <v>3938</v>
      </c>
      <c r="P1727" s="4" t="s">
        <v>3938</v>
      </c>
      <c r="Q1727" s="4" t="s">
        <v>1378</v>
      </c>
      <c r="R1727" s="9">
        <f t="shared" si="26"/>
        <v>1.7302047255245106E-6</v>
      </c>
    </row>
    <row r="1728" spans="1:18" hidden="1" x14ac:dyDescent="0.2">
      <c r="A1728" s="4">
        <v>235</v>
      </c>
      <c r="B1728" s="2">
        <v>85420</v>
      </c>
      <c r="C1728" s="2">
        <v>0</v>
      </c>
      <c r="D1728" s="4" t="s">
        <v>6528</v>
      </c>
      <c r="E1728" s="2">
        <v>85420</v>
      </c>
      <c r="F1728" s="2">
        <v>15279.8</v>
      </c>
      <c r="G1728" s="2">
        <v>0</v>
      </c>
      <c r="H1728" s="4">
        <v>0</v>
      </c>
      <c r="I1728" s="4">
        <v>0</v>
      </c>
      <c r="J1728" s="4">
        <v>0</v>
      </c>
      <c r="K1728" s="4">
        <v>100699.8</v>
      </c>
      <c r="L1728" s="4" t="s">
        <v>6526</v>
      </c>
      <c r="M1728" s="4" t="s">
        <v>6527</v>
      </c>
      <c r="N1728" s="4" t="s">
        <v>20</v>
      </c>
      <c r="O1728" s="4" t="s">
        <v>900</v>
      </c>
      <c r="P1728" s="4" t="s">
        <v>900</v>
      </c>
      <c r="Q1728" s="4" t="s">
        <v>144</v>
      </c>
      <c r="R1728" s="9">
        <f t="shared" si="26"/>
        <v>1.7015598753632793E-6</v>
      </c>
    </row>
    <row r="1729" spans="1:18" hidden="1" x14ac:dyDescent="0.2">
      <c r="A1729" s="4">
        <v>1445</v>
      </c>
      <c r="B1729" s="2">
        <v>85264</v>
      </c>
      <c r="C1729" s="2">
        <v>0</v>
      </c>
      <c r="D1729" s="4" t="s">
        <v>6531</v>
      </c>
      <c r="E1729" s="2">
        <v>85264</v>
      </c>
      <c r="F1729" s="2">
        <v>16200.16</v>
      </c>
      <c r="G1729" s="2">
        <v>0</v>
      </c>
      <c r="H1729" s="4">
        <v>0</v>
      </c>
      <c r="I1729" s="4">
        <v>0</v>
      </c>
      <c r="J1729" s="4">
        <v>0</v>
      </c>
      <c r="K1729" s="4">
        <v>101464.16</v>
      </c>
      <c r="L1729" s="4" t="s">
        <v>6529</v>
      </c>
      <c r="M1729" s="4" t="s">
        <v>6530</v>
      </c>
      <c r="N1729" s="4" t="s">
        <v>20</v>
      </c>
      <c r="O1729" s="4" t="s">
        <v>2863</v>
      </c>
      <c r="P1729" s="4" t="s">
        <v>2863</v>
      </c>
      <c r="Q1729" s="4" t="s">
        <v>100</v>
      </c>
      <c r="R1729" s="9">
        <f t="shared" si="26"/>
        <v>1.6984523672790288E-6</v>
      </c>
    </row>
    <row r="1730" spans="1:18" hidden="1" x14ac:dyDescent="0.2">
      <c r="A1730" s="4">
        <v>1244</v>
      </c>
      <c r="B1730" s="2">
        <v>82310</v>
      </c>
      <c r="C1730" s="2">
        <v>0</v>
      </c>
      <c r="D1730" s="4" t="s">
        <v>6534</v>
      </c>
      <c r="E1730" s="2">
        <v>82310</v>
      </c>
      <c r="F1730" s="2">
        <v>14688.9</v>
      </c>
      <c r="G1730" s="2">
        <v>0</v>
      </c>
      <c r="H1730" s="4">
        <v>0</v>
      </c>
      <c r="I1730" s="4">
        <v>0</v>
      </c>
      <c r="J1730" s="4">
        <v>0</v>
      </c>
      <c r="K1730" s="4">
        <v>96998.9</v>
      </c>
      <c r="L1730" s="4" t="s">
        <v>6532</v>
      </c>
      <c r="M1730" s="4" t="s">
        <v>6533</v>
      </c>
      <c r="N1730" s="4" t="s">
        <v>20</v>
      </c>
      <c r="O1730" s="4" t="s">
        <v>900</v>
      </c>
      <c r="P1730" s="4" t="s">
        <v>900</v>
      </c>
      <c r="Q1730" s="4" t="s">
        <v>144</v>
      </c>
      <c r="R1730" s="9">
        <f t="shared" si="26"/>
        <v>1.6396089129144405E-6</v>
      </c>
    </row>
    <row r="1731" spans="1:18" hidden="1" x14ac:dyDescent="0.2">
      <c r="A1731" s="4">
        <v>1278</v>
      </c>
      <c r="B1731" s="2">
        <v>78514</v>
      </c>
      <c r="C1731" s="2">
        <v>0</v>
      </c>
      <c r="D1731" s="4" t="s">
        <v>6537</v>
      </c>
      <c r="E1731" s="2">
        <v>78514</v>
      </c>
      <c r="F1731" s="2">
        <v>14917.66</v>
      </c>
      <c r="G1731" s="2">
        <v>0</v>
      </c>
      <c r="H1731" s="4">
        <v>0</v>
      </c>
      <c r="I1731" s="4">
        <v>0</v>
      </c>
      <c r="J1731" s="4">
        <v>0</v>
      </c>
      <c r="K1731" s="4">
        <v>93431.66</v>
      </c>
      <c r="L1731" s="4" t="s">
        <v>6535</v>
      </c>
      <c r="M1731" s="4" t="s">
        <v>6536</v>
      </c>
      <c r="N1731" s="4" t="s">
        <v>20</v>
      </c>
      <c r="O1731" s="4" t="s">
        <v>3938</v>
      </c>
      <c r="P1731" s="4" t="s">
        <v>3938</v>
      </c>
      <c r="Q1731" s="4" t="s">
        <v>1378</v>
      </c>
      <c r="R1731" s="9">
        <f t="shared" ref="R1731:R1756" si="27">E1731/$E$2034</f>
        <v>1.5639928828643467E-6</v>
      </c>
    </row>
    <row r="1732" spans="1:18" hidden="1" x14ac:dyDescent="0.2">
      <c r="A1732" s="4">
        <v>1149</v>
      </c>
      <c r="B1732" s="2">
        <v>76607</v>
      </c>
      <c r="C1732" s="2">
        <v>0</v>
      </c>
      <c r="D1732" s="4" t="s">
        <v>6540</v>
      </c>
      <c r="E1732" s="2">
        <v>76607</v>
      </c>
      <c r="F1732" s="2">
        <v>14555.33</v>
      </c>
      <c r="G1732" s="2">
        <v>0</v>
      </c>
      <c r="H1732" s="4">
        <v>0</v>
      </c>
      <c r="I1732" s="4">
        <v>0</v>
      </c>
      <c r="J1732" s="4">
        <v>0</v>
      </c>
      <c r="K1732" s="4">
        <v>91162.33</v>
      </c>
      <c r="L1732" s="4" t="s">
        <v>6538</v>
      </c>
      <c r="M1732" s="4" t="s">
        <v>6539</v>
      </c>
      <c r="N1732" s="4" t="s">
        <v>20</v>
      </c>
      <c r="O1732" s="4" t="s">
        <v>3938</v>
      </c>
      <c r="P1732" s="4" t="s">
        <v>3938</v>
      </c>
      <c r="Q1732" s="4" t="s">
        <v>1378</v>
      </c>
      <c r="R1732" s="9">
        <f t="shared" si="27"/>
        <v>1.5260055885267469E-6</v>
      </c>
    </row>
    <row r="1733" spans="1:18" hidden="1" x14ac:dyDescent="0.2">
      <c r="A1733" s="4">
        <v>1105</v>
      </c>
      <c r="B1733" s="2">
        <v>76335</v>
      </c>
      <c r="C1733" s="2">
        <v>0</v>
      </c>
      <c r="D1733" s="4" t="s">
        <v>6543</v>
      </c>
      <c r="E1733" s="2">
        <v>76335</v>
      </c>
      <c r="F1733" s="2">
        <v>14503.65</v>
      </c>
      <c r="G1733" s="2">
        <v>0</v>
      </c>
      <c r="H1733" s="4">
        <v>0</v>
      </c>
      <c r="I1733" s="4">
        <v>0</v>
      </c>
      <c r="J1733" s="4">
        <v>0</v>
      </c>
      <c r="K1733" s="4">
        <v>90838.65</v>
      </c>
      <c r="L1733" s="4" t="s">
        <v>6541</v>
      </c>
      <c r="M1733" s="4" t="s">
        <v>6542</v>
      </c>
      <c r="N1733" s="4" t="s">
        <v>20</v>
      </c>
      <c r="O1733" s="4" t="s">
        <v>3938</v>
      </c>
      <c r="P1733" s="4" t="s">
        <v>3938</v>
      </c>
      <c r="Q1733" s="4" t="s">
        <v>1378</v>
      </c>
      <c r="R1733" s="9">
        <f t="shared" si="27"/>
        <v>1.5205873693029258E-6</v>
      </c>
    </row>
    <row r="1734" spans="1:18" hidden="1" x14ac:dyDescent="0.2">
      <c r="A1734" s="4">
        <v>92</v>
      </c>
      <c r="B1734" s="2">
        <v>75084</v>
      </c>
      <c r="C1734" s="2">
        <v>0</v>
      </c>
      <c r="D1734" s="4" t="s">
        <v>6546</v>
      </c>
      <c r="E1734" s="2">
        <v>75084</v>
      </c>
      <c r="F1734" s="2">
        <v>13315.96</v>
      </c>
      <c r="G1734" s="2">
        <v>0</v>
      </c>
      <c r="H1734" s="4">
        <v>0</v>
      </c>
      <c r="I1734" s="4">
        <v>0</v>
      </c>
      <c r="J1734" s="4">
        <v>0</v>
      </c>
      <c r="K1734" s="4">
        <v>88399.96</v>
      </c>
      <c r="L1734" s="4" t="s">
        <v>6544</v>
      </c>
      <c r="M1734" s="4" t="s">
        <v>6545</v>
      </c>
      <c r="N1734" s="4" t="s">
        <v>20</v>
      </c>
      <c r="O1734" s="4" t="s">
        <v>900</v>
      </c>
      <c r="P1734" s="4" t="s">
        <v>900</v>
      </c>
      <c r="Q1734" s="4" t="s">
        <v>144</v>
      </c>
      <c r="R1734" s="9">
        <f t="shared" si="27"/>
        <v>1.4956675448580714E-6</v>
      </c>
    </row>
    <row r="1735" spans="1:18" hidden="1" x14ac:dyDescent="0.2">
      <c r="A1735" s="4">
        <v>1148</v>
      </c>
      <c r="B1735" s="2">
        <v>73905.45</v>
      </c>
      <c r="C1735" s="2">
        <v>0</v>
      </c>
      <c r="D1735" s="4" t="s">
        <v>6549</v>
      </c>
      <c r="E1735" s="2">
        <v>73905.45</v>
      </c>
      <c r="F1735" s="2">
        <v>14042.04</v>
      </c>
      <c r="G1735" s="2">
        <v>0</v>
      </c>
      <c r="H1735" s="4">
        <v>0</v>
      </c>
      <c r="I1735" s="4">
        <v>0</v>
      </c>
      <c r="J1735" s="4">
        <v>0</v>
      </c>
      <c r="K1735" s="4">
        <v>87947.49</v>
      </c>
      <c r="L1735" s="4" t="s">
        <v>6547</v>
      </c>
      <c r="M1735" s="4" t="s">
        <v>6548</v>
      </c>
      <c r="N1735" s="4" t="s">
        <v>20</v>
      </c>
      <c r="O1735" s="4" t="s">
        <v>2863</v>
      </c>
      <c r="P1735" s="4" t="s">
        <v>2863</v>
      </c>
      <c r="Q1735" s="4" t="s">
        <v>144</v>
      </c>
      <c r="R1735" s="9">
        <f t="shared" si="27"/>
        <v>1.4721909188792678E-6</v>
      </c>
    </row>
    <row r="1736" spans="1:18" hidden="1" x14ac:dyDescent="0.2">
      <c r="A1736" s="4">
        <v>1959</v>
      </c>
      <c r="B1736" s="2">
        <v>71124</v>
      </c>
      <c r="C1736" s="2">
        <v>0</v>
      </c>
      <c r="D1736" s="4" t="s">
        <v>6552</v>
      </c>
      <c r="E1736" s="2">
        <v>71124</v>
      </c>
      <c r="F1736" s="2">
        <v>11233.56</v>
      </c>
      <c r="G1736" s="2">
        <v>0</v>
      </c>
      <c r="H1736" s="4">
        <v>0</v>
      </c>
      <c r="I1736" s="4">
        <v>0</v>
      </c>
      <c r="J1736" s="4">
        <v>0</v>
      </c>
      <c r="K1736" s="4">
        <v>82357.56</v>
      </c>
      <c r="L1736" s="4" t="s">
        <v>6550</v>
      </c>
      <c r="M1736" s="4" t="s">
        <v>6551</v>
      </c>
      <c r="N1736" s="4" t="s">
        <v>20</v>
      </c>
      <c r="O1736" s="4" t="s">
        <v>2863</v>
      </c>
      <c r="P1736" s="4" t="s">
        <v>2863</v>
      </c>
      <c r="Q1736" s="4" t="s">
        <v>100</v>
      </c>
      <c r="R1736" s="9">
        <f t="shared" si="27"/>
        <v>1.4167846473347913E-6</v>
      </c>
    </row>
    <row r="1737" spans="1:18" hidden="1" x14ac:dyDescent="0.2">
      <c r="A1737" s="4">
        <v>221</v>
      </c>
      <c r="B1737" s="2">
        <v>69286</v>
      </c>
      <c r="C1737" s="2">
        <v>0</v>
      </c>
      <c r="D1737" s="4" t="s">
        <v>6555</v>
      </c>
      <c r="E1737" s="2">
        <v>69286</v>
      </c>
      <c r="F1737" s="2">
        <v>12214.34</v>
      </c>
      <c r="G1737" s="2">
        <v>0</v>
      </c>
      <c r="H1737" s="4">
        <v>0</v>
      </c>
      <c r="I1737" s="4">
        <v>0</v>
      </c>
      <c r="J1737" s="4">
        <v>0</v>
      </c>
      <c r="K1737" s="4">
        <v>81500.34</v>
      </c>
      <c r="L1737" s="4" t="s">
        <v>6553</v>
      </c>
      <c r="M1737" s="4" t="s">
        <v>6554</v>
      </c>
      <c r="N1737" s="4" t="s">
        <v>20</v>
      </c>
      <c r="O1737" s="4" t="s">
        <v>900</v>
      </c>
      <c r="P1737" s="4" t="s">
        <v>900</v>
      </c>
      <c r="Q1737" s="4" t="s">
        <v>144</v>
      </c>
      <c r="R1737" s="9">
        <f t="shared" si="27"/>
        <v>1.3801718277267637E-6</v>
      </c>
    </row>
    <row r="1738" spans="1:18" hidden="1" x14ac:dyDescent="0.2">
      <c r="A1738" s="4">
        <v>645</v>
      </c>
      <c r="B1738" s="2">
        <v>69084</v>
      </c>
      <c r="C1738" s="2">
        <v>0</v>
      </c>
      <c r="D1738" s="4" t="s">
        <v>4543</v>
      </c>
      <c r="E1738" s="2">
        <v>69084</v>
      </c>
      <c r="F1738" s="2">
        <v>13125.96</v>
      </c>
      <c r="G1738" s="2">
        <v>0</v>
      </c>
      <c r="H1738" s="4">
        <v>0</v>
      </c>
      <c r="I1738" s="4">
        <v>0</v>
      </c>
      <c r="J1738" s="4">
        <v>0</v>
      </c>
      <c r="K1738" s="4">
        <v>82209.960000000006</v>
      </c>
      <c r="L1738" s="4" t="s">
        <v>4541</v>
      </c>
      <c r="M1738" s="4" t="s">
        <v>4542</v>
      </c>
      <c r="N1738" s="4" t="s">
        <v>1143</v>
      </c>
      <c r="O1738" s="4" t="s">
        <v>340</v>
      </c>
      <c r="P1738" s="4" t="s">
        <v>340</v>
      </c>
      <c r="Q1738" s="4" t="s">
        <v>100</v>
      </c>
      <c r="R1738" s="9">
        <f t="shared" si="27"/>
        <v>1.3761480031561319E-6</v>
      </c>
    </row>
    <row r="1739" spans="1:18" hidden="1" x14ac:dyDescent="0.2">
      <c r="A1739" s="4">
        <v>127</v>
      </c>
      <c r="B1739" s="2">
        <v>63191.4</v>
      </c>
      <c r="C1739" s="2">
        <v>0</v>
      </c>
      <c r="D1739" s="4" t="s">
        <v>6558</v>
      </c>
      <c r="E1739" s="2">
        <v>63191.4</v>
      </c>
      <c r="F1739" s="2">
        <v>10106.370000000001</v>
      </c>
      <c r="G1739" s="2">
        <v>0</v>
      </c>
      <c r="H1739" s="4">
        <v>0</v>
      </c>
      <c r="I1739" s="4">
        <v>0</v>
      </c>
      <c r="J1739" s="4">
        <v>0</v>
      </c>
      <c r="K1739" s="4">
        <v>73297.77</v>
      </c>
      <c r="L1739" s="4" t="s">
        <v>6556</v>
      </c>
      <c r="M1739" s="4" t="s">
        <v>6557</v>
      </c>
      <c r="N1739" s="4" t="s">
        <v>20</v>
      </c>
      <c r="O1739" s="4" t="s">
        <v>900</v>
      </c>
      <c r="P1739" s="4" t="s">
        <v>900</v>
      </c>
      <c r="Q1739" s="4" t="s">
        <v>144</v>
      </c>
      <c r="R1739" s="9">
        <f t="shared" si="27"/>
        <v>1.2587678612506571E-6</v>
      </c>
    </row>
    <row r="1740" spans="1:18" hidden="1" x14ac:dyDescent="0.2">
      <c r="A1740" s="4">
        <v>870</v>
      </c>
      <c r="B1740" s="2">
        <v>60998</v>
      </c>
      <c r="C1740" s="2">
        <v>0</v>
      </c>
      <c r="D1740" s="4" t="s">
        <v>6561</v>
      </c>
      <c r="E1740" s="2">
        <v>60998</v>
      </c>
      <c r="F1740" s="2">
        <v>11589.62</v>
      </c>
      <c r="G1740" s="2">
        <v>0</v>
      </c>
      <c r="H1740" s="4">
        <v>0</v>
      </c>
      <c r="I1740" s="4">
        <v>0</v>
      </c>
      <c r="J1740" s="4">
        <v>0</v>
      </c>
      <c r="K1740" s="4">
        <v>72587.62</v>
      </c>
      <c r="L1740" s="4" t="s">
        <v>6559</v>
      </c>
      <c r="M1740" s="4" t="s">
        <v>6560</v>
      </c>
      <c r="N1740" s="4" t="s">
        <v>20</v>
      </c>
      <c r="O1740" s="4" t="s">
        <v>3938</v>
      </c>
      <c r="P1740" s="4" t="s">
        <v>3938</v>
      </c>
      <c r="Q1740" s="4" t="s">
        <v>1378</v>
      </c>
      <c r="R1740" s="9">
        <f t="shared" si="27"/>
        <v>1.2150755007891512E-6</v>
      </c>
    </row>
    <row r="1741" spans="1:18" hidden="1" x14ac:dyDescent="0.2">
      <c r="A1741" s="4">
        <v>570</v>
      </c>
      <c r="B1741" s="2">
        <v>60558.11</v>
      </c>
      <c r="C1741" s="2">
        <v>0</v>
      </c>
      <c r="D1741" s="4" t="s">
        <v>6564</v>
      </c>
      <c r="E1741" s="2">
        <v>60558.11</v>
      </c>
      <c r="F1741" s="2">
        <v>10556.04</v>
      </c>
      <c r="G1741" s="2">
        <v>0</v>
      </c>
      <c r="H1741" s="4">
        <v>0</v>
      </c>
      <c r="I1741" s="4">
        <v>0</v>
      </c>
      <c r="J1741" s="4">
        <v>0</v>
      </c>
      <c r="K1741" s="4">
        <v>71114.149999999994</v>
      </c>
      <c r="L1741" s="4" t="s">
        <v>6562</v>
      </c>
      <c r="M1741" s="4" t="s">
        <v>6563</v>
      </c>
      <c r="N1741" s="4" t="s">
        <v>20</v>
      </c>
      <c r="O1741" s="4" t="s">
        <v>900</v>
      </c>
      <c r="P1741" s="4" t="s">
        <v>900</v>
      </c>
      <c r="Q1741" s="4" t="s">
        <v>144</v>
      </c>
      <c r="R1741" s="9">
        <f t="shared" si="27"/>
        <v>1.2063129255892736E-6</v>
      </c>
    </row>
    <row r="1742" spans="1:18" hidden="1" x14ac:dyDescent="0.2">
      <c r="A1742" s="4">
        <v>98</v>
      </c>
      <c r="B1742" s="2">
        <v>60102</v>
      </c>
      <c r="C1742" s="2">
        <v>0</v>
      </c>
      <c r="D1742" s="4" t="s">
        <v>2994</v>
      </c>
      <c r="E1742" s="2">
        <v>60102</v>
      </c>
      <c r="F1742" s="2">
        <v>11419.38</v>
      </c>
      <c r="G1742" s="2">
        <v>0</v>
      </c>
      <c r="H1742" s="4">
        <v>0</v>
      </c>
      <c r="I1742" s="4">
        <v>0</v>
      </c>
      <c r="J1742" s="4">
        <v>0</v>
      </c>
      <c r="K1742" s="4">
        <v>71521.38</v>
      </c>
      <c r="L1742" s="4" t="s">
        <v>2992</v>
      </c>
      <c r="M1742" s="4" t="s">
        <v>2993</v>
      </c>
      <c r="N1742" s="4" t="s">
        <v>20</v>
      </c>
      <c r="O1742" s="4" t="s">
        <v>1891</v>
      </c>
      <c r="P1742" s="4" t="s">
        <v>900</v>
      </c>
      <c r="Q1742" s="4" t="s">
        <v>1378</v>
      </c>
      <c r="R1742" s="9">
        <f t="shared" si="27"/>
        <v>1.1972272492283283E-6</v>
      </c>
    </row>
    <row r="1743" spans="1:18" hidden="1" x14ac:dyDescent="0.2">
      <c r="A1743" s="4">
        <v>1527</v>
      </c>
      <c r="B1743" s="2">
        <v>55415</v>
      </c>
      <c r="C1743" s="2">
        <v>0</v>
      </c>
      <c r="D1743" s="4" t="s">
        <v>6567</v>
      </c>
      <c r="E1743" s="2">
        <v>55415</v>
      </c>
      <c r="F1743" s="2">
        <v>9578.85</v>
      </c>
      <c r="G1743" s="2">
        <v>0</v>
      </c>
      <c r="H1743" s="4">
        <v>0</v>
      </c>
      <c r="I1743" s="4">
        <v>0</v>
      </c>
      <c r="J1743" s="4">
        <v>0</v>
      </c>
      <c r="K1743" s="4">
        <v>64993.85</v>
      </c>
      <c r="L1743" s="4" t="s">
        <v>6565</v>
      </c>
      <c r="M1743" s="4" t="s">
        <v>6566</v>
      </c>
      <c r="N1743" s="4" t="s">
        <v>20</v>
      </c>
      <c r="O1743" s="4" t="s">
        <v>900</v>
      </c>
      <c r="P1743" s="4" t="s">
        <v>900</v>
      </c>
      <c r="Q1743" s="4" t="s">
        <v>144</v>
      </c>
      <c r="R1743" s="9">
        <f t="shared" si="27"/>
        <v>1.1038625672354965E-6</v>
      </c>
    </row>
    <row r="1744" spans="1:18" hidden="1" x14ac:dyDescent="0.2">
      <c r="A1744" s="4">
        <v>2021</v>
      </c>
      <c r="B1744" s="2">
        <v>53404</v>
      </c>
      <c r="C1744" s="2">
        <v>0</v>
      </c>
      <c r="D1744" s="4" t="s">
        <v>6570</v>
      </c>
      <c r="E1744" s="2">
        <v>53404</v>
      </c>
      <c r="F1744" s="2">
        <v>9196.76</v>
      </c>
      <c r="G1744" s="2">
        <v>0</v>
      </c>
      <c r="H1744" s="4">
        <v>0</v>
      </c>
      <c r="I1744" s="4">
        <v>0</v>
      </c>
      <c r="J1744" s="4">
        <v>0</v>
      </c>
      <c r="K1744" s="4">
        <v>62600.76</v>
      </c>
      <c r="L1744" s="4" t="s">
        <v>6568</v>
      </c>
      <c r="M1744" s="4" t="s">
        <v>6569</v>
      </c>
      <c r="N1744" s="4" t="s">
        <v>20</v>
      </c>
      <c r="O1744" s="4" t="s">
        <v>900</v>
      </c>
      <c r="P1744" s="4" t="s">
        <v>900</v>
      </c>
      <c r="Q1744" s="4" t="s">
        <v>144</v>
      </c>
      <c r="R1744" s="9">
        <f t="shared" si="27"/>
        <v>1.0638036008417299E-6</v>
      </c>
    </row>
    <row r="1745" spans="1:18" hidden="1" x14ac:dyDescent="0.2">
      <c r="A1745" s="4">
        <v>1242</v>
      </c>
      <c r="B1745" s="2">
        <v>52158</v>
      </c>
      <c r="C1745" s="2">
        <v>0</v>
      </c>
      <c r="D1745" s="4" t="s">
        <v>6573</v>
      </c>
      <c r="E1745" s="2">
        <v>52158</v>
      </c>
      <c r="F1745" s="2">
        <v>8960.02</v>
      </c>
      <c r="G1745" s="2">
        <v>0</v>
      </c>
      <c r="H1745" s="4">
        <v>0</v>
      </c>
      <c r="I1745" s="4">
        <v>0</v>
      </c>
      <c r="J1745" s="4">
        <v>0</v>
      </c>
      <c r="K1745" s="4">
        <v>61118.02</v>
      </c>
      <c r="L1745" s="4" t="s">
        <v>6571</v>
      </c>
      <c r="M1745" s="4" t="s">
        <v>6572</v>
      </c>
      <c r="N1745" s="4" t="s">
        <v>20</v>
      </c>
      <c r="O1745" s="4" t="s">
        <v>900</v>
      </c>
      <c r="P1745" s="4" t="s">
        <v>900</v>
      </c>
      <c r="Q1745" s="4" t="s">
        <v>144</v>
      </c>
      <c r="R1745" s="9">
        <f t="shared" si="27"/>
        <v>1.0389833760149605E-6</v>
      </c>
    </row>
    <row r="1746" spans="1:18" hidden="1" x14ac:dyDescent="0.2">
      <c r="A1746" s="4">
        <v>495</v>
      </c>
      <c r="B1746" s="2">
        <v>50364</v>
      </c>
      <c r="C1746" s="2">
        <v>0</v>
      </c>
      <c r="D1746" s="4" t="s">
        <v>6576</v>
      </c>
      <c r="E1746" s="2">
        <v>50364</v>
      </c>
      <c r="F1746" s="2">
        <v>7289.16</v>
      </c>
      <c r="G1746" s="2">
        <v>0</v>
      </c>
      <c r="H1746" s="4">
        <v>0</v>
      </c>
      <c r="I1746" s="4">
        <v>0</v>
      </c>
      <c r="J1746" s="4">
        <v>0</v>
      </c>
      <c r="K1746" s="4">
        <v>57653.16</v>
      </c>
      <c r="L1746" s="4" t="s">
        <v>6574</v>
      </c>
      <c r="M1746" s="4" t="s">
        <v>6575</v>
      </c>
      <c r="N1746" s="4"/>
      <c r="O1746" s="4" t="s">
        <v>2863</v>
      </c>
      <c r="P1746" s="4" t="s">
        <v>2863</v>
      </c>
      <c r="Q1746" s="4" t="s">
        <v>100</v>
      </c>
      <c r="R1746" s="9">
        <f t="shared" si="27"/>
        <v>1.0032470330460805E-6</v>
      </c>
    </row>
    <row r="1747" spans="1:18" hidden="1" x14ac:dyDescent="0.2">
      <c r="A1747" s="4">
        <v>583</v>
      </c>
      <c r="B1747" s="2">
        <v>45672</v>
      </c>
      <c r="C1747" s="2">
        <v>0</v>
      </c>
      <c r="D1747" s="4" t="s">
        <v>6579</v>
      </c>
      <c r="E1747" s="2">
        <v>45672</v>
      </c>
      <c r="F1747" s="2">
        <v>7727.68</v>
      </c>
      <c r="G1747" s="2">
        <v>0</v>
      </c>
      <c r="H1747" s="4">
        <v>0</v>
      </c>
      <c r="I1747" s="4">
        <v>0</v>
      </c>
      <c r="J1747" s="4">
        <v>0</v>
      </c>
      <c r="K1747" s="4">
        <v>53399.68</v>
      </c>
      <c r="L1747" s="4" t="s">
        <v>6577</v>
      </c>
      <c r="M1747" s="4" t="s">
        <v>6578</v>
      </c>
      <c r="N1747" s="4" t="s">
        <v>20</v>
      </c>
      <c r="O1747" s="4" t="s">
        <v>900</v>
      </c>
      <c r="P1747" s="4" t="s">
        <v>900</v>
      </c>
      <c r="Q1747" s="4" t="s">
        <v>144</v>
      </c>
      <c r="R1747" s="9">
        <f t="shared" si="27"/>
        <v>9.0978275143516377E-7</v>
      </c>
    </row>
    <row r="1748" spans="1:18" hidden="1" x14ac:dyDescent="0.2">
      <c r="A1748" s="4">
        <v>234</v>
      </c>
      <c r="B1748" s="2">
        <v>38100</v>
      </c>
      <c r="C1748" s="2">
        <v>0</v>
      </c>
      <c r="D1748" s="4" t="s">
        <v>6582</v>
      </c>
      <c r="E1748" s="2">
        <v>38100</v>
      </c>
      <c r="F1748" s="2">
        <v>6289</v>
      </c>
      <c r="G1748" s="2">
        <v>0</v>
      </c>
      <c r="H1748" s="4">
        <v>0</v>
      </c>
      <c r="I1748" s="4">
        <v>0</v>
      </c>
      <c r="J1748" s="4">
        <v>0</v>
      </c>
      <c r="K1748" s="4">
        <v>44389</v>
      </c>
      <c r="L1748" s="4" t="s">
        <v>6580</v>
      </c>
      <c r="M1748" s="4" t="s">
        <v>6581</v>
      </c>
      <c r="N1748" s="4" t="s">
        <v>20</v>
      </c>
      <c r="O1748" s="4" t="s">
        <v>900</v>
      </c>
      <c r="P1748" s="4" t="s">
        <v>900</v>
      </c>
      <c r="Q1748" s="4" t="s">
        <v>144</v>
      </c>
      <c r="R1748" s="9">
        <f t="shared" si="27"/>
        <v>7.5894908980731603E-7</v>
      </c>
    </row>
    <row r="1749" spans="1:18" hidden="1" x14ac:dyDescent="0.2">
      <c r="A1749" s="4">
        <v>90</v>
      </c>
      <c r="B1749" s="2">
        <v>37856</v>
      </c>
      <c r="C1749" s="2">
        <v>0</v>
      </c>
      <c r="D1749" s="4" t="s">
        <v>6585</v>
      </c>
      <c r="E1749" s="2">
        <v>37856</v>
      </c>
      <c r="F1749" s="2">
        <v>6242.64</v>
      </c>
      <c r="G1749" s="2">
        <v>0</v>
      </c>
      <c r="H1749" s="4">
        <v>0</v>
      </c>
      <c r="I1749" s="4">
        <v>0</v>
      </c>
      <c r="J1749" s="4">
        <v>0</v>
      </c>
      <c r="K1749" s="4">
        <v>44098.64</v>
      </c>
      <c r="L1749" s="4" t="s">
        <v>6583</v>
      </c>
      <c r="M1749" s="4" t="s">
        <v>6584</v>
      </c>
      <c r="N1749" s="4" t="s">
        <v>20</v>
      </c>
      <c r="O1749" s="4" t="s">
        <v>900</v>
      </c>
      <c r="P1749" s="4" t="s">
        <v>900</v>
      </c>
      <c r="Q1749" s="4" t="s">
        <v>144</v>
      </c>
      <c r="R1749" s="9">
        <f t="shared" si="27"/>
        <v>7.5408862844477049E-7</v>
      </c>
    </row>
    <row r="1750" spans="1:18" hidden="1" x14ac:dyDescent="0.2">
      <c r="A1750" s="4">
        <v>1301</v>
      </c>
      <c r="B1750" s="2">
        <v>34093</v>
      </c>
      <c r="C1750" s="2">
        <v>0</v>
      </c>
      <c r="D1750" s="4" t="s">
        <v>4881</v>
      </c>
      <c r="E1750" s="2">
        <v>34093</v>
      </c>
      <c r="F1750" s="2">
        <v>6477.67</v>
      </c>
      <c r="G1750" s="2">
        <v>0</v>
      </c>
      <c r="H1750" s="4">
        <v>0</v>
      </c>
      <c r="I1750" s="4">
        <v>0</v>
      </c>
      <c r="J1750" s="4">
        <v>0</v>
      </c>
      <c r="K1750" s="4">
        <v>40570.67</v>
      </c>
      <c r="L1750" s="4" t="s">
        <v>4879</v>
      </c>
      <c r="M1750" s="4" t="s">
        <v>4880</v>
      </c>
      <c r="N1750" s="4" t="s">
        <v>20</v>
      </c>
      <c r="O1750" s="4" t="s">
        <v>3938</v>
      </c>
      <c r="P1750" s="4" t="s">
        <v>3938</v>
      </c>
      <c r="Q1750" s="4" t="s">
        <v>1378</v>
      </c>
      <c r="R1750" s="9">
        <f t="shared" si="27"/>
        <v>6.7912995587403743E-7</v>
      </c>
    </row>
    <row r="1751" spans="1:18" hidden="1" x14ac:dyDescent="0.2">
      <c r="A1751" s="4">
        <v>1033</v>
      </c>
      <c r="B1751" s="2">
        <v>32058</v>
      </c>
      <c r="C1751" s="2">
        <v>0</v>
      </c>
      <c r="D1751" s="4" t="s">
        <v>6588</v>
      </c>
      <c r="E1751" s="2">
        <v>32058</v>
      </c>
      <c r="F1751" s="2">
        <v>5141.0200000000004</v>
      </c>
      <c r="G1751" s="2">
        <v>0</v>
      </c>
      <c r="H1751" s="4">
        <v>0</v>
      </c>
      <c r="I1751" s="4">
        <v>0</v>
      </c>
      <c r="J1751" s="4">
        <v>0</v>
      </c>
      <c r="K1751" s="4">
        <v>37199.019999999997</v>
      </c>
      <c r="L1751" s="4" t="s">
        <v>6586</v>
      </c>
      <c r="M1751" s="4" t="s">
        <v>6587</v>
      </c>
      <c r="N1751" s="4" t="s">
        <v>20</v>
      </c>
      <c r="O1751" s="4" t="s">
        <v>900</v>
      </c>
      <c r="P1751" s="4" t="s">
        <v>900</v>
      </c>
      <c r="Q1751" s="4" t="s">
        <v>144</v>
      </c>
      <c r="R1751" s="9">
        <f t="shared" si="27"/>
        <v>6.3859291131346289E-7</v>
      </c>
    </row>
    <row r="1752" spans="1:18" hidden="1" x14ac:dyDescent="0.2">
      <c r="A1752" s="4">
        <v>1516</v>
      </c>
      <c r="B1752" s="2">
        <v>31486.95</v>
      </c>
      <c r="C1752" s="2">
        <v>0</v>
      </c>
      <c r="D1752" s="4" t="s">
        <v>6591</v>
      </c>
      <c r="E1752" s="2">
        <v>31486.95</v>
      </c>
      <c r="F1752" s="2">
        <v>5032.5200000000004</v>
      </c>
      <c r="G1752" s="2">
        <v>0</v>
      </c>
      <c r="H1752" s="4">
        <v>0</v>
      </c>
      <c r="I1752" s="4">
        <v>0</v>
      </c>
      <c r="J1752" s="4">
        <v>0</v>
      </c>
      <c r="K1752" s="4">
        <v>36519.47</v>
      </c>
      <c r="L1752" s="4" t="s">
        <v>6589</v>
      </c>
      <c r="M1752" s="4" t="s">
        <v>6590</v>
      </c>
      <c r="N1752" s="4" t="s">
        <v>20</v>
      </c>
      <c r="O1752" s="4" t="s">
        <v>900</v>
      </c>
      <c r="P1752" s="4" t="s">
        <v>900</v>
      </c>
      <c r="Q1752" s="4" t="s">
        <v>144</v>
      </c>
      <c r="R1752" s="9">
        <f t="shared" si="27"/>
        <v>6.2721763893198086E-7</v>
      </c>
    </row>
    <row r="1753" spans="1:18" hidden="1" x14ac:dyDescent="0.2">
      <c r="A1753" s="4">
        <v>2022</v>
      </c>
      <c r="B1753" s="2">
        <v>29454</v>
      </c>
      <c r="C1753" s="2">
        <v>0</v>
      </c>
      <c r="D1753" s="4" t="s">
        <v>6594</v>
      </c>
      <c r="E1753" s="2">
        <v>29454</v>
      </c>
      <c r="F1753" s="2">
        <v>4646.26</v>
      </c>
      <c r="G1753" s="2">
        <v>0</v>
      </c>
      <c r="H1753" s="4">
        <v>0</v>
      </c>
      <c r="I1753" s="4">
        <v>0</v>
      </c>
      <c r="J1753" s="4">
        <v>0</v>
      </c>
      <c r="K1753" s="4">
        <v>34100.26</v>
      </c>
      <c r="L1753" s="4" t="s">
        <v>6592</v>
      </c>
      <c r="M1753" s="4" t="s">
        <v>6593</v>
      </c>
      <c r="N1753" s="4" t="s">
        <v>20</v>
      </c>
      <c r="O1753" s="4" t="s">
        <v>900</v>
      </c>
      <c r="P1753" s="4" t="s">
        <v>900</v>
      </c>
      <c r="Q1753" s="4" t="s">
        <v>144</v>
      </c>
      <c r="R1753" s="9">
        <f t="shared" si="27"/>
        <v>5.8672143021482116E-7</v>
      </c>
    </row>
    <row r="1754" spans="1:18" hidden="1" x14ac:dyDescent="0.2">
      <c r="A1754" s="4">
        <v>549</v>
      </c>
      <c r="B1754" s="2">
        <v>22983</v>
      </c>
      <c r="C1754" s="2">
        <v>0</v>
      </c>
      <c r="D1754" s="4" t="s">
        <v>6597</v>
      </c>
      <c r="E1754" s="2">
        <v>22983</v>
      </c>
      <c r="F1754" s="2">
        <v>3416.77</v>
      </c>
      <c r="G1754" s="2">
        <v>0</v>
      </c>
      <c r="H1754" s="4">
        <v>0</v>
      </c>
      <c r="I1754" s="4">
        <v>0</v>
      </c>
      <c r="J1754" s="4">
        <v>0</v>
      </c>
      <c r="K1754" s="4">
        <v>26399.77</v>
      </c>
      <c r="L1754" s="4" t="s">
        <v>6595</v>
      </c>
      <c r="M1754" s="4" t="s">
        <v>6596</v>
      </c>
      <c r="N1754" s="4" t="s">
        <v>20</v>
      </c>
      <c r="O1754" s="4" t="s">
        <v>900</v>
      </c>
      <c r="P1754" s="4" t="s">
        <v>900</v>
      </c>
      <c r="Q1754" s="4" t="s">
        <v>144</v>
      </c>
      <c r="R1754" s="9">
        <f t="shared" si="27"/>
        <v>4.5781960448927937E-7</v>
      </c>
    </row>
    <row r="1755" spans="1:18" hidden="1" x14ac:dyDescent="0.2">
      <c r="A1755" s="4">
        <v>1860</v>
      </c>
      <c r="B1755" s="2">
        <v>20769.939999999999</v>
      </c>
      <c r="C1755" s="2">
        <v>0</v>
      </c>
      <c r="D1755" s="4" t="s">
        <v>6600</v>
      </c>
      <c r="E1755" s="2">
        <v>20769.939999999999</v>
      </c>
      <c r="F1755" s="2">
        <v>2996.29</v>
      </c>
      <c r="G1755" s="2">
        <v>0</v>
      </c>
      <c r="H1755" s="4">
        <v>0</v>
      </c>
      <c r="I1755" s="4">
        <v>0</v>
      </c>
      <c r="J1755" s="4">
        <v>0</v>
      </c>
      <c r="K1755" s="4">
        <v>23766.23</v>
      </c>
      <c r="L1755" s="4" t="s">
        <v>6598</v>
      </c>
      <c r="M1755" s="4" t="s">
        <v>6599</v>
      </c>
      <c r="N1755" s="4" t="s">
        <v>20</v>
      </c>
      <c r="O1755" s="4" t="s">
        <v>900</v>
      </c>
      <c r="P1755" s="4" t="s">
        <v>900</v>
      </c>
      <c r="Q1755" s="4" t="s">
        <v>144</v>
      </c>
      <c r="R1755" s="9">
        <f t="shared" si="27"/>
        <v>4.1373561832946367E-7</v>
      </c>
    </row>
    <row r="1756" spans="1:18" hidden="1" x14ac:dyDescent="0.2">
      <c r="A1756" s="4">
        <v>552</v>
      </c>
      <c r="B1756" s="2">
        <v>18697</v>
      </c>
      <c r="C1756" s="2">
        <v>0</v>
      </c>
      <c r="D1756" s="4" t="s">
        <v>6603</v>
      </c>
      <c r="E1756" s="2">
        <v>18697</v>
      </c>
      <c r="F1756" s="2">
        <v>2602.4299999999998</v>
      </c>
      <c r="G1756" s="2">
        <v>0</v>
      </c>
      <c r="H1756" s="4">
        <v>0</v>
      </c>
      <c r="I1756" s="4">
        <v>0</v>
      </c>
      <c r="J1756" s="4">
        <v>0</v>
      </c>
      <c r="K1756" s="4">
        <v>21299.43</v>
      </c>
      <c r="L1756" s="4" t="s">
        <v>6601</v>
      </c>
      <c r="M1756" s="4" t="s">
        <v>6602</v>
      </c>
      <c r="N1756" s="4" t="s">
        <v>20</v>
      </c>
      <c r="O1756" s="4" t="s">
        <v>900</v>
      </c>
      <c r="P1756" s="4" t="s">
        <v>900</v>
      </c>
      <c r="Q1756" s="4" t="s">
        <v>144</v>
      </c>
      <c r="R1756" s="9">
        <f t="shared" si="27"/>
        <v>3.7244281186686056E-7</v>
      </c>
    </row>
    <row r="1757" spans="1:18" hidden="1" x14ac:dyDescent="0.2">
      <c r="A1757" s="4">
        <v>1715</v>
      </c>
      <c r="B1757" s="2">
        <v>12953</v>
      </c>
      <c r="C1757" s="2">
        <v>0</v>
      </c>
      <c r="D1757" s="4" t="s">
        <v>6606</v>
      </c>
      <c r="E1757" s="2">
        <v>12953</v>
      </c>
      <c r="F1757" s="2">
        <v>2461.0700000000002</v>
      </c>
      <c r="G1757" s="2">
        <v>0</v>
      </c>
      <c r="H1757" s="4">
        <v>0</v>
      </c>
      <c r="I1757" s="4">
        <v>0</v>
      </c>
      <c r="J1757" s="4">
        <v>0</v>
      </c>
      <c r="K1757" s="4">
        <v>15414.07</v>
      </c>
      <c r="L1757" s="4" t="s">
        <v>6604</v>
      </c>
      <c r="M1757" s="4" t="s">
        <v>6605</v>
      </c>
      <c r="N1757" s="4"/>
      <c r="O1757" s="4" t="s">
        <v>3938</v>
      </c>
      <c r="P1757" s="4" t="s">
        <v>3938</v>
      </c>
      <c r="Q1757" s="4" t="s">
        <v>1378</v>
      </c>
    </row>
    <row r="1758" spans="1:18" hidden="1" x14ac:dyDescent="0.2">
      <c r="A1758" s="4">
        <v>968</v>
      </c>
      <c r="B1758" s="2">
        <v>12501</v>
      </c>
      <c r="C1758" s="2">
        <v>0</v>
      </c>
      <c r="D1758" s="4" t="s">
        <v>6609</v>
      </c>
      <c r="E1758" s="2">
        <v>12501</v>
      </c>
      <c r="F1758" s="2">
        <v>2375.19</v>
      </c>
      <c r="G1758" s="2">
        <v>0</v>
      </c>
      <c r="H1758" s="4">
        <v>0</v>
      </c>
      <c r="I1758" s="4">
        <v>0</v>
      </c>
      <c r="J1758" s="4">
        <v>0</v>
      </c>
      <c r="K1758" s="4">
        <v>14876.19</v>
      </c>
      <c r="L1758" s="4" t="s">
        <v>6607</v>
      </c>
      <c r="M1758" s="4" t="s">
        <v>6608</v>
      </c>
      <c r="N1758" s="4" t="s">
        <v>20</v>
      </c>
      <c r="O1758" s="4" t="s">
        <v>3938</v>
      </c>
      <c r="P1758" s="4" t="s">
        <v>3938</v>
      </c>
      <c r="Q1758" s="4" t="s">
        <v>1378</v>
      </c>
    </row>
    <row r="1759" spans="1:18" hidden="1" x14ac:dyDescent="0.2">
      <c r="A1759" s="4">
        <v>1202</v>
      </c>
      <c r="B1759" s="2">
        <v>8334</v>
      </c>
      <c r="C1759" s="2">
        <v>0</v>
      </c>
      <c r="D1759" s="4" t="s">
        <v>6612</v>
      </c>
      <c r="E1759" s="2">
        <v>8334</v>
      </c>
      <c r="F1759" s="2">
        <v>1583.46</v>
      </c>
      <c r="G1759" s="2">
        <v>0</v>
      </c>
      <c r="H1759" s="4">
        <v>0</v>
      </c>
      <c r="I1759" s="4">
        <v>0</v>
      </c>
      <c r="J1759" s="4">
        <v>0</v>
      </c>
      <c r="K1759" s="4">
        <v>9917.4599999999991</v>
      </c>
      <c r="L1759" s="4" t="s">
        <v>6610</v>
      </c>
      <c r="M1759" s="4" t="s">
        <v>6611</v>
      </c>
      <c r="N1759" s="4" t="s">
        <v>20</v>
      </c>
      <c r="O1759" s="4" t="s">
        <v>3938</v>
      </c>
      <c r="P1759" s="4" t="s">
        <v>3938</v>
      </c>
      <c r="Q1759" s="4" t="s">
        <v>1378</v>
      </c>
    </row>
    <row r="1760" spans="1:18" hidden="1" x14ac:dyDescent="0.2">
      <c r="A1760" s="4">
        <v>4</v>
      </c>
      <c r="B1760" s="2">
        <v>0</v>
      </c>
      <c r="C1760" s="2">
        <v>0</v>
      </c>
      <c r="D1760" s="4" t="s">
        <v>6615</v>
      </c>
      <c r="E1760" s="2">
        <v>0</v>
      </c>
      <c r="F1760" s="2">
        <v>0</v>
      </c>
      <c r="G1760" s="2">
        <v>0</v>
      </c>
      <c r="H1760" s="4">
        <v>0</v>
      </c>
      <c r="I1760" s="4">
        <v>0</v>
      </c>
      <c r="J1760" s="4">
        <v>0</v>
      </c>
      <c r="K1760" s="4">
        <v>0</v>
      </c>
      <c r="L1760" s="4" t="s">
        <v>6613</v>
      </c>
      <c r="M1760" s="4" t="s">
        <v>6614</v>
      </c>
      <c r="N1760" s="4" t="s">
        <v>32</v>
      </c>
      <c r="O1760" s="4" t="s">
        <v>33</v>
      </c>
      <c r="P1760" s="4" t="s">
        <v>33</v>
      </c>
      <c r="Q1760" s="4" t="s">
        <v>100</v>
      </c>
    </row>
    <row r="1761" spans="1:17" hidden="1" x14ac:dyDescent="0.2">
      <c r="A1761" s="4">
        <v>6</v>
      </c>
      <c r="B1761" s="2">
        <v>0</v>
      </c>
      <c r="C1761" s="2">
        <v>0</v>
      </c>
      <c r="D1761" s="4" t="s">
        <v>6618</v>
      </c>
      <c r="E1761" s="2">
        <v>0</v>
      </c>
      <c r="F1761" s="2">
        <v>0</v>
      </c>
      <c r="G1761" s="2">
        <v>0</v>
      </c>
      <c r="H1761" s="4">
        <v>0</v>
      </c>
      <c r="I1761" s="4">
        <v>0</v>
      </c>
      <c r="J1761" s="4">
        <v>0</v>
      </c>
      <c r="K1761" s="4">
        <v>0</v>
      </c>
      <c r="L1761" s="4" t="s">
        <v>6616</v>
      </c>
      <c r="M1761" s="4" t="s">
        <v>6617</v>
      </c>
      <c r="N1761" s="4" t="s">
        <v>20</v>
      </c>
      <c r="O1761" s="4" t="s">
        <v>386</v>
      </c>
      <c r="P1761" s="4" t="s">
        <v>386</v>
      </c>
      <c r="Q1761" s="4" t="s">
        <v>1378</v>
      </c>
    </row>
    <row r="1762" spans="1:17" hidden="1" x14ac:dyDescent="0.2">
      <c r="A1762" s="4">
        <v>14</v>
      </c>
      <c r="B1762" s="2">
        <v>0</v>
      </c>
      <c r="C1762" s="2">
        <v>0</v>
      </c>
      <c r="D1762" s="4" t="s">
        <v>6621</v>
      </c>
      <c r="E1762" s="2">
        <v>0</v>
      </c>
      <c r="F1762" s="2">
        <v>0</v>
      </c>
      <c r="G1762" s="2">
        <v>0</v>
      </c>
      <c r="H1762" s="4">
        <v>0</v>
      </c>
      <c r="I1762" s="4">
        <v>0</v>
      </c>
      <c r="J1762" s="4">
        <v>0</v>
      </c>
      <c r="K1762" s="4">
        <v>0</v>
      </c>
      <c r="L1762" s="4" t="s">
        <v>6619</v>
      </c>
      <c r="M1762" s="4" t="s">
        <v>6620</v>
      </c>
      <c r="N1762" s="4" t="s">
        <v>233</v>
      </c>
      <c r="O1762" s="4" t="s">
        <v>229</v>
      </c>
      <c r="P1762" s="4" t="s">
        <v>229</v>
      </c>
      <c r="Q1762" s="4" t="s">
        <v>28</v>
      </c>
    </row>
    <row r="1763" spans="1:17" hidden="1" x14ac:dyDescent="0.2">
      <c r="A1763" s="4">
        <v>15</v>
      </c>
      <c r="B1763" s="2">
        <v>0</v>
      </c>
      <c r="C1763" s="2">
        <v>0</v>
      </c>
      <c r="D1763" s="4" t="s">
        <v>6624</v>
      </c>
      <c r="E1763" s="2">
        <v>0</v>
      </c>
      <c r="F1763" s="2">
        <v>0</v>
      </c>
      <c r="G1763" s="2">
        <v>0</v>
      </c>
      <c r="H1763" s="4">
        <v>0</v>
      </c>
      <c r="I1763" s="4">
        <v>0</v>
      </c>
      <c r="J1763" s="4">
        <v>0</v>
      </c>
      <c r="K1763" s="4">
        <v>0</v>
      </c>
      <c r="L1763" s="4" t="s">
        <v>6622</v>
      </c>
      <c r="M1763" s="4" t="s">
        <v>6623</v>
      </c>
      <c r="N1763" s="4" t="s">
        <v>20</v>
      </c>
      <c r="O1763" s="4" t="s">
        <v>3938</v>
      </c>
      <c r="P1763" s="4" t="s">
        <v>3938</v>
      </c>
      <c r="Q1763" s="4" t="s">
        <v>1378</v>
      </c>
    </row>
    <row r="1764" spans="1:17" hidden="1" x14ac:dyDescent="0.2">
      <c r="A1764" s="4">
        <v>47</v>
      </c>
      <c r="B1764" s="2">
        <v>0</v>
      </c>
      <c r="C1764" s="2">
        <v>0</v>
      </c>
      <c r="D1764" s="4" t="s">
        <v>6627</v>
      </c>
      <c r="E1764" s="2">
        <v>0</v>
      </c>
      <c r="F1764" s="2">
        <v>0</v>
      </c>
      <c r="G1764" s="2">
        <v>0</v>
      </c>
      <c r="H1764" s="4">
        <v>0</v>
      </c>
      <c r="I1764" s="4">
        <v>0</v>
      </c>
      <c r="J1764" s="4">
        <v>0</v>
      </c>
      <c r="K1764" s="4">
        <v>0</v>
      </c>
      <c r="L1764" s="4" t="s">
        <v>6625</v>
      </c>
      <c r="M1764" s="4" t="s">
        <v>6626</v>
      </c>
      <c r="N1764" s="4" t="s">
        <v>1421</v>
      </c>
      <c r="O1764" s="4" t="s">
        <v>340</v>
      </c>
      <c r="P1764" s="4" t="s">
        <v>1039</v>
      </c>
      <c r="Q1764" s="4" t="s">
        <v>100</v>
      </c>
    </row>
    <row r="1765" spans="1:17" hidden="1" x14ac:dyDescent="0.2">
      <c r="A1765" s="4">
        <v>48</v>
      </c>
      <c r="B1765" s="2">
        <v>0</v>
      </c>
      <c r="C1765" s="2">
        <v>0</v>
      </c>
      <c r="D1765" s="4" t="s">
        <v>6630</v>
      </c>
      <c r="E1765" s="2">
        <v>0</v>
      </c>
      <c r="F1765" s="2">
        <v>0</v>
      </c>
      <c r="G1765" s="2">
        <v>0</v>
      </c>
      <c r="H1765" s="4">
        <v>0</v>
      </c>
      <c r="I1765" s="4">
        <v>0</v>
      </c>
      <c r="J1765" s="4">
        <v>0</v>
      </c>
      <c r="K1765" s="4">
        <v>0</v>
      </c>
      <c r="L1765" s="4" t="s">
        <v>6628</v>
      </c>
      <c r="M1765" s="4" t="s">
        <v>6629</v>
      </c>
      <c r="N1765" s="4" t="s">
        <v>20</v>
      </c>
      <c r="O1765" s="4" t="s">
        <v>89</v>
      </c>
      <c r="P1765" s="4" t="s">
        <v>89</v>
      </c>
      <c r="Q1765" s="4" t="s">
        <v>100</v>
      </c>
    </row>
    <row r="1766" spans="1:17" hidden="1" x14ac:dyDescent="0.2">
      <c r="A1766" s="4">
        <v>61</v>
      </c>
      <c r="B1766" s="2">
        <v>0</v>
      </c>
      <c r="C1766" s="2">
        <v>0</v>
      </c>
      <c r="D1766" s="4" t="s">
        <v>6633</v>
      </c>
      <c r="E1766" s="2">
        <v>0</v>
      </c>
      <c r="F1766" s="2">
        <v>0</v>
      </c>
      <c r="G1766" s="2">
        <v>0</v>
      </c>
      <c r="H1766" s="4">
        <v>0</v>
      </c>
      <c r="I1766" s="4">
        <v>0</v>
      </c>
      <c r="J1766" s="4">
        <v>0</v>
      </c>
      <c r="K1766" s="4">
        <v>0</v>
      </c>
      <c r="L1766" s="4" t="s">
        <v>6631</v>
      </c>
      <c r="M1766" s="4" t="s">
        <v>6632</v>
      </c>
      <c r="N1766" s="4" t="s">
        <v>20</v>
      </c>
      <c r="O1766" s="4" t="s">
        <v>3938</v>
      </c>
      <c r="P1766" s="4" t="s">
        <v>3938</v>
      </c>
      <c r="Q1766" s="4" t="s">
        <v>1378</v>
      </c>
    </row>
    <row r="1767" spans="1:17" hidden="1" x14ac:dyDescent="0.2">
      <c r="A1767" s="4">
        <v>70</v>
      </c>
      <c r="B1767" s="2">
        <v>0</v>
      </c>
      <c r="C1767" s="2">
        <v>0</v>
      </c>
      <c r="D1767" s="4" t="s">
        <v>6636</v>
      </c>
      <c r="E1767" s="2">
        <v>0</v>
      </c>
      <c r="F1767" s="2">
        <v>0</v>
      </c>
      <c r="G1767" s="2">
        <v>0</v>
      </c>
      <c r="H1767" s="4">
        <v>0</v>
      </c>
      <c r="I1767" s="4">
        <v>0</v>
      </c>
      <c r="J1767" s="4">
        <v>0</v>
      </c>
      <c r="K1767" s="4">
        <v>0</v>
      </c>
      <c r="L1767" s="4" t="s">
        <v>6634</v>
      </c>
      <c r="M1767" s="4" t="s">
        <v>6635</v>
      </c>
      <c r="N1767" s="4" t="s">
        <v>293</v>
      </c>
      <c r="O1767" s="4" t="s">
        <v>900</v>
      </c>
      <c r="P1767" s="4" t="s">
        <v>900</v>
      </c>
      <c r="Q1767" s="4" t="s">
        <v>144</v>
      </c>
    </row>
    <row r="1768" spans="1:17" hidden="1" x14ac:dyDescent="0.2">
      <c r="A1768" s="4">
        <v>74</v>
      </c>
      <c r="B1768" s="2">
        <v>0</v>
      </c>
      <c r="C1768" s="2">
        <v>0</v>
      </c>
      <c r="D1768" s="4" t="s">
        <v>6639</v>
      </c>
      <c r="E1768" s="2">
        <v>0</v>
      </c>
      <c r="F1768" s="2">
        <v>0</v>
      </c>
      <c r="G1768" s="2">
        <v>0</v>
      </c>
      <c r="H1768" s="4">
        <v>0</v>
      </c>
      <c r="I1768" s="4">
        <v>0</v>
      </c>
      <c r="J1768" s="4">
        <v>0</v>
      </c>
      <c r="K1768" s="4">
        <v>0</v>
      </c>
      <c r="L1768" s="4" t="s">
        <v>6637</v>
      </c>
      <c r="M1768" s="4" t="s">
        <v>6638</v>
      </c>
      <c r="N1768" s="4" t="s">
        <v>20</v>
      </c>
      <c r="O1768" s="4" t="s">
        <v>900</v>
      </c>
      <c r="P1768" s="4" t="s">
        <v>900</v>
      </c>
      <c r="Q1768" s="4" t="s">
        <v>408</v>
      </c>
    </row>
    <row r="1769" spans="1:17" hidden="1" x14ac:dyDescent="0.2">
      <c r="A1769" s="4">
        <v>82</v>
      </c>
      <c r="B1769" s="2">
        <v>0</v>
      </c>
      <c r="C1769" s="2">
        <v>0</v>
      </c>
      <c r="D1769" s="4" t="s">
        <v>6642</v>
      </c>
      <c r="E1769" s="2">
        <v>0</v>
      </c>
      <c r="F1769" s="2">
        <v>0</v>
      </c>
      <c r="G1769" s="2">
        <v>0</v>
      </c>
      <c r="H1769" s="4">
        <v>0</v>
      </c>
      <c r="I1769" s="4">
        <v>0</v>
      </c>
      <c r="J1769" s="4">
        <v>0</v>
      </c>
      <c r="K1769" s="4">
        <v>0</v>
      </c>
      <c r="L1769" s="4" t="s">
        <v>6640</v>
      </c>
      <c r="M1769" s="4" t="s">
        <v>6641</v>
      </c>
      <c r="N1769" s="4" t="s">
        <v>581</v>
      </c>
      <c r="O1769" s="4" t="s">
        <v>59</v>
      </c>
      <c r="P1769" s="4" t="s">
        <v>59</v>
      </c>
      <c r="Q1769" s="4" t="s">
        <v>100</v>
      </c>
    </row>
    <row r="1770" spans="1:17" hidden="1" x14ac:dyDescent="0.2">
      <c r="A1770" s="4">
        <v>83</v>
      </c>
      <c r="B1770" s="2">
        <v>0</v>
      </c>
      <c r="C1770" s="2">
        <v>0</v>
      </c>
      <c r="D1770" s="4" t="s">
        <v>6645</v>
      </c>
      <c r="E1770" s="2">
        <v>0</v>
      </c>
      <c r="F1770" s="2">
        <v>0</v>
      </c>
      <c r="G1770" s="2">
        <v>0</v>
      </c>
      <c r="H1770" s="4">
        <v>0</v>
      </c>
      <c r="I1770" s="4">
        <v>0</v>
      </c>
      <c r="J1770" s="4">
        <v>0</v>
      </c>
      <c r="K1770" s="4">
        <v>0</v>
      </c>
      <c r="L1770" s="4" t="s">
        <v>6643</v>
      </c>
      <c r="M1770" s="4" t="s">
        <v>6644</v>
      </c>
      <c r="N1770" s="4" t="s">
        <v>20</v>
      </c>
      <c r="O1770" s="4" t="s">
        <v>3938</v>
      </c>
      <c r="P1770" s="4" t="s">
        <v>3938</v>
      </c>
      <c r="Q1770" s="4" t="s">
        <v>1378</v>
      </c>
    </row>
    <row r="1771" spans="1:17" hidden="1" x14ac:dyDescent="0.2">
      <c r="A1771" s="4">
        <v>85</v>
      </c>
      <c r="B1771" s="2">
        <v>0</v>
      </c>
      <c r="C1771" s="2">
        <v>0</v>
      </c>
      <c r="D1771" s="4" t="s">
        <v>6648</v>
      </c>
      <c r="E1771" s="2">
        <v>0</v>
      </c>
      <c r="F1771" s="2">
        <v>0</v>
      </c>
      <c r="G1771" s="2">
        <v>0</v>
      </c>
      <c r="H1771" s="4">
        <v>0</v>
      </c>
      <c r="I1771" s="4">
        <v>0</v>
      </c>
      <c r="J1771" s="4">
        <v>0</v>
      </c>
      <c r="K1771" s="4">
        <v>0</v>
      </c>
      <c r="L1771" s="4" t="s">
        <v>6646</v>
      </c>
      <c r="M1771" s="4" t="s">
        <v>6647</v>
      </c>
      <c r="N1771" s="4" t="s">
        <v>975</v>
      </c>
      <c r="O1771" s="4" t="s">
        <v>89</v>
      </c>
      <c r="P1771" s="4" t="s">
        <v>89</v>
      </c>
      <c r="Q1771" s="4" t="s">
        <v>100</v>
      </c>
    </row>
    <row r="1772" spans="1:17" hidden="1" x14ac:dyDescent="0.2">
      <c r="A1772" s="4">
        <v>86</v>
      </c>
      <c r="B1772" s="2">
        <v>0</v>
      </c>
      <c r="C1772" s="2">
        <v>0</v>
      </c>
      <c r="D1772" s="4" t="s">
        <v>6651</v>
      </c>
      <c r="E1772" s="2">
        <v>0</v>
      </c>
      <c r="F1772" s="2">
        <v>0</v>
      </c>
      <c r="G1772" s="2">
        <v>0</v>
      </c>
      <c r="H1772" s="4">
        <v>0</v>
      </c>
      <c r="I1772" s="4">
        <v>0</v>
      </c>
      <c r="J1772" s="4">
        <v>0</v>
      </c>
      <c r="K1772" s="4">
        <v>0</v>
      </c>
      <c r="L1772" s="4" t="s">
        <v>6649</v>
      </c>
      <c r="M1772" s="4" t="s">
        <v>6650</v>
      </c>
      <c r="N1772" s="4" t="s">
        <v>1553</v>
      </c>
      <c r="O1772" s="4" t="s">
        <v>747</v>
      </c>
      <c r="P1772" s="4" t="s">
        <v>747</v>
      </c>
      <c r="Q1772" s="4" t="s">
        <v>100</v>
      </c>
    </row>
    <row r="1773" spans="1:17" hidden="1" x14ac:dyDescent="0.2">
      <c r="A1773" s="4">
        <v>89</v>
      </c>
      <c r="B1773" s="2">
        <v>0</v>
      </c>
      <c r="C1773" s="2">
        <v>0</v>
      </c>
      <c r="D1773" s="4" t="s">
        <v>2000</v>
      </c>
      <c r="E1773" s="2">
        <v>0</v>
      </c>
      <c r="F1773" s="2">
        <v>0</v>
      </c>
      <c r="G1773" s="2">
        <v>0</v>
      </c>
      <c r="H1773" s="4">
        <v>0</v>
      </c>
      <c r="I1773" s="4">
        <v>0</v>
      </c>
      <c r="J1773" s="4">
        <v>0</v>
      </c>
      <c r="K1773" s="4">
        <v>0</v>
      </c>
      <c r="L1773" s="4" t="s">
        <v>1998</v>
      </c>
      <c r="M1773" s="4" t="s">
        <v>1999</v>
      </c>
      <c r="N1773" s="4" t="s">
        <v>20</v>
      </c>
      <c r="O1773" s="4" t="s">
        <v>900</v>
      </c>
      <c r="P1773" s="4" t="s">
        <v>900</v>
      </c>
      <c r="Q1773" s="4" t="s">
        <v>408</v>
      </c>
    </row>
    <row r="1774" spans="1:17" hidden="1" x14ac:dyDescent="0.2">
      <c r="A1774" s="4">
        <v>100</v>
      </c>
      <c r="B1774" s="2">
        <v>0</v>
      </c>
      <c r="C1774" s="2">
        <v>0</v>
      </c>
      <c r="D1774" s="4" t="s">
        <v>6654</v>
      </c>
      <c r="E1774" s="2">
        <v>0</v>
      </c>
      <c r="F1774" s="2">
        <v>0</v>
      </c>
      <c r="G1774" s="2">
        <v>0</v>
      </c>
      <c r="H1774" s="4">
        <v>0</v>
      </c>
      <c r="I1774" s="4">
        <v>0</v>
      </c>
      <c r="J1774" s="4">
        <v>0</v>
      </c>
      <c r="K1774" s="4">
        <v>0</v>
      </c>
      <c r="L1774" s="4" t="s">
        <v>6652</v>
      </c>
      <c r="M1774" s="4" t="s">
        <v>6653</v>
      </c>
      <c r="N1774" s="4" t="s">
        <v>20</v>
      </c>
      <c r="O1774" s="4" t="s">
        <v>76</v>
      </c>
      <c r="P1774" s="4" t="s">
        <v>76</v>
      </c>
      <c r="Q1774" s="4" t="s">
        <v>144</v>
      </c>
    </row>
    <row r="1775" spans="1:17" hidden="1" x14ac:dyDescent="0.2">
      <c r="A1775" s="4">
        <v>103</v>
      </c>
      <c r="B1775" s="2">
        <v>0</v>
      </c>
      <c r="C1775" s="2">
        <v>0</v>
      </c>
      <c r="D1775" s="4" t="s">
        <v>1035</v>
      </c>
      <c r="E1775" s="2">
        <v>0</v>
      </c>
      <c r="F1775" s="2">
        <v>0</v>
      </c>
      <c r="G1775" s="2">
        <v>0</v>
      </c>
      <c r="H1775" s="4">
        <v>0</v>
      </c>
      <c r="I1775" s="4">
        <v>0</v>
      </c>
      <c r="J1775" s="4">
        <v>0</v>
      </c>
      <c r="K1775" s="4">
        <v>0</v>
      </c>
      <c r="L1775" s="4" t="s">
        <v>1033</v>
      </c>
      <c r="M1775" s="4" t="s">
        <v>1034</v>
      </c>
      <c r="N1775" s="4" t="s">
        <v>20</v>
      </c>
      <c r="O1775" s="4" t="s">
        <v>76</v>
      </c>
      <c r="P1775" s="4" t="s">
        <v>76</v>
      </c>
      <c r="Q1775" s="4" t="s">
        <v>408</v>
      </c>
    </row>
    <row r="1776" spans="1:17" hidden="1" x14ac:dyDescent="0.2">
      <c r="A1776" s="4">
        <v>105</v>
      </c>
      <c r="B1776" s="2">
        <v>0</v>
      </c>
      <c r="C1776" s="2">
        <v>0</v>
      </c>
      <c r="D1776" s="4" t="s">
        <v>6657</v>
      </c>
      <c r="E1776" s="2">
        <v>0</v>
      </c>
      <c r="F1776" s="2">
        <v>0</v>
      </c>
      <c r="G1776" s="2">
        <v>0</v>
      </c>
      <c r="H1776" s="4">
        <v>0</v>
      </c>
      <c r="I1776" s="4">
        <v>0</v>
      </c>
      <c r="J1776" s="4">
        <v>0</v>
      </c>
      <c r="K1776" s="4">
        <v>0</v>
      </c>
      <c r="L1776" s="4" t="s">
        <v>6655</v>
      </c>
      <c r="M1776" s="4" t="s">
        <v>6656</v>
      </c>
      <c r="N1776" s="4" t="s">
        <v>6658</v>
      </c>
      <c r="O1776" s="4" t="s">
        <v>113</v>
      </c>
      <c r="P1776" s="4" t="s">
        <v>113</v>
      </c>
      <c r="Q1776" s="4" t="s">
        <v>100</v>
      </c>
    </row>
    <row r="1777" spans="1:17" hidden="1" x14ac:dyDescent="0.2">
      <c r="A1777" s="4">
        <v>106</v>
      </c>
      <c r="B1777" s="2">
        <v>0</v>
      </c>
      <c r="C1777" s="2">
        <v>0</v>
      </c>
      <c r="D1777" s="4" t="s">
        <v>6661</v>
      </c>
      <c r="E1777" s="2">
        <v>0</v>
      </c>
      <c r="F1777" s="2">
        <v>0</v>
      </c>
      <c r="G1777" s="2">
        <v>0</v>
      </c>
      <c r="H1777" s="4">
        <v>0</v>
      </c>
      <c r="I1777" s="4">
        <v>0</v>
      </c>
      <c r="J1777" s="4">
        <v>0</v>
      </c>
      <c r="K1777" s="4">
        <v>0</v>
      </c>
      <c r="L1777" s="4" t="s">
        <v>6659</v>
      </c>
      <c r="M1777" s="4" t="s">
        <v>6660</v>
      </c>
      <c r="N1777" s="4" t="s">
        <v>975</v>
      </c>
      <c r="O1777" s="4" t="s">
        <v>900</v>
      </c>
      <c r="P1777" s="4" t="s">
        <v>900</v>
      </c>
      <c r="Q1777" s="4" t="s">
        <v>100</v>
      </c>
    </row>
    <row r="1778" spans="1:17" hidden="1" x14ac:dyDescent="0.2">
      <c r="A1778" s="4">
        <v>108</v>
      </c>
      <c r="B1778" s="2">
        <v>0</v>
      </c>
      <c r="C1778" s="2">
        <v>0</v>
      </c>
      <c r="D1778" s="4" t="s">
        <v>6664</v>
      </c>
      <c r="E1778" s="2">
        <v>0</v>
      </c>
      <c r="F1778" s="2">
        <v>0</v>
      </c>
      <c r="G1778" s="2">
        <v>0</v>
      </c>
      <c r="H1778" s="4">
        <v>0</v>
      </c>
      <c r="I1778" s="4">
        <v>0</v>
      </c>
      <c r="J1778" s="4">
        <v>0</v>
      </c>
      <c r="K1778" s="4">
        <v>0</v>
      </c>
      <c r="L1778" s="4" t="s">
        <v>6662</v>
      </c>
      <c r="M1778" s="4" t="s">
        <v>6663</v>
      </c>
      <c r="N1778" s="4" t="s">
        <v>20</v>
      </c>
      <c r="O1778" s="4" t="s">
        <v>1891</v>
      </c>
      <c r="P1778" s="4" t="s">
        <v>1891</v>
      </c>
      <c r="Q1778" s="4" t="s">
        <v>1378</v>
      </c>
    </row>
    <row r="1779" spans="1:17" hidden="1" x14ac:dyDescent="0.2">
      <c r="A1779" s="4">
        <v>123</v>
      </c>
      <c r="B1779" s="2">
        <v>0</v>
      </c>
      <c r="C1779" s="2">
        <v>0</v>
      </c>
      <c r="D1779" s="4" t="s">
        <v>6667</v>
      </c>
      <c r="E1779" s="2">
        <v>0</v>
      </c>
      <c r="F1779" s="2">
        <v>0</v>
      </c>
      <c r="G1779" s="2">
        <v>0</v>
      </c>
      <c r="H1779" s="4">
        <v>0</v>
      </c>
      <c r="I1779" s="4">
        <v>0</v>
      </c>
      <c r="J1779" s="4">
        <v>0</v>
      </c>
      <c r="K1779" s="4">
        <v>0</v>
      </c>
      <c r="L1779" s="4" t="s">
        <v>6665</v>
      </c>
      <c r="M1779" s="4" t="s">
        <v>6666</v>
      </c>
      <c r="N1779" s="4" t="s">
        <v>20</v>
      </c>
      <c r="O1779" s="4" t="s">
        <v>3938</v>
      </c>
      <c r="P1779" s="4" t="s">
        <v>3938</v>
      </c>
      <c r="Q1779" s="4" t="s">
        <v>1378</v>
      </c>
    </row>
    <row r="1780" spans="1:17" hidden="1" x14ac:dyDescent="0.2">
      <c r="A1780" s="4">
        <v>135</v>
      </c>
      <c r="B1780" s="2">
        <v>0</v>
      </c>
      <c r="C1780" s="2">
        <v>0</v>
      </c>
      <c r="D1780" s="4" t="s">
        <v>6670</v>
      </c>
      <c r="E1780" s="2">
        <v>0</v>
      </c>
      <c r="F1780" s="2">
        <v>0</v>
      </c>
      <c r="G1780" s="2">
        <v>0</v>
      </c>
      <c r="H1780" s="4">
        <v>0</v>
      </c>
      <c r="I1780" s="4">
        <v>0</v>
      </c>
      <c r="J1780" s="4">
        <v>0</v>
      </c>
      <c r="K1780" s="4">
        <v>0</v>
      </c>
      <c r="L1780" s="4" t="s">
        <v>6668</v>
      </c>
      <c r="M1780" s="4" t="s">
        <v>6669</v>
      </c>
      <c r="N1780" s="4" t="s">
        <v>6671</v>
      </c>
      <c r="O1780" s="4" t="s">
        <v>382</v>
      </c>
      <c r="P1780" s="4" t="s">
        <v>382</v>
      </c>
      <c r="Q1780" s="4" t="s">
        <v>100</v>
      </c>
    </row>
    <row r="1781" spans="1:17" hidden="1" x14ac:dyDescent="0.2">
      <c r="A1781" s="4">
        <v>136</v>
      </c>
      <c r="B1781" s="2">
        <v>0</v>
      </c>
      <c r="C1781" s="2">
        <v>0</v>
      </c>
      <c r="D1781" s="4" t="s">
        <v>6674</v>
      </c>
      <c r="E1781" s="2">
        <v>0</v>
      </c>
      <c r="F1781" s="2">
        <v>0</v>
      </c>
      <c r="G1781" s="2">
        <v>0</v>
      </c>
      <c r="H1781" s="4">
        <v>0</v>
      </c>
      <c r="I1781" s="4">
        <v>0</v>
      </c>
      <c r="J1781" s="4">
        <v>0</v>
      </c>
      <c r="K1781" s="4">
        <v>0</v>
      </c>
      <c r="L1781" s="4" t="s">
        <v>6672</v>
      </c>
      <c r="M1781" s="4" t="s">
        <v>6673</v>
      </c>
      <c r="N1781" s="4" t="s">
        <v>58</v>
      </c>
      <c r="O1781" s="4" t="s">
        <v>59</v>
      </c>
      <c r="P1781" s="4" t="s">
        <v>59</v>
      </c>
      <c r="Q1781" s="4" t="s">
        <v>100</v>
      </c>
    </row>
    <row r="1782" spans="1:17" hidden="1" x14ac:dyDescent="0.2">
      <c r="A1782" s="4">
        <v>139</v>
      </c>
      <c r="B1782" s="2">
        <v>0</v>
      </c>
      <c r="C1782" s="2">
        <v>0</v>
      </c>
      <c r="D1782" s="4" t="s">
        <v>6677</v>
      </c>
      <c r="E1782" s="2">
        <v>0</v>
      </c>
      <c r="F1782" s="2">
        <v>0</v>
      </c>
      <c r="G1782" s="2">
        <v>0</v>
      </c>
      <c r="H1782" s="4">
        <v>0</v>
      </c>
      <c r="I1782" s="4">
        <v>0</v>
      </c>
      <c r="J1782" s="4">
        <v>0</v>
      </c>
      <c r="K1782" s="4">
        <v>0</v>
      </c>
      <c r="L1782" s="4" t="s">
        <v>6675</v>
      </c>
      <c r="M1782" s="4" t="s">
        <v>6676</v>
      </c>
      <c r="N1782" s="4" t="s">
        <v>648</v>
      </c>
      <c r="O1782" s="4" t="s">
        <v>3938</v>
      </c>
      <c r="P1782" s="4" t="s">
        <v>3938</v>
      </c>
      <c r="Q1782" s="4" t="s">
        <v>1378</v>
      </c>
    </row>
    <row r="1783" spans="1:17" hidden="1" x14ac:dyDescent="0.2">
      <c r="A1783" s="4">
        <v>140</v>
      </c>
      <c r="B1783" s="2">
        <v>0</v>
      </c>
      <c r="C1783" s="2">
        <v>0</v>
      </c>
      <c r="D1783" s="4" t="s">
        <v>6680</v>
      </c>
      <c r="E1783" s="2">
        <v>0</v>
      </c>
      <c r="F1783" s="2">
        <v>0</v>
      </c>
      <c r="G1783" s="2">
        <v>0</v>
      </c>
      <c r="H1783" s="4">
        <v>0</v>
      </c>
      <c r="I1783" s="4">
        <v>0</v>
      </c>
      <c r="J1783" s="4">
        <v>0</v>
      </c>
      <c r="K1783" s="4">
        <v>0</v>
      </c>
      <c r="L1783" s="4" t="s">
        <v>6678</v>
      </c>
      <c r="M1783" s="4" t="s">
        <v>6679</v>
      </c>
      <c r="N1783" s="4" t="s">
        <v>195</v>
      </c>
      <c r="O1783" s="4" t="s">
        <v>196</v>
      </c>
      <c r="P1783" s="4" t="s">
        <v>196</v>
      </c>
      <c r="Q1783" s="4" t="s">
        <v>100</v>
      </c>
    </row>
    <row r="1784" spans="1:17" hidden="1" x14ac:dyDescent="0.2">
      <c r="A1784" s="4">
        <v>143</v>
      </c>
      <c r="B1784" s="2">
        <v>0</v>
      </c>
      <c r="C1784" s="2">
        <v>0</v>
      </c>
      <c r="D1784" s="4" t="s">
        <v>6683</v>
      </c>
      <c r="E1784" s="2">
        <v>0</v>
      </c>
      <c r="F1784" s="2">
        <v>0</v>
      </c>
      <c r="G1784" s="2">
        <v>0</v>
      </c>
      <c r="H1784" s="4">
        <v>0</v>
      </c>
      <c r="I1784" s="4">
        <v>0</v>
      </c>
      <c r="J1784" s="4">
        <v>0</v>
      </c>
      <c r="K1784" s="4">
        <v>0</v>
      </c>
      <c r="L1784" s="4" t="s">
        <v>6681</v>
      </c>
      <c r="M1784" s="4" t="s">
        <v>6682</v>
      </c>
      <c r="N1784" s="4" t="s">
        <v>20</v>
      </c>
      <c r="O1784" s="4" t="s">
        <v>3938</v>
      </c>
      <c r="P1784" s="4" t="s">
        <v>3938</v>
      </c>
      <c r="Q1784" s="4" t="s">
        <v>1378</v>
      </c>
    </row>
    <row r="1785" spans="1:17" hidden="1" x14ac:dyDescent="0.2">
      <c r="A1785" s="4">
        <v>145</v>
      </c>
      <c r="B1785" s="2">
        <v>0</v>
      </c>
      <c r="C1785" s="2">
        <v>0</v>
      </c>
      <c r="D1785" s="4" t="s">
        <v>6686</v>
      </c>
      <c r="E1785" s="2">
        <v>0</v>
      </c>
      <c r="F1785" s="2">
        <v>0</v>
      </c>
      <c r="G1785" s="2">
        <v>0</v>
      </c>
      <c r="H1785" s="4">
        <v>0</v>
      </c>
      <c r="I1785" s="4">
        <v>0</v>
      </c>
      <c r="J1785" s="4">
        <v>0</v>
      </c>
      <c r="K1785" s="4">
        <v>0</v>
      </c>
      <c r="L1785" s="4" t="s">
        <v>6684</v>
      </c>
      <c r="M1785" s="4" t="s">
        <v>6685</v>
      </c>
      <c r="N1785" s="4" t="s">
        <v>20</v>
      </c>
      <c r="O1785" s="4" t="s">
        <v>3938</v>
      </c>
      <c r="P1785" s="4" t="s">
        <v>3938</v>
      </c>
      <c r="Q1785" s="4" t="s">
        <v>1378</v>
      </c>
    </row>
    <row r="1786" spans="1:17" hidden="1" x14ac:dyDescent="0.2">
      <c r="A1786" s="4">
        <v>164</v>
      </c>
      <c r="B1786" s="2">
        <v>0</v>
      </c>
      <c r="C1786" s="2">
        <v>0</v>
      </c>
      <c r="D1786" s="4" t="s">
        <v>6689</v>
      </c>
      <c r="E1786" s="2">
        <v>0</v>
      </c>
      <c r="F1786" s="2">
        <v>0</v>
      </c>
      <c r="G1786" s="2">
        <v>0</v>
      </c>
      <c r="H1786" s="4">
        <v>0</v>
      </c>
      <c r="I1786" s="4">
        <v>0</v>
      </c>
      <c r="J1786" s="4">
        <v>0</v>
      </c>
      <c r="K1786" s="4">
        <v>0</v>
      </c>
      <c r="L1786" s="4" t="s">
        <v>6687</v>
      </c>
      <c r="M1786" s="4" t="s">
        <v>6688</v>
      </c>
      <c r="N1786" s="4" t="s">
        <v>142</v>
      </c>
      <c r="O1786" s="4" t="s">
        <v>3938</v>
      </c>
      <c r="P1786" s="4" t="s">
        <v>3938</v>
      </c>
      <c r="Q1786" s="4" t="s">
        <v>1378</v>
      </c>
    </row>
    <row r="1787" spans="1:17" hidden="1" x14ac:dyDescent="0.2">
      <c r="A1787" s="4">
        <v>167</v>
      </c>
      <c r="B1787" s="2">
        <v>0</v>
      </c>
      <c r="C1787" s="2">
        <v>0</v>
      </c>
      <c r="D1787" s="4" t="s">
        <v>6692</v>
      </c>
      <c r="E1787" s="2">
        <v>0</v>
      </c>
      <c r="F1787" s="2">
        <v>0</v>
      </c>
      <c r="G1787" s="2">
        <v>0</v>
      </c>
      <c r="H1787" s="4">
        <v>0</v>
      </c>
      <c r="I1787" s="4">
        <v>0</v>
      </c>
      <c r="J1787" s="4">
        <v>0</v>
      </c>
      <c r="K1787" s="4">
        <v>0</v>
      </c>
      <c r="L1787" s="4" t="s">
        <v>6690</v>
      </c>
      <c r="M1787" s="4" t="s">
        <v>6691</v>
      </c>
      <c r="N1787" s="4" t="s">
        <v>5644</v>
      </c>
      <c r="O1787" s="4" t="s">
        <v>237</v>
      </c>
      <c r="P1787" s="4" t="s">
        <v>237</v>
      </c>
      <c r="Q1787" s="4" t="s">
        <v>100</v>
      </c>
    </row>
    <row r="1788" spans="1:17" hidden="1" x14ac:dyDescent="0.2">
      <c r="A1788" s="4">
        <v>168</v>
      </c>
      <c r="B1788" s="2">
        <v>0</v>
      </c>
      <c r="C1788" s="2">
        <v>0</v>
      </c>
      <c r="D1788" s="4" t="s">
        <v>4023</v>
      </c>
      <c r="E1788" s="2">
        <v>0</v>
      </c>
      <c r="F1788" s="2">
        <v>0</v>
      </c>
      <c r="G1788" s="2">
        <v>0</v>
      </c>
      <c r="H1788" s="4">
        <v>0</v>
      </c>
      <c r="I1788" s="4">
        <v>0</v>
      </c>
      <c r="J1788" s="4">
        <v>0</v>
      </c>
      <c r="K1788" s="4">
        <v>0</v>
      </c>
      <c r="L1788" s="4" t="s">
        <v>4021</v>
      </c>
      <c r="M1788" s="4" t="s">
        <v>4022</v>
      </c>
      <c r="N1788" s="4" t="s">
        <v>88</v>
      </c>
      <c r="O1788" s="4" t="s">
        <v>89</v>
      </c>
      <c r="P1788" s="4" t="s">
        <v>89</v>
      </c>
      <c r="Q1788" s="4" t="s">
        <v>100</v>
      </c>
    </row>
    <row r="1789" spans="1:17" hidden="1" x14ac:dyDescent="0.2">
      <c r="A1789" s="4">
        <v>176</v>
      </c>
      <c r="B1789" s="2">
        <v>0</v>
      </c>
      <c r="C1789" s="2">
        <v>0</v>
      </c>
      <c r="D1789" s="4" t="s">
        <v>6695</v>
      </c>
      <c r="E1789" s="2">
        <v>0</v>
      </c>
      <c r="F1789" s="2">
        <v>0</v>
      </c>
      <c r="G1789" s="2">
        <v>0</v>
      </c>
      <c r="H1789" s="4">
        <v>0</v>
      </c>
      <c r="I1789" s="4">
        <v>0</v>
      </c>
      <c r="J1789" s="4">
        <v>0</v>
      </c>
      <c r="K1789" s="4">
        <v>0</v>
      </c>
      <c r="L1789" s="4" t="s">
        <v>6693</v>
      </c>
      <c r="M1789" s="4" t="s">
        <v>6694</v>
      </c>
      <c r="N1789" s="4" t="s">
        <v>6696</v>
      </c>
      <c r="O1789" s="4" t="s">
        <v>84</v>
      </c>
      <c r="P1789" s="4" t="s">
        <v>84</v>
      </c>
      <c r="Q1789" s="4" t="s">
        <v>100</v>
      </c>
    </row>
    <row r="1790" spans="1:17" hidden="1" x14ac:dyDescent="0.2">
      <c r="A1790" s="4">
        <v>181</v>
      </c>
      <c r="B1790" s="2">
        <v>0</v>
      </c>
      <c r="C1790" s="2">
        <v>0</v>
      </c>
      <c r="D1790" s="4" t="s">
        <v>6699</v>
      </c>
      <c r="E1790" s="2">
        <v>0</v>
      </c>
      <c r="F1790" s="2">
        <v>0</v>
      </c>
      <c r="G1790" s="2">
        <v>0</v>
      </c>
      <c r="H1790" s="4">
        <v>0</v>
      </c>
      <c r="I1790" s="4">
        <v>0</v>
      </c>
      <c r="J1790" s="4">
        <v>0</v>
      </c>
      <c r="K1790" s="4">
        <v>0</v>
      </c>
      <c r="L1790" s="4" t="s">
        <v>6697</v>
      </c>
      <c r="M1790" s="4" t="s">
        <v>6698</v>
      </c>
      <c r="N1790" s="4" t="s">
        <v>1497</v>
      </c>
      <c r="O1790" s="4" t="s">
        <v>229</v>
      </c>
      <c r="P1790" s="4" t="s">
        <v>229</v>
      </c>
      <c r="Q1790" s="4" t="s">
        <v>100</v>
      </c>
    </row>
    <row r="1791" spans="1:17" hidden="1" x14ac:dyDescent="0.2">
      <c r="A1791" s="4">
        <v>186</v>
      </c>
      <c r="B1791" s="2">
        <v>0</v>
      </c>
      <c r="C1791" s="2">
        <v>0</v>
      </c>
      <c r="D1791" s="4" t="s">
        <v>6702</v>
      </c>
      <c r="E1791" s="2">
        <v>0</v>
      </c>
      <c r="F1791" s="2">
        <v>0</v>
      </c>
      <c r="G1791" s="2">
        <v>0</v>
      </c>
      <c r="H1791" s="4">
        <v>0</v>
      </c>
      <c r="I1791" s="4">
        <v>0</v>
      </c>
      <c r="J1791" s="4">
        <v>0</v>
      </c>
      <c r="K1791" s="4">
        <v>0</v>
      </c>
      <c r="L1791" s="4" t="s">
        <v>6700</v>
      </c>
      <c r="M1791" s="4" t="s">
        <v>6701</v>
      </c>
      <c r="N1791" s="4" t="s">
        <v>368</v>
      </c>
      <c r="O1791" s="4" t="s">
        <v>3938</v>
      </c>
      <c r="P1791" s="4" t="s">
        <v>3938</v>
      </c>
      <c r="Q1791" s="4" t="s">
        <v>1378</v>
      </c>
    </row>
    <row r="1792" spans="1:17" hidden="1" x14ac:dyDescent="0.2">
      <c r="A1792" s="4">
        <v>197</v>
      </c>
      <c r="B1792" s="2">
        <v>0</v>
      </c>
      <c r="C1792" s="2">
        <v>0</v>
      </c>
      <c r="D1792" s="4" t="s">
        <v>6705</v>
      </c>
      <c r="E1792" s="2">
        <v>0</v>
      </c>
      <c r="F1792" s="2">
        <v>0</v>
      </c>
      <c r="G1792" s="2">
        <v>0</v>
      </c>
      <c r="H1792" s="4">
        <v>0</v>
      </c>
      <c r="I1792" s="4">
        <v>0</v>
      </c>
      <c r="J1792" s="4">
        <v>0</v>
      </c>
      <c r="K1792" s="4">
        <v>0</v>
      </c>
      <c r="L1792" s="4" t="s">
        <v>6703</v>
      </c>
      <c r="M1792" s="4" t="s">
        <v>6704</v>
      </c>
      <c r="N1792" s="4" t="s">
        <v>2092</v>
      </c>
      <c r="O1792" s="4" t="s">
        <v>2093</v>
      </c>
      <c r="P1792" s="4" t="s">
        <v>2093</v>
      </c>
      <c r="Q1792" s="4" t="s">
        <v>100</v>
      </c>
    </row>
    <row r="1793" spans="1:17" hidden="1" x14ac:dyDescent="0.2">
      <c r="A1793" s="4">
        <v>199</v>
      </c>
      <c r="B1793" s="2">
        <v>0</v>
      </c>
      <c r="C1793" s="2">
        <v>0</v>
      </c>
      <c r="D1793" s="4" t="s">
        <v>6708</v>
      </c>
      <c r="E1793" s="2">
        <v>0</v>
      </c>
      <c r="F1793" s="2">
        <v>0</v>
      </c>
      <c r="G1793" s="2">
        <v>0</v>
      </c>
      <c r="H1793" s="4">
        <v>0</v>
      </c>
      <c r="I1793" s="4">
        <v>0</v>
      </c>
      <c r="J1793" s="4">
        <v>0</v>
      </c>
      <c r="K1793" s="4">
        <v>0</v>
      </c>
      <c r="L1793" s="4" t="s">
        <v>6706</v>
      </c>
      <c r="M1793" s="4" t="s">
        <v>6707</v>
      </c>
      <c r="N1793" s="4" t="s">
        <v>6709</v>
      </c>
      <c r="O1793" s="4" t="s">
        <v>84</v>
      </c>
      <c r="P1793" s="4" t="s">
        <v>84</v>
      </c>
      <c r="Q1793" s="4" t="s">
        <v>100</v>
      </c>
    </row>
    <row r="1794" spans="1:17" hidden="1" x14ac:dyDescent="0.2">
      <c r="A1794" s="4">
        <v>206</v>
      </c>
      <c r="B1794" s="2">
        <v>0</v>
      </c>
      <c r="C1794" s="2">
        <v>0</v>
      </c>
      <c r="D1794" s="4" t="s">
        <v>87</v>
      </c>
      <c r="E1794" s="2">
        <v>0</v>
      </c>
      <c r="F1794" s="2">
        <v>0</v>
      </c>
      <c r="G1794" s="2">
        <v>0</v>
      </c>
      <c r="H1794" s="4">
        <v>0</v>
      </c>
      <c r="I1794" s="4">
        <v>0</v>
      </c>
      <c r="J1794" s="4">
        <v>0</v>
      </c>
      <c r="K1794" s="4">
        <v>0</v>
      </c>
      <c r="L1794" s="4" t="s">
        <v>6710</v>
      </c>
      <c r="M1794" s="4" t="s">
        <v>86</v>
      </c>
      <c r="N1794" s="4" t="s">
        <v>88</v>
      </c>
      <c r="O1794" s="4" t="s">
        <v>1039</v>
      </c>
      <c r="P1794" s="4" t="s">
        <v>1039</v>
      </c>
      <c r="Q1794" s="4" t="s">
        <v>4365</v>
      </c>
    </row>
    <row r="1795" spans="1:17" hidden="1" x14ac:dyDescent="0.2">
      <c r="A1795" s="4">
        <v>210</v>
      </c>
      <c r="B1795" s="2">
        <v>0</v>
      </c>
      <c r="C1795" s="2">
        <v>0</v>
      </c>
      <c r="D1795" s="4" t="s">
        <v>6713</v>
      </c>
      <c r="E1795" s="2">
        <v>0</v>
      </c>
      <c r="F1795" s="2">
        <v>0</v>
      </c>
      <c r="G1795" s="2">
        <v>0</v>
      </c>
      <c r="H1795" s="4">
        <v>0</v>
      </c>
      <c r="I1795" s="4">
        <v>0</v>
      </c>
      <c r="J1795" s="4">
        <v>0</v>
      </c>
      <c r="K1795" s="4">
        <v>0</v>
      </c>
      <c r="L1795" s="4" t="s">
        <v>6711</v>
      </c>
      <c r="M1795" s="4" t="s">
        <v>6712</v>
      </c>
      <c r="N1795" s="4" t="s">
        <v>6714</v>
      </c>
      <c r="O1795" s="4" t="s">
        <v>196</v>
      </c>
      <c r="P1795" s="4" t="s">
        <v>196</v>
      </c>
      <c r="Q1795" s="4" t="s">
        <v>100</v>
      </c>
    </row>
    <row r="1796" spans="1:17" hidden="1" x14ac:dyDescent="0.2">
      <c r="A1796" s="4">
        <v>224</v>
      </c>
      <c r="B1796" s="2">
        <v>0</v>
      </c>
      <c r="C1796" s="2">
        <v>0</v>
      </c>
      <c r="D1796" s="4" t="s">
        <v>6717</v>
      </c>
      <c r="E1796" s="2">
        <v>0</v>
      </c>
      <c r="F1796" s="2">
        <v>0</v>
      </c>
      <c r="G1796" s="2">
        <v>0</v>
      </c>
      <c r="H1796" s="4">
        <v>0</v>
      </c>
      <c r="I1796" s="4">
        <v>0</v>
      </c>
      <c r="J1796" s="4">
        <v>0</v>
      </c>
      <c r="K1796" s="4">
        <v>0</v>
      </c>
      <c r="L1796" s="4" t="s">
        <v>6715</v>
      </c>
      <c r="M1796" s="4" t="s">
        <v>6716</v>
      </c>
      <c r="N1796" s="4" t="s">
        <v>1242</v>
      </c>
      <c r="O1796" s="4" t="s">
        <v>59</v>
      </c>
      <c r="P1796" s="4" t="s">
        <v>59</v>
      </c>
      <c r="Q1796" s="4" t="s">
        <v>100</v>
      </c>
    </row>
    <row r="1797" spans="1:17" hidden="1" x14ac:dyDescent="0.2">
      <c r="A1797" s="4">
        <v>232</v>
      </c>
      <c r="B1797" s="2">
        <v>0</v>
      </c>
      <c r="C1797" s="2">
        <v>0</v>
      </c>
      <c r="D1797" s="4" t="s">
        <v>6720</v>
      </c>
      <c r="E1797" s="2">
        <v>0</v>
      </c>
      <c r="F1797" s="2">
        <v>0</v>
      </c>
      <c r="G1797" s="2">
        <v>0</v>
      </c>
      <c r="H1797" s="4">
        <v>0</v>
      </c>
      <c r="I1797" s="4">
        <v>0</v>
      </c>
      <c r="J1797" s="4">
        <v>0</v>
      </c>
      <c r="K1797" s="4">
        <v>0</v>
      </c>
      <c r="L1797" s="4" t="s">
        <v>6718</v>
      </c>
      <c r="M1797" s="4" t="s">
        <v>6719</v>
      </c>
      <c r="N1797" s="4" t="s">
        <v>20</v>
      </c>
      <c r="O1797" s="4" t="s">
        <v>3938</v>
      </c>
      <c r="P1797" s="4" t="s">
        <v>3938</v>
      </c>
      <c r="Q1797" s="4" t="s">
        <v>1378</v>
      </c>
    </row>
    <row r="1798" spans="1:17" hidden="1" x14ac:dyDescent="0.2">
      <c r="A1798" s="4">
        <v>248</v>
      </c>
      <c r="B1798" s="2">
        <v>0</v>
      </c>
      <c r="C1798" s="2">
        <v>0</v>
      </c>
      <c r="D1798" s="4" t="s">
        <v>6723</v>
      </c>
      <c r="E1798" s="2">
        <v>0</v>
      </c>
      <c r="F1798" s="2">
        <v>0</v>
      </c>
      <c r="G1798" s="2">
        <v>0</v>
      </c>
      <c r="H1798" s="4">
        <v>0</v>
      </c>
      <c r="I1798" s="4">
        <v>0</v>
      </c>
      <c r="J1798" s="4">
        <v>0</v>
      </c>
      <c r="K1798" s="4">
        <v>0</v>
      </c>
      <c r="L1798" s="4" t="s">
        <v>6721</v>
      </c>
      <c r="M1798" s="4" t="s">
        <v>6722</v>
      </c>
      <c r="N1798" s="4" t="s">
        <v>20</v>
      </c>
      <c r="O1798" s="4" t="s">
        <v>3938</v>
      </c>
      <c r="P1798" s="4" t="s">
        <v>3938</v>
      </c>
      <c r="Q1798" s="4" t="s">
        <v>1378</v>
      </c>
    </row>
    <row r="1799" spans="1:17" hidden="1" x14ac:dyDescent="0.2">
      <c r="A1799" s="4">
        <v>249</v>
      </c>
      <c r="B1799" s="2">
        <v>0</v>
      </c>
      <c r="C1799" s="2">
        <v>0</v>
      </c>
      <c r="D1799" s="4" t="s">
        <v>6726</v>
      </c>
      <c r="E1799" s="2">
        <v>0</v>
      </c>
      <c r="F1799" s="2">
        <v>0</v>
      </c>
      <c r="G1799" s="2">
        <v>0</v>
      </c>
      <c r="H1799" s="4">
        <v>0</v>
      </c>
      <c r="I1799" s="4">
        <v>0</v>
      </c>
      <c r="J1799" s="4">
        <v>0</v>
      </c>
      <c r="K1799" s="4">
        <v>0</v>
      </c>
      <c r="L1799" s="4" t="s">
        <v>6724</v>
      </c>
      <c r="M1799" s="4" t="s">
        <v>6725</v>
      </c>
      <c r="N1799" s="4" t="s">
        <v>368</v>
      </c>
      <c r="O1799" s="4" t="s">
        <v>3938</v>
      </c>
      <c r="P1799" s="4" t="s">
        <v>3938</v>
      </c>
      <c r="Q1799" s="4" t="s">
        <v>1378</v>
      </c>
    </row>
    <row r="1800" spans="1:17" hidden="1" x14ac:dyDescent="0.2">
      <c r="A1800" s="4">
        <v>254</v>
      </c>
      <c r="B1800" s="2">
        <v>0</v>
      </c>
      <c r="C1800" s="2">
        <v>0</v>
      </c>
      <c r="D1800" s="4" t="s">
        <v>6729</v>
      </c>
      <c r="E1800" s="2">
        <v>0</v>
      </c>
      <c r="F1800" s="2">
        <v>0</v>
      </c>
      <c r="G1800" s="2">
        <v>0</v>
      </c>
      <c r="H1800" s="4">
        <v>0</v>
      </c>
      <c r="I1800" s="4">
        <v>0</v>
      </c>
      <c r="J1800" s="4">
        <v>0</v>
      </c>
      <c r="K1800" s="4">
        <v>0</v>
      </c>
      <c r="L1800" s="4" t="s">
        <v>6727</v>
      </c>
      <c r="M1800" s="4" t="s">
        <v>6728</v>
      </c>
      <c r="N1800" s="4" t="s">
        <v>32</v>
      </c>
      <c r="O1800" s="4" t="s">
        <v>3938</v>
      </c>
      <c r="P1800" s="4" t="s">
        <v>3938</v>
      </c>
      <c r="Q1800" s="4" t="s">
        <v>1378</v>
      </c>
    </row>
    <row r="1801" spans="1:17" hidden="1" x14ac:dyDescent="0.2">
      <c r="A1801" s="4">
        <v>270</v>
      </c>
      <c r="B1801" s="2">
        <v>0</v>
      </c>
      <c r="C1801" s="2">
        <v>0</v>
      </c>
      <c r="D1801" s="4" t="s">
        <v>6732</v>
      </c>
      <c r="E1801" s="2">
        <v>0</v>
      </c>
      <c r="F1801" s="2">
        <v>0</v>
      </c>
      <c r="G1801" s="2">
        <v>0</v>
      </c>
      <c r="H1801" s="4">
        <v>0</v>
      </c>
      <c r="I1801" s="4">
        <v>0</v>
      </c>
      <c r="J1801" s="4">
        <v>0</v>
      </c>
      <c r="K1801" s="4">
        <v>0</v>
      </c>
      <c r="L1801" s="4" t="s">
        <v>6730</v>
      </c>
      <c r="M1801" s="4" t="s">
        <v>6731</v>
      </c>
      <c r="N1801" s="4" t="s">
        <v>6733</v>
      </c>
      <c r="O1801" s="4" t="s">
        <v>59</v>
      </c>
      <c r="P1801" s="4" t="s">
        <v>59</v>
      </c>
      <c r="Q1801" s="4" t="s">
        <v>100</v>
      </c>
    </row>
    <row r="1802" spans="1:17" hidden="1" x14ac:dyDescent="0.2">
      <c r="A1802" s="4">
        <v>321</v>
      </c>
      <c r="B1802" s="2">
        <v>0</v>
      </c>
      <c r="C1802" s="2">
        <v>0</v>
      </c>
      <c r="D1802" s="4" t="s">
        <v>6736</v>
      </c>
      <c r="E1802" s="2">
        <v>0</v>
      </c>
      <c r="F1802" s="2">
        <v>0</v>
      </c>
      <c r="G1802" s="2">
        <v>0</v>
      </c>
      <c r="H1802" s="4">
        <v>0</v>
      </c>
      <c r="I1802" s="4">
        <v>0</v>
      </c>
      <c r="J1802" s="4">
        <v>0</v>
      </c>
      <c r="K1802" s="4">
        <v>0</v>
      </c>
      <c r="L1802" s="4" t="s">
        <v>6734</v>
      </c>
      <c r="M1802" s="4" t="s">
        <v>6735</v>
      </c>
      <c r="N1802" s="4" t="s">
        <v>1418</v>
      </c>
      <c r="O1802" s="4" t="s">
        <v>173</v>
      </c>
      <c r="P1802" s="4" t="s">
        <v>173</v>
      </c>
      <c r="Q1802" s="4" t="s">
        <v>100</v>
      </c>
    </row>
    <row r="1803" spans="1:17" hidden="1" x14ac:dyDescent="0.2">
      <c r="A1803" s="4">
        <v>326</v>
      </c>
      <c r="B1803" s="2">
        <v>0</v>
      </c>
      <c r="C1803" s="2">
        <v>0</v>
      </c>
      <c r="D1803" s="4" t="s">
        <v>6739</v>
      </c>
      <c r="E1803" s="2">
        <v>0</v>
      </c>
      <c r="F1803" s="2">
        <v>0</v>
      </c>
      <c r="G1803" s="2">
        <v>0</v>
      </c>
      <c r="H1803" s="4">
        <v>0</v>
      </c>
      <c r="I1803" s="4">
        <v>0</v>
      </c>
      <c r="J1803" s="4">
        <v>0</v>
      </c>
      <c r="K1803" s="4">
        <v>0</v>
      </c>
      <c r="L1803" s="4" t="s">
        <v>6737</v>
      </c>
      <c r="M1803" s="4" t="s">
        <v>6738</v>
      </c>
      <c r="N1803" s="4" t="s">
        <v>20</v>
      </c>
      <c r="O1803" s="4" t="s">
        <v>3938</v>
      </c>
      <c r="P1803" s="4" t="s">
        <v>3938</v>
      </c>
      <c r="Q1803" s="4" t="s">
        <v>1378</v>
      </c>
    </row>
    <row r="1804" spans="1:17" hidden="1" x14ac:dyDescent="0.2">
      <c r="A1804" s="4">
        <v>327</v>
      </c>
      <c r="B1804" s="2">
        <v>0</v>
      </c>
      <c r="C1804" s="2">
        <v>0</v>
      </c>
      <c r="D1804" s="4" t="s">
        <v>6742</v>
      </c>
      <c r="E1804" s="2">
        <v>0</v>
      </c>
      <c r="F1804" s="2">
        <v>0</v>
      </c>
      <c r="G1804" s="2">
        <v>0</v>
      </c>
      <c r="H1804" s="4">
        <v>0</v>
      </c>
      <c r="I1804" s="4">
        <v>0</v>
      </c>
      <c r="J1804" s="4">
        <v>0</v>
      </c>
      <c r="K1804" s="4">
        <v>0</v>
      </c>
      <c r="L1804" s="4" t="s">
        <v>6740</v>
      </c>
      <c r="M1804" s="4" t="s">
        <v>6741</v>
      </c>
      <c r="N1804" s="4" t="s">
        <v>2701</v>
      </c>
      <c r="O1804" s="4" t="s">
        <v>196</v>
      </c>
      <c r="P1804" s="4" t="s">
        <v>196</v>
      </c>
      <c r="Q1804" s="4" t="s">
        <v>100</v>
      </c>
    </row>
    <row r="1805" spans="1:17" hidden="1" x14ac:dyDescent="0.2">
      <c r="A1805" s="4">
        <v>331</v>
      </c>
      <c r="B1805" s="2">
        <v>0</v>
      </c>
      <c r="C1805" s="2">
        <v>0</v>
      </c>
      <c r="D1805" s="4" t="s">
        <v>6745</v>
      </c>
      <c r="E1805" s="2">
        <v>0</v>
      </c>
      <c r="F1805" s="2">
        <v>0</v>
      </c>
      <c r="G1805" s="2">
        <v>0</v>
      </c>
      <c r="H1805" s="4">
        <v>0</v>
      </c>
      <c r="I1805" s="4">
        <v>0</v>
      </c>
      <c r="J1805" s="4">
        <v>0</v>
      </c>
      <c r="K1805" s="4">
        <v>0</v>
      </c>
      <c r="L1805" s="4" t="s">
        <v>6743</v>
      </c>
      <c r="M1805" s="4" t="s">
        <v>6744</v>
      </c>
      <c r="N1805" s="4" t="s">
        <v>236</v>
      </c>
      <c r="O1805" s="4" t="s">
        <v>1891</v>
      </c>
      <c r="P1805" s="4" t="s">
        <v>1891</v>
      </c>
      <c r="Q1805" s="4" t="s">
        <v>1378</v>
      </c>
    </row>
    <row r="1806" spans="1:17" hidden="1" x14ac:dyDescent="0.2">
      <c r="A1806" s="4">
        <v>338</v>
      </c>
      <c r="B1806" s="2">
        <v>0</v>
      </c>
      <c r="C1806" s="2">
        <v>0</v>
      </c>
      <c r="D1806" s="4" t="s">
        <v>6748</v>
      </c>
      <c r="E1806" s="2">
        <v>0</v>
      </c>
      <c r="F1806" s="2">
        <v>0</v>
      </c>
      <c r="G1806" s="2">
        <v>0</v>
      </c>
      <c r="H1806" s="4">
        <v>0</v>
      </c>
      <c r="I1806" s="4">
        <v>0</v>
      </c>
      <c r="J1806" s="4">
        <v>0</v>
      </c>
      <c r="K1806" s="4">
        <v>0</v>
      </c>
      <c r="L1806" s="4" t="s">
        <v>6746</v>
      </c>
      <c r="M1806" s="4" t="s">
        <v>6747</v>
      </c>
      <c r="N1806" s="4" t="s">
        <v>2135</v>
      </c>
      <c r="O1806" s="4" t="s">
        <v>1039</v>
      </c>
      <c r="P1806" s="4" t="s">
        <v>1039</v>
      </c>
      <c r="Q1806" s="4" t="s">
        <v>100</v>
      </c>
    </row>
    <row r="1807" spans="1:17" hidden="1" x14ac:dyDescent="0.2">
      <c r="A1807" s="4">
        <v>340</v>
      </c>
      <c r="B1807" s="2">
        <v>0</v>
      </c>
      <c r="C1807" s="2">
        <v>0</v>
      </c>
      <c r="D1807" s="4" t="s">
        <v>6751</v>
      </c>
      <c r="E1807" s="2">
        <v>0</v>
      </c>
      <c r="F1807" s="2">
        <v>0</v>
      </c>
      <c r="G1807" s="2">
        <v>0</v>
      </c>
      <c r="H1807" s="4">
        <v>0</v>
      </c>
      <c r="I1807" s="4">
        <v>0</v>
      </c>
      <c r="J1807" s="4">
        <v>0</v>
      </c>
      <c r="K1807" s="4">
        <v>0</v>
      </c>
      <c r="L1807" s="4" t="s">
        <v>6749</v>
      </c>
      <c r="M1807" s="4" t="s">
        <v>6750</v>
      </c>
      <c r="N1807" s="4" t="s">
        <v>20</v>
      </c>
      <c r="O1807" s="4" t="s">
        <v>900</v>
      </c>
      <c r="P1807" s="4" t="s">
        <v>900</v>
      </c>
      <c r="Q1807" s="4" t="s">
        <v>408</v>
      </c>
    </row>
    <row r="1808" spans="1:17" hidden="1" x14ac:dyDescent="0.2">
      <c r="A1808" s="4">
        <v>344</v>
      </c>
      <c r="B1808" s="2">
        <v>0</v>
      </c>
      <c r="C1808" s="2">
        <v>0</v>
      </c>
      <c r="D1808" s="4" t="s">
        <v>6754</v>
      </c>
      <c r="E1808" s="2">
        <v>0</v>
      </c>
      <c r="F1808" s="2">
        <v>0</v>
      </c>
      <c r="G1808" s="2">
        <v>0</v>
      </c>
      <c r="H1808" s="4">
        <v>0</v>
      </c>
      <c r="I1808" s="4">
        <v>0</v>
      </c>
      <c r="J1808" s="4">
        <v>0</v>
      </c>
      <c r="K1808" s="4">
        <v>0</v>
      </c>
      <c r="L1808" s="4" t="s">
        <v>6752</v>
      </c>
      <c r="M1808" s="4" t="s">
        <v>6753</v>
      </c>
      <c r="N1808" s="4" t="s">
        <v>245</v>
      </c>
      <c r="O1808" s="4" t="s">
        <v>237</v>
      </c>
      <c r="P1808" s="4" t="s">
        <v>237</v>
      </c>
      <c r="Q1808" s="4" t="s">
        <v>28</v>
      </c>
    </row>
    <row r="1809" spans="1:17" hidden="1" x14ac:dyDescent="0.2">
      <c r="A1809" s="4">
        <v>345</v>
      </c>
      <c r="B1809" s="2">
        <v>0</v>
      </c>
      <c r="C1809" s="2">
        <v>0</v>
      </c>
      <c r="D1809" s="4" t="s">
        <v>6756</v>
      </c>
      <c r="E1809" s="2">
        <v>0</v>
      </c>
      <c r="F1809" s="2">
        <v>0</v>
      </c>
      <c r="G1809" s="2">
        <v>0</v>
      </c>
      <c r="H1809" s="4">
        <v>0</v>
      </c>
      <c r="I1809" s="4">
        <v>0</v>
      </c>
      <c r="J1809" s="4">
        <v>0</v>
      </c>
      <c r="K1809" s="4">
        <v>0</v>
      </c>
      <c r="L1809" s="4" t="s">
        <v>6755</v>
      </c>
      <c r="M1809" s="4" t="s">
        <v>6753</v>
      </c>
      <c r="N1809" s="4" t="s">
        <v>245</v>
      </c>
      <c r="O1809" s="4" t="s">
        <v>237</v>
      </c>
      <c r="P1809" s="4" t="s">
        <v>237</v>
      </c>
      <c r="Q1809" s="4" t="s">
        <v>28</v>
      </c>
    </row>
    <row r="1810" spans="1:17" hidden="1" x14ac:dyDescent="0.2">
      <c r="A1810" s="4">
        <v>346</v>
      </c>
      <c r="B1810" s="2">
        <v>0</v>
      </c>
      <c r="C1810" s="2">
        <v>0</v>
      </c>
      <c r="D1810" s="4" t="s">
        <v>6758</v>
      </c>
      <c r="E1810" s="2">
        <v>0</v>
      </c>
      <c r="F1810" s="2">
        <v>0</v>
      </c>
      <c r="G1810" s="2">
        <v>0</v>
      </c>
      <c r="H1810" s="4">
        <v>0</v>
      </c>
      <c r="I1810" s="4">
        <v>0</v>
      </c>
      <c r="J1810" s="4">
        <v>0</v>
      </c>
      <c r="K1810" s="4">
        <v>0</v>
      </c>
      <c r="L1810" s="4" t="s">
        <v>6757</v>
      </c>
      <c r="M1810" s="4" t="s">
        <v>6753</v>
      </c>
      <c r="N1810" s="4" t="s">
        <v>245</v>
      </c>
      <c r="O1810" s="4" t="s">
        <v>237</v>
      </c>
      <c r="P1810" s="4" t="s">
        <v>237</v>
      </c>
      <c r="Q1810" s="4" t="s">
        <v>28</v>
      </c>
    </row>
    <row r="1811" spans="1:17" hidden="1" x14ac:dyDescent="0.2">
      <c r="A1811" s="4">
        <v>350</v>
      </c>
      <c r="B1811" s="2">
        <v>0</v>
      </c>
      <c r="C1811" s="2">
        <v>0</v>
      </c>
      <c r="D1811" s="4" t="s">
        <v>4467</v>
      </c>
      <c r="E1811" s="2">
        <v>0</v>
      </c>
      <c r="F1811" s="2">
        <v>0</v>
      </c>
      <c r="G1811" s="2">
        <v>0</v>
      </c>
      <c r="H1811" s="4">
        <v>0</v>
      </c>
      <c r="I1811" s="4">
        <v>0</v>
      </c>
      <c r="J1811" s="4">
        <v>0</v>
      </c>
      <c r="K1811" s="4">
        <v>0</v>
      </c>
      <c r="L1811" s="4" t="s">
        <v>4465</v>
      </c>
      <c r="M1811" s="4" t="s">
        <v>4466</v>
      </c>
      <c r="N1811" s="4" t="s">
        <v>20</v>
      </c>
      <c r="O1811" s="4" t="s">
        <v>71</v>
      </c>
      <c r="P1811" s="4" t="s">
        <v>71</v>
      </c>
      <c r="Q1811" s="4" t="s">
        <v>100</v>
      </c>
    </row>
    <row r="1812" spans="1:17" hidden="1" x14ac:dyDescent="0.2">
      <c r="A1812" s="4">
        <v>352</v>
      </c>
      <c r="B1812" s="2">
        <v>0</v>
      </c>
      <c r="C1812" s="2">
        <v>0</v>
      </c>
      <c r="D1812" s="4" t="s">
        <v>6761</v>
      </c>
      <c r="E1812" s="2">
        <v>0</v>
      </c>
      <c r="F1812" s="2">
        <v>0</v>
      </c>
      <c r="G1812" s="2">
        <v>0</v>
      </c>
      <c r="H1812" s="4">
        <v>0</v>
      </c>
      <c r="I1812" s="4">
        <v>0</v>
      </c>
      <c r="J1812" s="4">
        <v>0</v>
      </c>
      <c r="K1812" s="4">
        <v>0</v>
      </c>
      <c r="L1812" s="4" t="s">
        <v>6759</v>
      </c>
      <c r="M1812" s="4" t="s">
        <v>6760</v>
      </c>
      <c r="N1812" s="4" t="s">
        <v>332</v>
      </c>
      <c r="O1812" s="4" t="s">
        <v>1127</v>
      </c>
      <c r="P1812" s="4" t="s">
        <v>1127</v>
      </c>
      <c r="Q1812" s="4" t="s">
        <v>100</v>
      </c>
    </row>
    <row r="1813" spans="1:17" hidden="1" x14ac:dyDescent="0.2">
      <c r="A1813" s="4">
        <v>368</v>
      </c>
      <c r="B1813" s="2">
        <v>0</v>
      </c>
      <c r="C1813" s="2">
        <v>0</v>
      </c>
      <c r="D1813" s="4" t="s">
        <v>6764</v>
      </c>
      <c r="E1813" s="2">
        <v>0</v>
      </c>
      <c r="F1813" s="2">
        <v>0</v>
      </c>
      <c r="G1813" s="2">
        <v>0</v>
      </c>
      <c r="H1813" s="4">
        <v>0</v>
      </c>
      <c r="I1813" s="4">
        <v>0</v>
      </c>
      <c r="J1813" s="4">
        <v>0</v>
      </c>
      <c r="K1813" s="4">
        <v>0</v>
      </c>
      <c r="L1813" s="4" t="s">
        <v>6762</v>
      </c>
      <c r="M1813" s="4" t="s">
        <v>6763</v>
      </c>
      <c r="N1813" s="4" t="s">
        <v>20</v>
      </c>
      <c r="O1813" s="4" t="s">
        <v>76</v>
      </c>
      <c r="P1813" s="4" t="s">
        <v>76</v>
      </c>
      <c r="Q1813" s="4" t="s">
        <v>100</v>
      </c>
    </row>
    <row r="1814" spans="1:17" hidden="1" x14ac:dyDescent="0.2">
      <c r="A1814" s="4">
        <v>372</v>
      </c>
      <c r="B1814" s="2">
        <v>0</v>
      </c>
      <c r="C1814" s="2">
        <v>0</v>
      </c>
      <c r="D1814" s="4" t="s">
        <v>6767</v>
      </c>
      <c r="E1814" s="2">
        <v>0</v>
      </c>
      <c r="F1814" s="2">
        <v>0</v>
      </c>
      <c r="G1814" s="2">
        <v>0</v>
      </c>
      <c r="H1814" s="4">
        <v>0</v>
      </c>
      <c r="I1814" s="4">
        <v>0</v>
      </c>
      <c r="J1814" s="4">
        <v>0</v>
      </c>
      <c r="K1814" s="4">
        <v>0</v>
      </c>
      <c r="L1814" s="4" t="s">
        <v>6765</v>
      </c>
      <c r="M1814" s="4" t="s">
        <v>6766</v>
      </c>
      <c r="N1814" s="4" t="s">
        <v>20</v>
      </c>
      <c r="O1814" s="4" t="s">
        <v>900</v>
      </c>
      <c r="P1814" s="4" t="s">
        <v>900</v>
      </c>
      <c r="Q1814" s="4" t="s">
        <v>144</v>
      </c>
    </row>
    <row r="1815" spans="1:17" hidden="1" x14ac:dyDescent="0.2">
      <c r="A1815" s="4">
        <v>373</v>
      </c>
      <c r="B1815" s="2">
        <v>0</v>
      </c>
      <c r="C1815" s="2">
        <v>0</v>
      </c>
      <c r="D1815" s="4" t="s">
        <v>6770</v>
      </c>
      <c r="E1815" s="2">
        <v>0</v>
      </c>
      <c r="F1815" s="2">
        <v>0</v>
      </c>
      <c r="G1815" s="2">
        <v>0</v>
      </c>
      <c r="H1815" s="4">
        <v>0</v>
      </c>
      <c r="I1815" s="4">
        <v>0</v>
      </c>
      <c r="J1815" s="4">
        <v>0</v>
      </c>
      <c r="K1815" s="4">
        <v>0</v>
      </c>
      <c r="L1815" s="4" t="s">
        <v>6768</v>
      </c>
      <c r="M1815" s="4" t="s">
        <v>6769</v>
      </c>
      <c r="N1815" s="4" t="s">
        <v>46</v>
      </c>
      <c r="O1815" s="4" t="s">
        <v>900</v>
      </c>
      <c r="P1815" s="4" t="s">
        <v>900</v>
      </c>
      <c r="Q1815" s="4" t="s">
        <v>144</v>
      </c>
    </row>
    <row r="1816" spans="1:17" hidden="1" x14ac:dyDescent="0.2">
      <c r="A1816" s="4">
        <v>382</v>
      </c>
      <c r="B1816" s="2">
        <v>0</v>
      </c>
      <c r="C1816" s="2">
        <v>0</v>
      </c>
      <c r="D1816" s="4" t="s">
        <v>6773</v>
      </c>
      <c r="E1816" s="2">
        <v>0</v>
      </c>
      <c r="F1816" s="2">
        <v>0</v>
      </c>
      <c r="G1816" s="2">
        <v>0</v>
      </c>
      <c r="H1816" s="4">
        <v>0</v>
      </c>
      <c r="I1816" s="4">
        <v>0</v>
      </c>
      <c r="J1816" s="4">
        <v>0</v>
      </c>
      <c r="K1816" s="4">
        <v>0</v>
      </c>
      <c r="L1816" s="4" t="s">
        <v>6771</v>
      </c>
      <c r="M1816" s="4" t="s">
        <v>6772</v>
      </c>
      <c r="N1816" s="4" t="s">
        <v>6774</v>
      </c>
      <c r="O1816" s="4" t="s">
        <v>206</v>
      </c>
      <c r="P1816" s="4" t="s">
        <v>206</v>
      </c>
      <c r="Q1816" s="4" t="s">
        <v>100</v>
      </c>
    </row>
    <row r="1817" spans="1:17" hidden="1" x14ac:dyDescent="0.2">
      <c r="A1817" s="4">
        <v>383</v>
      </c>
      <c r="B1817" s="2">
        <v>0</v>
      </c>
      <c r="C1817" s="2">
        <v>0</v>
      </c>
      <c r="D1817" s="4" t="s">
        <v>6777</v>
      </c>
      <c r="E1817" s="2">
        <v>0</v>
      </c>
      <c r="F1817" s="2">
        <v>0</v>
      </c>
      <c r="G1817" s="2">
        <v>0</v>
      </c>
      <c r="H1817" s="4">
        <v>0</v>
      </c>
      <c r="I1817" s="4">
        <v>0</v>
      </c>
      <c r="J1817" s="4">
        <v>0</v>
      </c>
      <c r="K1817" s="4">
        <v>0</v>
      </c>
      <c r="L1817" s="4" t="s">
        <v>6775</v>
      </c>
      <c r="M1817" s="4" t="s">
        <v>6776</v>
      </c>
      <c r="N1817" s="4" t="s">
        <v>599</v>
      </c>
      <c r="O1817" s="4" t="s">
        <v>559</v>
      </c>
      <c r="P1817" s="4" t="s">
        <v>559</v>
      </c>
      <c r="Q1817" s="4" t="s">
        <v>100</v>
      </c>
    </row>
    <row r="1818" spans="1:17" hidden="1" x14ac:dyDescent="0.2">
      <c r="A1818" s="4">
        <v>386</v>
      </c>
      <c r="B1818" s="2">
        <v>0</v>
      </c>
      <c r="C1818" s="2">
        <v>0</v>
      </c>
      <c r="D1818" s="4" t="s">
        <v>6780</v>
      </c>
      <c r="E1818" s="2">
        <v>0</v>
      </c>
      <c r="F1818" s="2">
        <v>0</v>
      </c>
      <c r="G1818" s="2">
        <v>0</v>
      </c>
      <c r="H1818" s="4">
        <v>0</v>
      </c>
      <c r="I1818" s="4">
        <v>0</v>
      </c>
      <c r="J1818" s="4">
        <v>0</v>
      </c>
      <c r="K1818" s="4">
        <v>0</v>
      </c>
      <c r="L1818" s="4" t="s">
        <v>6778</v>
      </c>
      <c r="M1818" s="4" t="s">
        <v>6779</v>
      </c>
      <c r="N1818" s="4" t="s">
        <v>92</v>
      </c>
      <c r="O1818" s="4" t="s">
        <v>93</v>
      </c>
      <c r="P1818" s="4" t="s">
        <v>93</v>
      </c>
      <c r="Q1818" s="4" t="s">
        <v>100</v>
      </c>
    </row>
    <row r="1819" spans="1:17" hidden="1" x14ac:dyDescent="0.2">
      <c r="A1819" s="4">
        <v>400</v>
      </c>
      <c r="B1819" s="2">
        <v>0</v>
      </c>
      <c r="C1819" s="2">
        <v>0</v>
      </c>
      <c r="D1819" s="4" t="s">
        <v>6783</v>
      </c>
      <c r="E1819" s="2">
        <v>0</v>
      </c>
      <c r="F1819" s="2">
        <v>0</v>
      </c>
      <c r="G1819" s="2">
        <v>0</v>
      </c>
      <c r="H1819" s="4">
        <v>0</v>
      </c>
      <c r="I1819" s="4">
        <v>0</v>
      </c>
      <c r="J1819" s="4">
        <v>0</v>
      </c>
      <c r="K1819" s="4">
        <v>0</v>
      </c>
      <c r="L1819" s="4" t="s">
        <v>6781</v>
      </c>
      <c r="M1819" s="4" t="s">
        <v>6782</v>
      </c>
      <c r="N1819" s="4"/>
      <c r="O1819" s="4" t="s">
        <v>3938</v>
      </c>
      <c r="P1819" s="4" t="s">
        <v>3938</v>
      </c>
      <c r="Q1819" s="4" t="s">
        <v>1378</v>
      </c>
    </row>
    <row r="1820" spans="1:17" hidden="1" x14ac:dyDescent="0.2">
      <c r="A1820" s="4">
        <v>406</v>
      </c>
      <c r="B1820" s="2">
        <v>0</v>
      </c>
      <c r="C1820" s="2">
        <v>0</v>
      </c>
      <c r="D1820" s="4" t="s">
        <v>5120</v>
      </c>
      <c r="E1820" s="2">
        <v>0</v>
      </c>
      <c r="F1820" s="2">
        <v>0</v>
      </c>
      <c r="G1820" s="2">
        <v>0</v>
      </c>
      <c r="H1820" s="4">
        <v>0</v>
      </c>
      <c r="I1820" s="4">
        <v>0</v>
      </c>
      <c r="J1820" s="4">
        <v>0</v>
      </c>
      <c r="K1820" s="4">
        <v>0</v>
      </c>
      <c r="L1820" s="4" t="s">
        <v>5118</v>
      </c>
      <c r="M1820" s="4" t="s">
        <v>5119</v>
      </c>
      <c r="N1820" s="4" t="s">
        <v>20</v>
      </c>
      <c r="O1820" s="4" t="s">
        <v>1157</v>
      </c>
      <c r="P1820" s="4" t="s">
        <v>1157</v>
      </c>
      <c r="Q1820" s="4" t="s">
        <v>100</v>
      </c>
    </row>
    <row r="1821" spans="1:17" hidden="1" x14ac:dyDescent="0.2">
      <c r="A1821" s="4">
        <v>407</v>
      </c>
      <c r="B1821" s="2">
        <v>0</v>
      </c>
      <c r="C1821" s="2">
        <v>0</v>
      </c>
      <c r="D1821" s="4" t="s">
        <v>6786</v>
      </c>
      <c r="E1821" s="2">
        <v>0</v>
      </c>
      <c r="F1821" s="2">
        <v>0</v>
      </c>
      <c r="G1821" s="2">
        <v>0</v>
      </c>
      <c r="H1821" s="4">
        <v>0</v>
      </c>
      <c r="I1821" s="4">
        <v>0</v>
      </c>
      <c r="J1821" s="4">
        <v>0</v>
      </c>
      <c r="K1821" s="4">
        <v>0</v>
      </c>
      <c r="L1821" s="4" t="s">
        <v>6784</v>
      </c>
      <c r="M1821" s="4" t="s">
        <v>6785</v>
      </c>
      <c r="N1821" s="4" t="s">
        <v>20</v>
      </c>
      <c r="O1821" s="4" t="s">
        <v>76</v>
      </c>
      <c r="P1821" s="4" t="s">
        <v>76</v>
      </c>
      <c r="Q1821" s="4" t="s">
        <v>1378</v>
      </c>
    </row>
    <row r="1822" spans="1:17" hidden="1" x14ac:dyDescent="0.2">
      <c r="A1822" s="4">
        <v>408</v>
      </c>
      <c r="B1822" s="2">
        <v>0</v>
      </c>
      <c r="C1822" s="2">
        <v>0</v>
      </c>
      <c r="D1822" s="4" t="s">
        <v>6789</v>
      </c>
      <c r="E1822" s="2">
        <v>0</v>
      </c>
      <c r="F1822" s="2">
        <v>0</v>
      </c>
      <c r="G1822" s="2">
        <v>0</v>
      </c>
      <c r="H1822" s="4">
        <v>0</v>
      </c>
      <c r="I1822" s="4">
        <v>0</v>
      </c>
      <c r="J1822" s="4">
        <v>0</v>
      </c>
      <c r="K1822" s="4">
        <v>0</v>
      </c>
      <c r="L1822" s="4" t="s">
        <v>6787</v>
      </c>
      <c r="M1822" s="4" t="s">
        <v>6788</v>
      </c>
      <c r="N1822" s="4" t="s">
        <v>20</v>
      </c>
      <c r="O1822" s="4" t="s">
        <v>900</v>
      </c>
      <c r="P1822" s="4" t="s">
        <v>900</v>
      </c>
      <c r="Q1822" s="4" t="s">
        <v>408</v>
      </c>
    </row>
    <row r="1823" spans="1:17" hidden="1" x14ac:dyDescent="0.2">
      <c r="A1823" s="4">
        <v>409</v>
      </c>
      <c r="B1823" s="2">
        <v>0</v>
      </c>
      <c r="C1823" s="2">
        <v>0</v>
      </c>
      <c r="D1823" s="4" t="s">
        <v>6792</v>
      </c>
      <c r="E1823" s="2">
        <v>0</v>
      </c>
      <c r="F1823" s="2">
        <v>0</v>
      </c>
      <c r="G1823" s="2">
        <v>0</v>
      </c>
      <c r="H1823" s="4">
        <v>0</v>
      </c>
      <c r="I1823" s="4">
        <v>0</v>
      </c>
      <c r="J1823" s="4">
        <v>0</v>
      </c>
      <c r="K1823" s="4">
        <v>0</v>
      </c>
      <c r="L1823" s="4" t="s">
        <v>6790</v>
      </c>
      <c r="M1823" s="4" t="s">
        <v>6791</v>
      </c>
      <c r="N1823" s="4" t="s">
        <v>20</v>
      </c>
      <c r="O1823" s="4" t="s">
        <v>316</v>
      </c>
      <c r="P1823" s="4" t="s">
        <v>316</v>
      </c>
      <c r="Q1823" s="4" t="s">
        <v>100</v>
      </c>
    </row>
    <row r="1824" spans="1:17" hidden="1" x14ac:dyDescent="0.2">
      <c r="A1824" s="4">
        <v>436</v>
      </c>
      <c r="B1824" s="2">
        <v>0</v>
      </c>
      <c r="C1824" s="2">
        <v>0</v>
      </c>
      <c r="D1824" s="4" t="s">
        <v>6795</v>
      </c>
      <c r="E1824" s="2">
        <v>0</v>
      </c>
      <c r="F1824" s="2">
        <v>0</v>
      </c>
      <c r="G1824" s="2">
        <v>0</v>
      </c>
      <c r="H1824" s="4">
        <v>0</v>
      </c>
      <c r="I1824" s="4">
        <v>0</v>
      </c>
      <c r="J1824" s="4">
        <v>0</v>
      </c>
      <c r="K1824" s="4">
        <v>0</v>
      </c>
      <c r="L1824" s="4" t="s">
        <v>6793</v>
      </c>
      <c r="M1824" s="4" t="s">
        <v>6794</v>
      </c>
      <c r="N1824" s="4" t="s">
        <v>20</v>
      </c>
      <c r="O1824" s="4" t="s">
        <v>3938</v>
      </c>
      <c r="P1824" s="4" t="s">
        <v>3938</v>
      </c>
      <c r="Q1824" s="4" t="s">
        <v>1378</v>
      </c>
    </row>
    <row r="1825" spans="1:17" hidden="1" x14ac:dyDescent="0.2">
      <c r="A1825" s="4">
        <v>438</v>
      </c>
      <c r="B1825" s="2">
        <v>0</v>
      </c>
      <c r="C1825" s="2">
        <v>0</v>
      </c>
      <c r="D1825" s="4" t="s">
        <v>6798</v>
      </c>
      <c r="E1825" s="2">
        <v>0</v>
      </c>
      <c r="F1825" s="2">
        <v>0</v>
      </c>
      <c r="G1825" s="2">
        <v>0</v>
      </c>
      <c r="H1825" s="4">
        <v>0</v>
      </c>
      <c r="I1825" s="4">
        <v>0</v>
      </c>
      <c r="J1825" s="4">
        <v>0</v>
      </c>
      <c r="K1825" s="4">
        <v>0</v>
      </c>
      <c r="L1825" s="4" t="s">
        <v>6796</v>
      </c>
      <c r="M1825" s="4" t="s">
        <v>6797</v>
      </c>
      <c r="N1825" s="4" t="s">
        <v>368</v>
      </c>
      <c r="O1825" s="4" t="s">
        <v>3938</v>
      </c>
      <c r="P1825" s="4" t="s">
        <v>3938</v>
      </c>
      <c r="Q1825" s="4" t="s">
        <v>1378</v>
      </c>
    </row>
    <row r="1826" spans="1:17" hidden="1" x14ac:dyDescent="0.2">
      <c r="A1826" s="4">
        <v>442</v>
      </c>
      <c r="B1826" s="2">
        <v>0</v>
      </c>
      <c r="C1826" s="2">
        <v>0</v>
      </c>
      <c r="D1826" s="4" t="s">
        <v>6801</v>
      </c>
      <c r="E1826" s="2">
        <v>0</v>
      </c>
      <c r="F1826" s="2">
        <v>0</v>
      </c>
      <c r="G1826" s="2">
        <v>0</v>
      </c>
      <c r="H1826" s="4">
        <v>0</v>
      </c>
      <c r="I1826" s="4">
        <v>0</v>
      </c>
      <c r="J1826" s="4">
        <v>0</v>
      </c>
      <c r="K1826" s="4">
        <v>0</v>
      </c>
      <c r="L1826" s="4" t="s">
        <v>6799</v>
      </c>
      <c r="M1826" s="4" t="s">
        <v>6800</v>
      </c>
      <c r="N1826" s="4" t="s">
        <v>20</v>
      </c>
      <c r="O1826" s="4" t="s">
        <v>1891</v>
      </c>
      <c r="P1826" s="4" t="s">
        <v>1891</v>
      </c>
      <c r="Q1826" s="4" t="s">
        <v>1378</v>
      </c>
    </row>
    <row r="1827" spans="1:17" hidden="1" x14ac:dyDescent="0.2">
      <c r="A1827" s="4">
        <v>450</v>
      </c>
      <c r="B1827" s="2">
        <v>0</v>
      </c>
      <c r="C1827" s="2">
        <v>0</v>
      </c>
      <c r="D1827" s="4" t="s">
        <v>6804</v>
      </c>
      <c r="E1827" s="2">
        <v>0</v>
      </c>
      <c r="F1827" s="2">
        <v>0</v>
      </c>
      <c r="G1827" s="2">
        <v>0</v>
      </c>
      <c r="H1827" s="4">
        <v>0</v>
      </c>
      <c r="I1827" s="4">
        <v>0</v>
      </c>
      <c r="J1827" s="4">
        <v>0</v>
      </c>
      <c r="K1827" s="4">
        <v>0</v>
      </c>
      <c r="L1827" s="4" t="s">
        <v>6802</v>
      </c>
      <c r="M1827" s="4" t="s">
        <v>6803</v>
      </c>
      <c r="N1827" s="4"/>
      <c r="O1827" s="4" t="s">
        <v>3938</v>
      </c>
      <c r="P1827" s="4" t="s">
        <v>3938</v>
      </c>
      <c r="Q1827" s="4" t="s">
        <v>1378</v>
      </c>
    </row>
    <row r="1828" spans="1:17" hidden="1" x14ac:dyDescent="0.2">
      <c r="A1828" s="4">
        <v>455</v>
      </c>
      <c r="B1828" s="2">
        <v>0</v>
      </c>
      <c r="C1828" s="2">
        <v>0</v>
      </c>
      <c r="D1828" s="4" t="s">
        <v>6807</v>
      </c>
      <c r="E1828" s="2">
        <v>0</v>
      </c>
      <c r="F1828" s="2">
        <v>0</v>
      </c>
      <c r="G1828" s="2">
        <v>0</v>
      </c>
      <c r="H1828" s="4">
        <v>0</v>
      </c>
      <c r="I1828" s="4">
        <v>0</v>
      </c>
      <c r="J1828" s="4">
        <v>0</v>
      </c>
      <c r="K1828" s="4">
        <v>0</v>
      </c>
      <c r="L1828" s="4" t="s">
        <v>6805</v>
      </c>
      <c r="M1828" s="4" t="s">
        <v>6806</v>
      </c>
      <c r="N1828" s="4" t="s">
        <v>20</v>
      </c>
      <c r="O1828" s="4" t="s">
        <v>1517</v>
      </c>
      <c r="P1828" s="4" t="s">
        <v>1039</v>
      </c>
      <c r="Q1828" s="4" t="s">
        <v>100</v>
      </c>
    </row>
    <row r="1829" spans="1:17" hidden="1" x14ac:dyDescent="0.2">
      <c r="A1829" s="4">
        <v>462</v>
      </c>
      <c r="B1829" s="2">
        <v>0</v>
      </c>
      <c r="C1829" s="2">
        <v>0</v>
      </c>
      <c r="D1829" s="4" t="s">
        <v>1509</v>
      </c>
      <c r="E1829" s="2">
        <v>0</v>
      </c>
      <c r="F1829" s="2">
        <v>0</v>
      </c>
      <c r="G1829" s="2">
        <v>0</v>
      </c>
      <c r="H1829" s="4">
        <v>0</v>
      </c>
      <c r="I1829" s="4">
        <v>0</v>
      </c>
      <c r="J1829" s="4">
        <v>0</v>
      </c>
      <c r="K1829" s="4">
        <v>0</v>
      </c>
      <c r="L1829" s="4" t="s">
        <v>1507</v>
      </c>
      <c r="M1829" s="4" t="s">
        <v>1508</v>
      </c>
      <c r="N1829" s="4" t="s">
        <v>1510</v>
      </c>
      <c r="O1829" s="4" t="s">
        <v>89</v>
      </c>
      <c r="P1829" s="4" t="s">
        <v>89</v>
      </c>
      <c r="Q1829" s="4" t="s">
        <v>100</v>
      </c>
    </row>
    <row r="1830" spans="1:17" hidden="1" x14ac:dyDescent="0.2">
      <c r="A1830" s="4">
        <v>487</v>
      </c>
      <c r="B1830" s="2">
        <v>0</v>
      </c>
      <c r="C1830" s="2">
        <v>0</v>
      </c>
      <c r="D1830" s="4" t="s">
        <v>6810</v>
      </c>
      <c r="E1830" s="2">
        <v>0</v>
      </c>
      <c r="F1830" s="2">
        <v>0</v>
      </c>
      <c r="G1830" s="2">
        <v>0</v>
      </c>
      <c r="H1830" s="4">
        <v>0</v>
      </c>
      <c r="I1830" s="4">
        <v>0</v>
      </c>
      <c r="J1830" s="4">
        <v>0</v>
      </c>
      <c r="K1830" s="4">
        <v>0</v>
      </c>
      <c r="L1830" s="4" t="s">
        <v>6808</v>
      </c>
      <c r="M1830" s="4" t="s">
        <v>6809</v>
      </c>
      <c r="N1830" s="4" t="s">
        <v>2701</v>
      </c>
      <c r="O1830" s="4" t="s">
        <v>196</v>
      </c>
      <c r="P1830" s="4" t="s">
        <v>196</v>
      </c>
      <c r="Q1830" s="4" t="s">
        <v>100</v>
      </c>
    </row>
    <row r="1831" spans="1:17" hidden="1" x14ac:dyDescent="0.2">
      <c r="A1831" s="4">
        <v>494</v>
      </c>
      <c r="B1831" s="2">
        <v>0</v>
      </c>
      <c r="C1831" s="2">
        <v>0</v>
      </c>
      <c r="D1831" s="4" t="s">
        <v>6813</v>
      </c>
      <c r="E1831" s="2">
        <v>0</v>
      </c>
      <c r="F1831" s="2">
        <v>0</v>
      </c>
      <c r="G1831" s="2">
        <v>0</v>
      </c>
      <c r="H1831" s="4">
        <v>0</v>
      </c>
      <c r="I1831" s="4">
        <v>0</v>
      </c>
      <c r="J1831" s="4">
        <v>0</v>
      </c>
      <c r="K1831" s="4">
        <v>0</v>
      </c>
      <c r="L1831" s="4" t="s">
        <v>6811</v>
      </c>
      <c r="M1831" s="4" t="s">
        <v>6812</v>
      </c>
      <c r="N1831" s="4" t="s">
        <v>20</v>
      </c>
      <c r="O1831" s="4" t="s">
        <v>3938</v>
      </c>
      <c r="P1831" s="4" t="s">
        <v>3938</v>
      </c>
      <c r="Q1831" s="4" t="s">
        <v>1378</v>
      </c>
    </row>
    <row r="1832" spans="1:17" hidden="1" x14ac:dyDescent="0.2">
      <c r="A1832" s="4">
        <v>498</v>
      </c>
      <c r="B1832" s="2">
        <v>0</v>
      </c>
      <c r="C1832" s="2">
        <v>0</v>
      </c>
      <c r="D1832" s="4" t="s">
        <v>6816</v>
      </c>
      <c r="E1832" s="2">
        <v>0</v>
      </c>
      <c r="F1832" s="2">
        <v>0</v>
      </c>
      <c r="G1832" s="2">
        <v>0</v>
      </c>
      <c r="H1832" s="4">
        <v>0</v>
      </c>
      <c r="I1832" s="4">
        <v>0</v>
      </c>
      <c r="J1832" s="4">
        <v>0</v>
      </c>
      <c r="K1832" s="4">
        <v>0</v>
      </c>
      <c r="L1832" s="4" t="s">
        <v>6814</v>
      </c>
      <c r="M1832" s="4" t="s">
        <v>6815</v>
      </c>
      <c r="N1832" s="4" t="s">
        <v>20</v>
      </c>
      <c r="O1832" s="4" t="s">
        <v>1891</v>
      </c>
      <c r="P1832" s="4" t="s">
        <v>1891</v>
      </c>
      <c r="Q1832" s="4" t="s">
        <v>100</v>
      </c>
    </row>
    <row r="1833" spans="1:17" hidden="1" x14ac:dyDescent="0.2">
      <c r="A1833" s="4">
        <v>508</v>
      </c>
      <c r="B1833" s="2">
        <v>0</v>
      </c>
      <c r="C1833" s="2">
        <v>0</v>
      </c>
      <c r="D1833" s="4" t="s">
        <v>6819</v>
      </c>
      <c r="E1833" s="2">
        <v>0</v>
      </c>
      <c r="F1833" s="2">
        <v>0</v>
      </c>
      <c r="G1833" s="2">
        <v>0</v>
      </c>
      <c r="H1833" s="4">
        <v>0</v>
      </c>
      <c r="I1833" s="4">
        <v>0</v>
      </c>
      <c r="J1833" s="4">
        <v>0</v>
      </c>
      <c r="K1833" s="4">
        <v>0</v>
      </c>
      <c r="L1833" s="4" t="s">
        <v>6817</v>
      </c>
      <c r="M1833" s="4" t="s">
        <v>6818</v>
      </c>
      <c r="N1833" s="4" t="s">
        <v>1690</v>
      </c>
      <c r="O1833" s="4" t="s">
        <v>382</v>
      </c>
      <c r="P1833" s="4" t="s">
        <v>382</v>
      </c>
      <c r="Q1833" s="4" t="s">
        <v>100</v>
      </c>
    </row>
    <row r="1834" spans="1:17" hidden="1" x14ac:dyDescent="0.2">
      <c r="A1834" s="4">
        <v>511</v>
      </c>
      <c r="B1834" s="2">
        <v>0</v>
      </c>
      <c r="C1834" s="2">
        <v>0</v>
      </c>
      <c r="D1834" s="4" t="s">
        <v>6822</v>
      </c>
      <c r="E1834" s="2">
        <v>0</v>
      </c>
      <c r="F1834" s="2">
        <v>0</v>
      </c>
      <c r="G1834" s="2">
        <v>0</v>
      </c>
      <c r="H1834" s="4">
        <v>0</v>
      </c>
      <c r="I1834" s="4">
        <v>0</v>
      </c>
      <c r="J1834" s="4">
        <v>0</v>
      </c>
      <c r="K1834" s="4">
        <v>0</v>
      </c>
      <c r="L1834" s="4" t="s">
        <v>6820</v>
      </c>
      <c r="M1834" s="4" t="s">
        <v>6821</v>
      </c>
      <c r="N1834" s="4" t="s">
        <v>1421</v>
      </c>
      <c r="O1834" s="4" t="s">
        <v>71</v>
      </c>
      <c r="P1834" s="4" t="s">
        <v>71</v>
      </c>
      <c r="Q1834" s="4" t="s">
        <v>28</v>
      </c>
    </row>
    <row r="1835" spans="1:17" hidden="1" x14ac:dyDescent="0.2">
      <c r="A1835" s="4">
        <v>519</v>
      </c>
      <c r="B1835" s="2">
        <v>0</v>
      </c>
      <c r="C1835" s="2">
        <v>0</v>
      </c>
      <c r="D1835" s="4" t="s">
        <v>4283</v>
      </c>
      <c r="E1835" s="2">
        <v>0</v>
      </c>
      <c r="F1835" s="2">
        <v>0</v>
      </c>
      <c r="G1835" s="2">
        <v>0</v>
      </c>
      <c r="H1835" s="4">
        <v>0</v>
      </c>
      <c r="I1835" s="4">
        <v>0</v>
      </c>
      <c r="J1835" s="4">
        <v>0</v>
      </c>
      <c r="K1835" s="4">
        <v>0</v>
      </c>
      <c r="L1835" s="4" t="s">
        <v>4281</v>
      </c>
      <c r="M1835" s="4" t="s">
        <v>4282</v>
      </c>
      <c r="N1835" s="4" t="s">
        <v>20</v>
      </c>
      <c r="O1835" s="4" t="s">
        <v>603</v>
      </c>
      <c r="P1835" s="4" t="s">
        <v>603</v>
      </c>
      <c r="Q1835" s="4" t="s">
        <v>100</v>
      </c>
    </row>
    <row r="1836" spans="1:17" hidden="1" x14ac:dyDescent="0.2">
      <c r="A1836" s="4">
        <v>550</v>
      </c>
      <c r="B1836" s="2">
        <v>0</v>
      </c>
      <c r="C1836" s="2">
        <v>0</v>
      </c>
      <c r="D1836" s="4" t="s">
        <v>6825</v>
      </c>
      <c r="E1836" s="2">
        <v>0</v>
      </c>
      <c r="F1836" s="2">
        <v>0</v>
      </c>
      <c r="G1836" s="2">
        <v>0</v>
      </c>
      <c r="H1836" s="4">
        <v>0</v>
      </c>
      <c r="I1836" s="4">
        <v>0</v>
      </c>
      <c r="J1836" s="4">
        <v>0</v>
      </c>
      <c r="K1836" s="4">
        <v>0</v>
      </c>
      <c r="L1836" s="4" t="s">
        <v>6823</v>
      </c>
      <c r="M1836" s="4" t="s">
        <v>6824</v>
      </c>
      <c r="N1836" s="4" t="s">
        <v>20</v>
      </c>
      <c r="O1836" s="4" t="s">
        <v>76</v>
      </c>
      <c r="P1836" s="4" t="s">
        <v>76</v>
      </c>
      <c r="Q1836" s="4" t="s">
        <v>1378</v>
      </c>
    </row>
    <row r="1837" spans="1:17" hidden="1" x14ac:dyDescent="0.2">
      <c r="A1837" s="4">
        <v>556</v>
      </c>
      <c r="B1837" s="2">
        <v>0</v>
      </c>
      <c r="C1837" s="2">
        <v>0</v>
      </c>
      <c r="D1837" s="4" t="s">
        <v>5311</v>
      </c>
      <c r="E1837" s="2">
        <v>0</v>
      </c>
      <c r="F1837" s="2">
        <v>0</v>
      </c>
      <c r="G1837" s="2">
        <v>0</v>
      </c>
      <c r="H1837" s="4">
        <v>0</v>
      </c>
      <c r="I1837" s="4">
        <v>0</v>
      </c>
      <c r="J1837" s="4">
        <v>0</v>
      </c>
      <c r="K1837" s="4">
        <v>0</v>
      </c>
      <c r="L1837" s="4" t="s">
        <v>5309</v>
      </c>
      <c r="M1837" s="4" t="s">
        <v>5310</v>
      </c>
      <c r="N1837" s="4" t="s">
        <v>5312</v>
      </c>
      <c r="O1837" s="4" t="s">
        <v>113</v>
      </c>
      <c r="P1837" s="4" t="s">
        <v>113</v>
      </c>
      <c r="Q1837" s="4" t="s">
        <v>100</v>
      </c>
    </row>
    <row r="1838" spans="1:17" hidden="1" x14ac:dyDescent="0.2">
      <c r="A1838" s="4">
        <v>575</v>
      </c>
      <c r="B1838" s="2">
        <v>0</v>
      </c>
      <c r="C1838" s="2">
        <v>0</v>
      </c>
      <c r="D1838" s="4" t="s">
        <v>6828</v>
      </c>
      <c r="E1838" s="2">
        <v>0</v>
      </c>
      <c r="F1838" s="2">
        <v>0</v>
      </c>
      <c r="G1838" s="2">
        <v>0</v>
      </c>
      <c r="H1838" s="4">
        <v>0</v>
      </c>
      <c r="I1838" s="4">
        <v>0</v>
      </c>
      <c r="J1838" s="4">
        <v>0</v>
      </c>
      <c r="K1838" s="4">
        <v>0</v>
      </c>
      <c r="L1838" s="4" t="s">
        <v>6826</v>
      </c>
      <c r="M1838" s="4" t="s">
        <v>6827</v>
      </c>
      <c r="N1838" s="4" t="s">
        <v>1783</v>
      </c>
      <c r="O1838" s="4" t="s">
        <v>386</v>
      </c>
      <c r="P1838" s="4" t="s">
        <v>386</v>
      </c>
      <c r="Q1838" s="4" t="s">
        <v>144</v>
      </c>
    </row>
    <row r="1839" spans="1:17" hidden="1" x14ac:dyDescent="0.2">
      <c r="A1839" s="4">
        <v>576</v>
      </c>
      <c r="B1839" s="2">
        <v>0</v>
      </c>
      <c r="C1839" s="2">
        <v>0</v>
      </c>
      <c r="D1839" s="4" t="s">
        <v>6831</v>
      </c>
      <c r="E1839" s="2">
        <v>0</v>
      </c>
      <c r="F1839" s="2">
        <v>0</v>
      </c>
      <c r="G1839" s="2">
        <v>0</v>
      </c>
      <c r="H1839" s="4">
        <v>0</v>
      </c>
      <c r="I1839" s="4">
        <v>0</v>
      </c>
      <c r="J1839" s="4">
        <v>0</v>
      </c>
      <c r="K1839" s="4">
        <v>0</v>
      </c>
      <c r="L1839" s="4" t="s">
        <v>6829</v>
      </c>
      <c r="M1839" s="4" t="s">
        <v>6830</v>
      </c>
      <c r="N1839" s="4" t="s">
        <v>20</v>
      </c>
      <c r="O1839" s="4" t="s">
        <v>76</v>
      </c>
      <c r="P1839" s="4" t="s">
        <v>76</v>
      </c>
      <c r="Q1839" s="4" t="s">
        <v>100</v>
      </c>
    </row>
    <row r="1840" spans="1:17" hidden="1" x14ac:dyDescent="0.2">
      <c r="A1840" s="4">
        <v>577</v>
      </c>
      <c r="B1840" s="2">
        <v>0</v>
      </c>
      <c r="C1840" s="2">
        <v>0</v>
      </c>
      <c r="D1840" s="4" t="s">
        <v>6834</v>
      </c>
      <c r="E1840" s="2">
        <v>0</v>
      </c>
      <c r="F1840" s="2">
        <v>0</v>
      </c>
      <c r="G1840" s="2">
        <v>0</v>
      </c>
      <c r="H1840" s="4">
        <v>0</v>
      </c>
      <c r="I1840" s="4">
        <v>0</v>
      </c>
      <c r="J1840" s="4">
        <v>0</v>
      </c>
      <c r="K1840" s="4">
        <v>0</v>
      </c>
      <c r="L1840" s="4" t="s">
        <v>6832</v>
      </c>
      <c r="M1840" s="4" t="s">
        <v>6833</v>
      </c>
      <c r="N1840" s="4" t="s">
        <v>32</v>
      </c>
      <c r="O1840" s="4" t="s">
        <v>900</v>
      </c>
      <c r="P1840" s="4" t="s">
        <v>900</v>
      </c>
      <c r="Q1840" s="4" t="s">
        <v>144</v>
      </c>
    </row>
    <row r="1841" spans="1:17" hidden="1" x14ac:dyDescent="0.2">
      <c r="A1841" s="4">
        <v>579</v>
      </c>
      <c r="B1841" s="2">
        <v>0</v>
      </c>
      <c r="C1841" s="2">
        <v>0</v>
      </c>
      <c r="D1841" s="4" t="s">
        <v>6837</v>
      </c>
      <c r="E1841" s="2">
        <v>0</v>
      </c>
      <c r="F1841" s="2">
        <v>0</v>
      </c>
      <c r="G1841" s="2">
        <v>0</v>
      </c>
      <c r="H1841" s="4">
        <v>0</v>
      </c>
      <c r="I1841" s="4">
        <v>0</v>
      </c>
      <c r="J1841" s="4">
        <v>0</v>
      </c>
      <c r="K1841" s="4">
        <v>0</v>
      </c>
      <c r="L1841" s="4" t="s">
        <v>6835</v>
      </c>
      <c r="M1841" s="4" t="s">
        <v>6836</v>
      </c>
      <c r="N1841" s="4" t="s">
        <v>20</v>
      </c>
      <c r="O1841" s="4" t="s">
        <v>900</v>
      </c>
      <c r="P1841" s="4" t="s">
        <v>900</v>
      </c>
      <c r="Q1841" s="4" t="s">
        <v>144</v>
      </c>
    </row>
    <row r="1842" spans="1:17" hidden="1" x14ac:dyDescent="0.2">
      <c r="A1842" s="4">
        <v>585</v>
      </c>
      <c r="B1842" s="2">
        <v>0</v>
      </c>
      <c r="C1842" s="2">
        <v>0</v>
      </c>
      <c r="D1842" s="4" t="s">
        <v>6840</v>
      </c>
      <c r="E1842" s="2">
        <v>0</v>
      </c>
      <c r="F1842" s="2">
        <v>0</v>
      </c>
      <c r="G1842" s="2">
        <v>0</v>
      </c>
      <c r="H1842" s="4">
        <v>0</v>
      </c>
      <c r="I1842" s="4">
        <v>0</v>
      </c>
      <c r="J1842" s="4">
        <v>0</v>
      </c>
      <c r="K1842" s="4">
        <v>0</v>
      </c>
      <c r="L1842" s="4" t="s">
        <v>6838</v>
      </c>
      <c r="M1842" s="4" t="s">
        <v>6839</v>
      </c>
      <c r="N1842" s="4" t="s">
        <v>20</v>
      </c>
      <c r="O1842" s="4" t="s">
        <v>76</v>
      </c>
      <c r="P1842" s="4" t="s">
        <v>76</v>
      </c>
      <c r="Q1842" s="4" t="s">
        <v>1378</v>
      </c>
    </row>
    <row r="1843" spans="1:17" hidden="1" x14ac:dyDescent="0.2">
      <c r="A1843" s="4">
        <v>588</v>
      </c>
      <c r="B1843" s="2">
        <v>0</v>
      </c>
      <c r="C1843" s="2">
        <v>0</v>
      </c>
      <c r="D1843" s="4" t="s">
        <v>6843</v>
      </c>
      <c r="E1843" s="2">
        <v>0</v>
      </c>
      <c r="F1843" s="2">
        <v>0</v>
      </c>
      <c r="G1843" s="2">
        <v>0</v>
      </c>
      <c r="H1843" s="4">
        <v>0</v>
      </c>
      <c r="I1843" s="4">
        <v>0</v>
      </c>
      <c r="J1843" s="4">
        <v>0</v>
      </c>
      <c r="K1843" s="4">
        <v>0</v>
      </c>
      <c r="L1843" s="4" t="s">
        <v>6841</v>
      </c>
      <c r="M1843" s="4" t="s">
        <v>6842</v>
      </c>
      <c r="N1843" s="4" t="s">
        <v>20</v>
      </c>
      <c r="O1843" s="4" t="s">
        <v>1356</v>
      </c>
      <c r="P1843" s="4" t="s">
        <v>1356</v>
      </c>
      <c r="Q1843" s="4" t="s">
        <v>100</v>
      </c>
    </row>
    <row r="1844" spans="1:17" hidden="1" x14ac:dyDescent="0.2">
      <c r="A1844" s="4">
        <v>589</v>
      </c>
      <c r="B1844" s="2">
        <v>0</v>
      </c>
      <c r="C1844" s="2">
        <v>0</v>
      </c>
      <c r="D1844" s="4" t="s">
        <v>6846</v>
      </c>
      <c r="E1844" s="2">
        <v>0</v>
      </c>
      <c r="F1844" s="2">
        <v>0</v>
      </c>
      <c r="G1844" s="2">
        <v>0</v>
      </c>
      <c r="H1844" s="4">
        <v>0</v>
      </c>
      <c r="I1844" s="4">
        <v>0</v>
      </c>
      <c r="J1844" s="4">
        <v>0</v>
      </c>
      <c r="K1844" s="4">
        <v>0</v>
      </c>
      <c r="L1844" s="4" t="s">
        <v>6844</v>
      </c>
      <c r="M1844" s="4" t="s">
        <v>6845</v>
      </c>
      <c r="N1844" s="4" t="s">
        <v>20</v>
      </c>
      <c r="O1844" s="4" t="s">
        <v>386</v>
      </c>
      <c r="P1844" s="4" t="s">
        <v>386</v>
      </c>
      <c r="Q1844" s="4" t="s">
        <v>1378</v>
      </c>
    </row>
    <row r="1845" spans="1:17" hidden="1" x14ac:dyDescent="0.2">
      <c r="A1845" s="4">
        <v>596</v>
      </c>
      <c r="B1845" s="2">
        <v>0</v>
      </c>
      <c r="C1845" s="2">
        <v>0</v>
      </c>
      <c r="D1845" s="4" t="s">
        <v>6849</v>
      </c>
      <c r="E1845" s="2">
        <v>0</v>
      </c>
      <c r="F1845" s="2">
        <v>0</v>
      </c>
      <c r="G1845" s="2">
        <v>0</v>
      </c>
      <c r="H1845" s="4">
        <v>0</v>
      </c>
      <c r="I1845" s="4">
        <v>0</v>
      </c>
      <c r="J1845" s="4">
        <v>0</v>
      </c>
      <c r="K1845" s="4">
        <v>0</v>
      </c>
      <c r="L1845" s="4" t="s">
        <v>6847</v>
      </c>
      <c r="M1845" s="4" t="s">
        <v>6848</v>
      </c>
      <c r="N1845" s="4" t="s">
        <v>389</v>
      </c>
      <c r="O1845" s="4" t="s">
        <v>42</v>
      </c>
      <c r="P1845" s="4" t="s">
        <v>42</v>
      </c>
      <c r="Q1845" s="4" t="s">
        <v>100</v>
      </c>
    </row>
    <row r="1846" spans="1:17" hidden="1" x14ac:dyDescent="0.2">
      <c r="A1846" s="4">
        <v>599</v>
      </c>
      <c r="B1846" s="2">
        <v>0</v>
      </c>
      <c r="C1846" s="2">
        <v>0</v>
      </c>
      <c r="D1846" s="4" t="s">
        <v>6852</v>
      </c>
      <c r="E1846" s="2">
        <v>0</v>
      </c>
      <c r="F1846" s="2">
        <v>0</v>
      </c>
      <c r="G1846" s="2">
        <v>0</v>
      </c>
      <c r="H1846" s="4">
        <v>0</v>
      </c>
      <c r="I1846" s="4">
        <v>0</v>
      </c>
      <c r="J1846" s="4">
        <v>0</v>
      </c>
      <c r="K1846" s="4">
        <v>0</v>
      </c>
      <c r="L1846" s="4" t="s">
        <v>6850</v>
      </c>
      <c r="M1846" s="4" t="s">
        <v>6851</v>
      </c>
      <c r="N1846" s="4" t="s">
        <v>20</v>
      </c>
      <c r="O1846" s="4" t="s">
        <v>3938</v>
      </c>
      <c r="P1846" s="4" t="s">
        <v>3938</v>
      </c>
      <c r="Q1846" s="4" t="s">
        <v>1378</v>
      </c>
    </row>
    <row r="1847" spans="1:17" hidden="1" x14ac:dyDescent="0.2">
      <c r="A1847" s="4">
        <v>602</v>
      </c>
      <c r="B1847" s="2">
        <v>0</v>
      </c>
      <c r="C1847" s="2">
        <v>0</v>
      </c>
      <c r="D1847" s="4" t="s">
        <v>6855</v>
      </c>
      <c r="E1847" s="2">
        <v>0</v>
      </c>
      <c r="F1847" s="2">
        <v>0</v>
      </c>
      <c r="G1847" s="2">
        <v>0</v>
      </c>
      <c r="H1847" s="4">
        <v>0</v>
      </c>
      <c r="I1847" s="4">
        <v>0</v>
      </c>
      <c r="J1847" s="4">
        <v>0</v>
      </c>
      <c r="K1847" s="4">
        <v>0</v>
      </c>
      <c r="L1847" s="4" t="s">
        <v>6853</v>
      </c>
      <c r="M1847" s="4" t="s">
        <v>6854</v>
      </c>
      <c r="N1847" s="4" t="s">
        <v>20</v>
      </c>
      <c r="O1847" s="4" t="s">
        <v>372</v>
      </c>
      <c r="P1847" s="4" t="s">
        <v>372</v>
      </c>
      <c r="Q1847" s="4" t="s">
        <v>100</v>
      </c>
    </row>
    <row r="1848" spans="1:17" hidden="1" x14ac:dyDescent="0.2">
      <c r="A1848" s="4">
        <v>615</v>
      </c>
      <c r="B1848" s="2">
        <v>0</v>
      </c>
      <c r="C1848" s="2">
        <v>0</v>
      </c>
      <c r="D1848" s="4" t="s">
        <v>6858</v>
      </c>
      <c r="E1848" s="2">
        <v>0</v>
      </c>
      <c r="F1848" s="2">
        <v>0</v>
      </c>
      <c r="G1848" s="2">
        <v>0</v>
      </c>
      <c r="H1848" s="4">
        <v>0</v>
      </c>
      <c r="I1848" s="4">
        <v>0</v>
      </c>
      <c r="J1848" s="4">
        <v>0</v>
      </c>
      <c r="K1848" s="4">
        <v>0</v>
      </c>
      <c r="L1848" s="4" t="s">
        <v>6856</v>
      </c>
      <c r="M1848" s="4" t="s">
        <v>6857</v>
      </c>
      <c r="N1848" s="4" t="s">
        <v>558</v>
      </c>
      <c r="O1848" s="4" t="s">
        <v>559</v>
      </c>
      <c r="P1848" s="4" t="s">
        <v>559</v>
      </c>
      <c r="Q1848" s="4" t="s">
        <v>28</v>
      </c>
    </row>
    <row r="1849" spans="1:17" hidden="1" x14ac:dyDescent="0.2">
      <c r="A1849" s="4">
        <v>618</v>
      </c>
      <c r="B1849" s="2">
        <v>0</v>
      </c>
      <c r="C1849" s="2">
        <v>0</v>
      </c>
      <c r="D1849" s="4" t="s">
        <v>6861</v>
      </c>
      <c r="E1849" s="2">
        <v>0</v>
      </c>
      <c r="F1849" s="2">
        <v>0</v>
      </c>
      <c r="G1849" s="2">
        <v>0</v>
      </c>
      <c r="H1849" s="4">
        <v>0</v>
      </c>
      <c r="I1849" s="4">
        <v>0</v>
      </c>
      <c r="J1849" s="4">
        <v>0</v>
      </c>
      <c r="K1849" s="4">
        <v>0</v>
      </c>
      <c r="L1849" s="4" t="s">
        <v>6859</v>
      </c>
      <c r="M1849" s="4" t="s">
        <v>6860</v>
      </c>
      <c r="N1849" s="4" t="s">
        <v>1783</v>
      </c>
      <c r="O1849" s="4" t="s">
        <v>89</v>
      </c>
      <c r="P1849" s="4" t="s">
        <v>89</v>
      </c>
      <c r="Q1849" s="4" t="s">
        <v>100</v>
      </c>
    </row>
    <row r="1850" spans="1:17" hidden="1" x14ac:dyDescent="0.2">
      <c r="A1850" s="4">
        <v>628</v>
      </c>
      <c r="B1850" s="2">
        <v>0</v>
      </c>
      <c r="C1850" s="2">
        <v>0</v>
      </c>
      <c r="D1850" s="4" t="s">
        <v>6864</v>
      </c>
      <c r="E1850" s="2">
        <v>0</v>
      </c>
      <c r="F1850" s="2">
        <v>0</v>
      </c>
      <c r="G1850" s="2">
        <v>0</v>
      </c>
      <c r="H1850" s="4">
        <v>0</v>
      </c>
      <c r="I1850" s="4">
        <v>0</v>
      </c>
      <c r="J1850" s="4">
        <v>0</v>
      </c>
      <c r="K1850" s="4">
        <v>0</v>
      </c>
      <c r="L1850" s="4" t="s">
        <v>6862</v>
      </c>
      <c r="M1850" s="4" t="s">
        <v>6863</v>
      </c>
      <c r="N1850" s="4" t="s">
        <v>332</v>
      </c>
      <c r="O1850" s="4" t="s">
        <v>1127</v>
      </c>
      <c r="P1850" s="4" t="s">
        <v>1127</v>
      </c>
      <c r="Q1850" s="4" t="s">
        <v>100</v>
      </c>
    </row>
    <row r="1851" spans="1:17" hidden="1" x14ac:dyDescent="0.2">
      <c r="A1851" s="4">
        <v>629</v>
      </c>
      <c r="B1851" s="2">
        <v>0</v>
      </c>
      <c r="C1851" s="2">
        <v>0</v>
      </c>
      <c r="D1851" s="4" t="s">
        <v>6867</v>
      </c>
      <c r="E1851" s="2">
        <v>0</v>
      </c>
      <c r="F1851" s="2">
        <v>0</v>
      </c>
      <c r="G1851" s="2">
        <v>0</v>
      </c>
      <c r="H1851" s="4">
        <v>0</v>
      </c>
      <c r="I1851" s="4">
        <v>0</v>
      </c>
      <c r="J1851" s="4">
        <v>0</v>
      </c>
      <c r="K1851" s="4">
        <v>0</v>
      </c>
      <c r="L1851" s="4" t="s">
        <v>6865</v>
      </c>
      <c r="M1851" s="4" t="s">
        <v>6866</v>
      </c>
      <c r="N1851" s="4" t="s">
        <v>6054</v>
      </c>
      <c r="O1851" s="4" t="s">
        <v>67</v>
      </c>
      <c r="P1851" s="4" t="s">
        <v>67</v>
      </c>
      <c r="Q1851" s="4" t="s">
        <v>100</v>
      </c>
    </row>
    <row r="1852" spans="1:17" hidden="1" x14ac:dyDescent="0.2">
      <c r="A1852" s="4">
        <v>649</v>
      </c>
      <c r="B1852" s="2">
        <v>0</v>
      </c>
      <c r="C1852" s="2">
        <v>0</v>
      </c>
      <c r="D1852" s="4" t="s">
        <v>6870</v>
      </c>
      <c r="E1852" s="2">
        <v>0</v>
      </c>
      <c r="F1852" s="2">
        <v>0</v>
      </c>
      <c r="G1852" s="2">
        <v>0</v>
      </c>
      <c r="H1852" s="4">
        <v>0</v>
      </c>
      <c r="I1852" s="4">
        <v>0</v>
      </c>
      <c r="J1852" s="4">
        <v>0</v>
      </c>
      <c r="K1852" s="4">
        <v>0</v>
      </c>
      <c r="L1852" s="4" t="s">
        <v>6868</v>
      </c>
      <c r="M1852" s="4" t="s">
        <v>6869</v>
      </c>
      <c r="N1852" s="4" t="s">
        <v>6871</v>
      </c>
      <c r="O1852" s="4" t="s">
        <v>747</v>
      </c>
      <c r="P1852" s="4" t="s">
        <v>747</v>
      </c>
      <c r="Q1852" s="4" t="s">
        <v>100</v>
      </c>
    </row>
    <row r="1853" spans="1:17" hidden="1" x14ac:dyDescent="0.2">
      <c r="A1853" s="4">
        <v>715</v>
      </c>
      <c r="B1853" s="2">
        <v>0</v>
      </c>
      <c r="C1853" s="2">
        <v>0</v>
      </c>
      <c r="D1853" s="4" t="s">
        <v>6874</v>
      </c>
      <c r="E1853" s="2">
        <v>0</v>
      </c>
      <c r="F1853" s="2">
        <v>0</v>
      </c>
      <c r="G1853" s="2">
        <v>0</v>
      </c>
      <c r="H1853" s="4">
        <v>0</v>
      </c>
      <c r="I1853" s="4">
        <v>0</v>
      </c>
      <c r="J1853" s="4">
        <v>0</v>
      </c>
      <c r="K1853" s="4">
        <v>0</v>
      </c>
      <c r="L1853" s="4" t="s">
        <v>6872</v>
      </c>
      <c r="M1853" s="4" t="s">
        <v>6873</v>
      </c>
      <c r="N1853" s="4" t="s">
        <v>6875</v>
      </c>
      <c r="O1853" s="4" t="s">
        <v>27</v>
      </c>
      <c r="P1853" s="4" t="s">
        <v>27</v>
      </c>
      <c r="Q1853" s="4" t="s">
        <v>100</v>
      </c>
    </row>
    <row r="1854" spans="1:17" hidden="1" x14ac:dyDescent="0.2">
      <c r="A1854" s="4">
        <v>717</v>
      </c>
      <c r="B1854" s="2">
        <v>0</v>
      </c>
      <c r="C1854" s="2">
        <v>0</v>
      </c>
      <c r="D1854" s="4" t="s">
        <v>6878</v>
      </c>
      <c r="E1854" s="2">
        <v>0</v>
      </c>
      <c r="F1854" s="2">
        <v>0</v>
      </c>
      <c r="G1854" s="2">
        <v>0</v>
      </c>
      <c r="H1854" s="4">
        <v>0</v>
      </c>
      <c r="I1854" s="4">
        <v>0</v>
      </c>
      <c r="J1854" s="4">
        <v>0</v>
      </c>
      <c r="K1854" s="4">
        <v>0</v>
      </c>
      <c r="L1854" s="4" t="s">
        <v>6876</v>
      </c>
      <c r="M1854" s="4" t="s">
        <v>6877</v>
      </c>
      <c r="N1854" s="4" t="s">
        <v>599</v>
      </c>
      <c r="O1854" s="4" t="s">
        <v>559</v>
      </c>
      <c r="P1854" s="4" t="s">
        <v>1039</v>
      </c>
      <c r="Q1854" s="4" t="s">
        <v>28</v>
      </c>
    </row>
    <row r="1855" spans="1:17" hidden="1" x14ac:dyDescent="0.2">
      <c r="A1855" s="4">
        <v>724</v>
      </c>
      <c r="B1855" s="2">
        <v>0</v>
      </c>
      <c r="C1855" s="2">
        <v>0</v>
      </c>
      <c r="D1855" s="4" t="s">
        <v>3828</v>
      </c>
      <c r="E1855" s="2">
        <v>0</v>
      </c>
      <c r="F1855" s="2">
        <v>0</v>
      </c>
      <c r="G1855" s="2">
        <v>0</v>
      </c>
      <c r="H1855" s="4">
        <v>0</v>
      </c>
      <c r="I1855" s="4">
        <v>0</v>
      </c>
      <c r="J1855" s="4">
        <v>0</v>
      </c>
      <c r="K1855" s="4">
        <v>0</v>
      </c>
      <c r="L1855" s="4" t="s">
        <v>3826</v>
      </c>
      <c r="M1855" s="4" t="s">
        <v>3827</v>
      </c>
      <c r="N1855" s="4" t="s">
        <v>2100</v>
      </c>
      <c r="O1855" s="4" t="s">
        <v>237</v>
      </c>
      <c r="P1855" s="4" t="s">
        <v>237</v>
      </c>
      <c r="Q1855" s="4" t="s">
        <v>100</v>
      </c>
    </row>
    <row r="1856" spans="1:17" hidden="1" x14ac:dyDescent="0.2">
      <c r="A1856" s="4">
        <v>753</v>
      </c>
      <c r="B1856" s="2">
        <v>0</v>
      </c>
      <c r="C1856" s="2">
        <v>0</v>
      </c>
      <c r="D1856" s="4" t="s">
        <v>6881</v>
      </c>
      <c r="E1856" s="2">
        <v>0</v>
      </c>
      <c r="F1856" s="2">
        <v>0</v>
      </c>
      <c r="G1856" s="2">
        <v>0</v>
      </c>
      <c r="H1856" s="4">
        <v>0</v>
      </c>
      <c r="I1856" s="4">
        <v>0</v>
      </c>
      <c r="J1856" s="4">
        <v>0</v>
      </c>
      <c r="K1856" s="4">
        <v>0</v>
      </c>
      <c r="L1856" s="4" t="s">
        <v>6879</v>
      </c>
      <c r="M1856" s="4" t="s">
        <v>6880</v>
      </c>
      <c r="N1856" s="4" t="s">
        <v>20</v>
      </c>
      <c r="O1856" s="4" t="s">
        <v>71</v>
      </c>
      <c r="P1856" s="4" t="s">
        <v>71</v>
      </c>
      <c r="Q1856" s="4" t="s">
        <v>100</v>
      </c>
    </row>
    <row r="1857" spans="1:17" hidden="1" x14ac:dyDescent="0.2">
      <c r="A1857" s="4">
        <v>765</v>
      </c>
      <c r="B1857" s="2">
        <v>0</v>
      </c>
      <c r="C1857" s="2">
        <v>0</v>
      </c>
      <c r="D1857" s="4" t="s">
        <v>6884</v>
      </c>
      <c r="E1857" s="2">
        <v>0</v>
      </c>
      <c r="F1857" s="2">
        <v>0</v>
      </c>
      <c r="G1857" s="2">
        <v>0</v>
      </c>
      <c r="H1857" s="4">
        <v>0</v>
      </c>
      <c r="I1857" s="4">
        <v>0</v>
      </c>
      <c r="J1857" s="4">
        <v>0</v>
      </c>
      <c r="K1857" s="4">
        <v>0</v>
      </c>
      <c r="L1857" s="4" t="s">
        <v>6882</v>
      </c>
      <c r="M1857" s="4" t="s">
        <v>6883</v>
      </c>
      <c r="N1857" s="4" t="s">
        <v>6885</v>
      </c>
      <c r="O1857" s="4" t="s">
        <v>559</v>
      </c>
      <c r="P1857" s="4" t="s">
        <v>559</v>
      </c>
      <c r="Q1857" s="4" t="s">
        <v>100</v>
      </c>
    </row>
    <row r="1858" spans="1:17" hidden="1" x14ac:dyDescent="0.2">
      <c r="A1858" s="4">
        <v>767</v>
      </c>
      <c r="B1858" s="2">
        <v>0</v>
      </c>
      <c r="C1858" s="2">
        <v>0</v>
      </c>
      <c r="D1858" s="4" t="s">
        <v>6888</v>
      </c>
      <c r="E1858" s="2">
        <v>0</v>
      </c>
      <c r="F1858" s="2">
        <v>0</v>
      </c>
      <c r="G1858" s="2">
        <v>0</v>
      </c>
      <c r="H1858" s="4">
        <v>0</v>
      </c>
      <c r="I1858" s="4">
        <v>0</v>
      </c>
      <c r="J1858" s="4">
        <v>0</v>
      </c>
      <c r="K1858" s="4">
        <v>0</v>
      </c>
      <c r="L1858" s="4" t="s">
        <v>6886</v>
      </c>
      <c r="M1858" s="4" t="s">
        <v>6887</v>
      </c>
      <c r="N1858" s="4" t="s">
        <v>92</v>
      </c>
      <c r="O1858" s="4" t="s">
        <v>93</v>
      </c>
      <c r="P1858" s="4" t="s">
        <v>93</v>
      </c>
      <c r="Q1858" s="4" t="s">
        <v>100</v>
      </c>
    </row>
    <row r="1859" spans="1:17" hidden="1" x14ac:dyDescent="0.2">
      <c r="A1859" s="4">
        <v>771</v>
      </c>
      <c r="B1859" s="2">
        <v>0</v>
      </c>
      <c r="C1859" s="2">
        <v>0</v>
      </c>
      <c r="D1859" s="4" t="s">
        <v>6891</v>
      </c>
      <c r="E1859" s="2">
        <v>0</v>
      </c>
      <c r="F1859" s="2">
        <v>0</v>
      </c>
      <c r="G1859" s="2">
        <v>0</v>
      </c>
      <c r="H1859" s="4">
        <v>0</v>
      </c>
      <c r="I1859" s="4">
        <v>0</v>
      </c>
      <c r="J1859" s="4">
        <v>0</v>
      </c>
      <c r="K1859" s="4">
        <v>0</v>
      </c>
      <c r="L1859" s="4" t="s">
        <v>6889</v>
      </c>
      <c r="M1859" s="4" t="s">
        <v>6890</v>
      </c>
      <c r="N1859" s="4" t="s">
        <v>648</v>
      </c>
      <c r="O1859" s="4" t="s">
        <v>340</v>
      </c>
      <c r="P1859" s="4" t="s">
        <v>340</v>
      </c>
      <c r="Q1859" s="4" t="s">
        <v>100</v>
      </c>
    </row>
    <row r="1860" spans="1:17" hidden="1" x14ac:dyDescent="0.2">
      <c r="A1860" s="4">
        <v>788</v>
      </c>
      <c r="B1860" s="2">
        <v>0</v>
      </c>
      <c r="C1860" s="2">
        <v>0</v>
      </c>
      <c r="D1860" s="4" t="s">
        <v>6894</v>
      </c>
      <c r="E1860" s="2">
        <v>0</v>
      </c>
      <c r="F1860" s="2">
        <v>0</v>
      </c>
      <c r="G1860" s="2">
        <v>0</v>
      </c>
      <c r="H1860" s="4">
        <v>0</v>
      </c>
      <c r="I1860" s="4">
        <v>0</v>
      </c>
      <c r="J1860" s="4">
        <v>0</v>
      </c>
      <c r="K1860" s="4">
        <v>0</v>
      </c>
      <c r="L1860" s="4" t="s">
        <v>6892</v>
      </c>
      <c r="M1860" s="4" t="s">
        <v>6893</v>
      </c>
      <c r="N1860" s="4" t="s">
        <v>20</v>
      </c>
      <c r="O1860" s="4" t="s">
        <v>386</v>
      </c>
      <c r="P1860" s="4" t="s">
        <v>386</v>
      </c>
      <c r="Q1860" s="4" t="s">
        <v>408</v>
      </c>
    </row>
    <row r="1861" spans="1:17" hidden="1" x14ac:dyDescent="0.2">
      <c r="A1861" s="4">
        <v>793</v>
      </c>
      <c r="B1861" s="2">
        <v>0</v>
      </c>
      <c r="C1861" s="2">
        <v>0</v>
      </c>
      <c r="D1861" s="4" t="s">
        <v>6897</v>
      </c>
      <c r="E1861" s="2">
        <v>0</v>
      </c>
      <c r="F1861" s="2">
        <v>0</v>
      </c>
      <c r="G1861" s="2">
        <v>0</v>
      </c>
      <c r="H1861" s="4">
        <v>0</v>
      </c>
      <c r="I1861" s="4">
        <v>0</v>
      </c>
      <c r="J1861" s="4">
        <v>0</v>
      </c>
      <c r="K1861" s="4">
        <v>0</v>
      </c>
      <c r="L1861" s="4" t="s">
        <v>6895</v>
      </c>
      <c r="M1861" s="4" t="s">
        <v>6896</v>
      </c>
      <c r="N1861" s="4" t="s">
        <v>20</v>
      </c>
      <c r="O1861" s="4" t="s">
        <v>386</v>
      </c>
      <c r="P1861" s="4" t="s">
        <v>386</v>
      </c>
      <c r="Q1861" s="4" t="s">
        <v>1378</v>
      </c>
    </row>
    <row r="1862" spans="1:17" hidden="1" x14ac:dyDescent="0.2">
      <c r="A1862" s="4">
        <v>794</v>
      </c>
      <c r="B1862" s="2">
        <v>0</v>
      </c>
      <c r="C1862" s="2">
        <v>0</v>
      </c>
      <c r="D1862" s="4" t="s">
        <v>6900</v>
      </c>
      <c r="E1862" s="2">
        <v>0</v>
      </c>
      <c r="F1862" s="2">
        <v>0</v>
      </c>
      <c r="G1862" s="2">
        <v>0</v>
      </c>
      <c r="H1862" s="4">
        <v>0</v>
      </c>
      <c r="I1862" s="4">
        <v>0</v>
      </c>
      <c r="J1862" s="4">
        <v>0</v>
      </c>
      <c r="K1862" s="4">
        <v>0</v>
      </c>
      <c r="L1862" s="4" t="s">
        <v>6898</v>
      </c>
      <c r="M1862" s="4" t="s">
        <v>6899</v>
      </c>
      <c r="N1862" s="4" t="s">
        <v>20</v>
      </c>
      <c r="O1862" s="4" t="s">
        <v>76</v>
      </c>
      <c r="P1862" s="4" t="s">
        <v>1891</v>
      </c>
      <c r="Q1862" s="4" t="s">
        <v>144</v>
      </c>
    </row>
    <row r="1863" spans="1:17" hidden="1" x14ac:dyDescent="0.2">
      <c r="A1863" s="4">
        <v>834</v>
      </c>
      <c r="B1863" s="2">
        <v>0</v>
      </c>
      <c r="C1863" s="2">
        <v>0</v>
      </c>
      <c r="D1863" s="4" t="s">
        <v>6903</v>
      </c>
      <c r="E1863" s="2">
        <v>0</v>
      </c>
      <c r="F1863" s="2">
        <v>0</v>
      </c>
      <c r="G1863" s="2">
        <v>0</v>
      </c>
      <c r="H1863" s="4">
        <v>0</v>
      </c>
      <c r="I1863" s="4">
        <v>0</v>
      </c>
      <c r="J1863" s="4">
        <v>0</v>
      </c>
      <c r="K1863" s="4">
        <v>0</v>
      </c>
      <c r="L1863" s="4" t="s">
        <v>6901</v>
      </c>
      <c r="M1863" s="4" t="s">
        <v>6902</v>
      </c>
      <c r="N1863" s="4" t="s">
        <v>415</v>
      </c>
      <c r="O1863" s="4" t="s">
        <v>382</v>
      </c>
      <c r="P1863" s="4" t="s">
        <v>382</v>
      </c>
      <c r="Q1863" s="4" t="s">
        <v>100</v>
      </c>
    </row>
    <row r="1864" spans="1:17" hidden="1" x14ac:dyDescent="0.2">
      <c r="A1864" s="4">
        <v>837</v>
      </c>
      <c r="B1864" s="2">
        <v>0</v>
      </c>
      <c r="C1864" s="2">
        <v>0</v>
      </c>
      <c r="D1864" s="4" t="s">
        <v>6906</v>
      </c>
      <c r="E1864" s="2">
        <v>0</v>
      </c>
      <c r="F1864" s="2">
        <v>0</v>
      </c>
      <c r="G1864" s="2">
        <v>0</v>
      </c>
      <c r="H1864" s="4">
        <v>0</v>
      </c>
      <c r="I1864" s="4">
        <v>0</v>
      </c>
      <c r="J1864" s="4">
        <v>0</v>
      </c>
      <c r="K1864" s="4">
        <v>0</v>
      </c>
      <c r="L1864" s="4" t="s">
        <v>6904</v>
      </c>
      <c r="M1864" s="4" t="s">
        <v>6905</v>
      </c>
      <c r="N1864" s="4" t="s">
        <v>651</v>
      </c>
      <c r="O1864" s="4" t="s">
        <v>196</v>
      </c>
      <c r="P1864" s="4" t="s">
        <v>196</v>
      </c>
      <c r="Q1864" s="4" t="s">
        <v>100</v>
      </c>
    </row>
    <row r="1865" spans="1:17" hidden="1" x14ac:dyDescent="0.2">
      <c r="A1865" s="4">
        <v>842</v>
      </c>
      <c r="B1865" s="2">
        <v>0</v>
      </c>
      <c r="C1865" s="2">
        <v>0</v>
      </c>
      <c r="D1865" s="4" t="s">
        <v>6909</v>
      </c>
      <c r="E1865" s="2">
        <v>0</v>
      </c>
      <c r="F1865" s="2">
        <v>0</v>
      </c>
      <c r="G1865" s="2">
        <v>0</v>
      </c>
      <c r="H1865" s="4">
        <v>0</v>
      </c>
      <c r="I1865" s="4">
        <v>0</v>
      </c>
      <c r="J1865" s="4">
        <v>0</v>
      </c>
      <c r="K1865" s="4">
        <v>0</v>
      </c>
      <c r="L1865" s="4" t="s">
        <v>6907</v>
      </c>
      <c r="M1865" s="4" t="s">
        <v>6908</v>
      </c>
      <c r="N1865" s="4" t="s">
        <v>6910</v>
      </c>
      <c r="O1865" s="4" t="s">
        <v>27</v>
      </c>
      <c r="P1865" s="4" t="s">
        <v>27</v>
      </c>
      <c r="Q1865" s="4" t="s">
        <v>100</v>
      </c>
    </row>
    <row r="1866" spans="1:17" hidden="1" x14ac:dyDescent="0.2">
      <c r="A1866" s="4">
        <v>843</v>
      </c>
      <c r="B1866" s="2">
        <v>0</v>
      </c>
      <c r="C1866" s="2">
        <v>0</v>
      </c>
      <c r="D1866" s="4" t="s">
        <v>6913</v>
      </c>
      <c r="E1866" s="2">
        <v>0</v>
      </c>
      <c r="F1866" s="2">
        <v>0</v>
      </c>
      <c r="G1866" s="2">
        <v>0</v>
      </c>
      <c r="H1866" s="4">
        <v>0</v>
      </c>
      <c r="I1866" s="4">
        <v>0</v>
      </c>
      <c r="J1866" s="4">
        <v>0</v>
      </c>
      <c r="K1866" s="4">
        <v>0</v>
      </c>
      <c r="L1866" s="4" t="s">
        <v>6911</v>
      </c>
      <c r="M1866" s="4" t="s">
        <v>6912</v>
      </c>
      <c r="N1866" s="4" t="s">
        <v>272</v>
      </c>
      <c r="O1866" s="4" t="s">
        <v>89</v>
      </c>
      <c r="P1866" s="4" t="s">
        <v>89</v>
      </c>
      <c r="Q1866" s="4" t="s">
        <v>100</v>
      </c>
    </row>
    <row r="1867" spans="1:17" hidden="1" x14ac:dyDescent="0.2">
      <c r="A1867" s="4">
        <v>846</v>
      </c>
      <c r="B1867" s="2">
        <v>0</v>
      </c>
      <c r="C1867" s="2">
        <v>0</v>
      </c>
      <c r="D1867" s="4" t="s">
        <v>6916</v>
      </c>
      <c r="E1867" s="2">
        <v>0</v>
      </c>
      <c r="F1867" s="2">
        <v>0</v>
      </c>
      <c r="G1867" s="2">
        <v>0</v>
      </c>
      <c r="H1867" s="4">
        <v>0</v>
      </c>
      <c r="I1867" s="4">
        <v>0</v>
      </c>
      <c r="J1867" s="4">
        <v>0</v>
      </c>
      <c r="K1867" s="4">
        <v>0</v>
      </c>
      <c r="L1867" s="4" t="s">
        <v>6914</v>
      </c>
      <c r="M1867" s="4" t="s">
        <v>6915</v>
      </c>
      <c r="N1867" s="4" t="s">
        <v>124</v>
      </c>
      <c r="O1867" s="4" t="s">
        <v>33</v>
      </c>
      <c r="P1867" s="4" t="s">
        <v>33</v>
      </c>
      <c r="Q1867" s="4" t="s">
        <v>100</v>
      </c>
    </row>
    <row r="1868" spans="1:17" hidden="1" x14ac:dyDescent="0.2">
      <c r="A1868" s="4">
        <v>866</v>
      </c>
      <c r="B1868" s="2">
        <v>0</v>
      </c>
      <c r="C1868" s="2">
        <v>0</v>
      </c>
      <c r="D1868" s="4" t="s">
        <v>6919</v>
      </c>
      <c r="E1868" s="2">
        <v>0</v>
      </c>
      <c r="F1868" s="2">
        <v>0</v>
      </c>
      <c r="G1868" s="2">
        <v>0</v>
      </c>
      <c r="H1868" s="4">
        <v>0</v>
      </c>
      <c r="I1868" s="4">
        <v>0</v>
      </c>
      <c r="J1868" s="4">
        <v>0</v>
      </c>
      <c r="K1868" s="4">
        <v>0</v>
      </c>
      <c r="L1868" s="4" t="s">
        <v>6917</v>
      </c>
      <c r="M1868" s="4" t="s">
        <v>6918</v>
      </c>
      <c r="N1868" s="4" t="s">
        <v>20</v>
      </c>
      <c r="O1868" s="4" t="s">
        <v>3938</v>
      </c>
      <c r="P1868" s="4" t="s">
        <v>3938</v>
      </c>
      <c r="Q1868" s="4" t="s">
        <v>1378</v>
      </c>
    </row>
    <row r="1869" spans="1:17" hidden="1" x14ac:dyDescent="0.2">
      <c r="A1869" s="4">
        <v>874</v>
      </c>
      <c r="B1869" s="2">
        <v>0</v>
      </c>
      <c r="C1869" s="2">
        <v>0</v>
      </c>
      <c r="D1869" s="4" t="s">
        <v>6922</v>
      </c>
      <c r="E1869" s="2">
        <v>0</v>
      </c>
      <c r="F1869" s="2">
        <v>0</v>
      </c>
      <c r="G1869" s="2">
        <v>0</v>
      </c>
      <c r="H1869" s="4">
        <v>0</v>
      </c>
      <c r="I1869" s="4">
        <v>0</v>
      </c>
      <c r="J1869" s="4">
        <v>0</v>
      </c>
      <c r="K1869" s="4">
        <v>0</v>
      </c>
      <c r="L1869" s="4" t="s">
        <v>6920</v>
      </c>
      <c r="M1869" s="4" t="s">
        <v>6921</v>
      </c>
      <c r="N1869" s="4" t="s">
        <v>6923</v>
      </c>
      <c r="O1869" s="4" t="s">
        <v>3938</v>
      </c>
      <c r="P1869" s="4" t="s">
        <v>3938</v>
      </c>
      <c r="Q1869" s="4" t="s">
        <v>1378</v>
      </c>
    </row>
    <row r="1870" spans="1:17" hidden="1" x14ac:dyDescent="0.2">
      <c r="A1870" s="4">
        <v>877</v>
      </c>
      <c r="B1870" s="2">
        <v>0</v>
      </c>
      <c r="C1870" s="2">
        <v>0</v>
      </c>
      <c r="D1870" s="4" t="s">
        <v>6926</v>
      </c>
      <c r="E1870" s="2">
        <v>0</v>
      </c>
      <c r="F1870" s="2">
        <v>0</v>
      </c>
      <c r="G1870" s="2">
        <v>0</v>
      </c>
      <c r="H1870" s="4">
        <v>0</v>
      </c>
      <c r="I1870" s="4">
        <v>0</v>
      </c>
      <c r="J1870" s="4">
        <v>0</v>
      </c>
      <c r="K1870" s="4">
        <v>0</v>
      </c>
      <c r="L1870" s="4" t="s">
        <v>6924</v>
      </c>
      <c r="M1870" s="4" t="s">
        <v>6925</v>
      </c>
      <c r="N1870" s="4" t="s">
        <v>20</v>
      </c>
      <c r="O1870" s="4" t="s">
        <v>76</v>
      </c>
      <c r="P1870" s="4" t="s">
        <v>76</v>
      </c>
      <c r="Q1870" s="4" t="s">
        <v>585</v>
      </c>
    </row>
    <row r="1871" spans="1:17" hidden="1" x14ac:dyDescent="0.2">
      <c r="A1871" s="4">
        <v>892</v>
      </c>
      <c r="B1871" s="2">
        <v>0</v>
      </c>
      <c r="C1871" s="2">
        <v>0</v>
      </c>
      <c r="D1871" s="4" t="s">
        <v>6929</v>
      </c>
      <c r="E1871" s="2">
        <v>0</v>
      </c>
      <c r="F1871" s="2">
        <v>0</v>
      </c>
      <c r="G1871" s="2">
        <v>0</v>
      </c>
      <c r="H1871" s="4">
        <v>0</v>
      </c>
      <c r="I1871" s="4">
        <v>0</v>
      </c>
      <c r="J1871" s="4">
        <v>0</v>
      </c>
      <c r="K1871" s="4">
        <v>0</v>
      </c>
      <c r="L1871" s="4" t="s">
        <v>6927</v>
      </c>
      <c r="M1871" s="4" t="s">
        <v>6928</v>
      </c>
      <c r="N1871" s="4" t="s">
        <v>565</v>
      </c>
      <c r="O1871" s="4" t="s">
        <v>42</v>
      </c>
      <c r="P1871" s="4" t="s">
        <v>42</v>
      </c>
      <c r="Q1871" s="4" t="s">
        <v>100</v>
      </c>
    </row>
    <row r="1872" spans="1:17" hidden="1" x14ac:dyDescent="0.2">
      <c r="A1872" s="4">
        <v>908</v>
      </c>
      <c r="B1872" s="2">
        <v>0</v>
      </c>
      <c r="C1872" s="2">
        <v>0</v>
      </c>
      <c r="D1872" s="4" t="s">
        <v>6932</v>
      </c>
      <c r="E1872" s="2">
        <v>0</v>
      </c>
      <c r="F1872" s="2">
        <v>0</v>
      </c>
      <c r="G1872" s="2">
        <v>0</v>
      </c>
      <c r="H1872" s="4">
        <v>0</v>
      </c>
      <c r="I1872" s="4">
        <v>0</v>
      </c>
      <c r="J1872" s="4">
        <v>0</v>
      </c>
      <c r="K1872" s="4">
        <v>0</v>
      </c>
      <c r="L1872" s="4" t="s">
        <v>6930</v>
      </c>
      <c r="M1872" s="4" t="s">
        <v>6931</v>
      </c>
      <c r="N1872" s="4" t="s">
        <v>272</v>
      </c>
      <c r="O1872" s="4" t="s">
        <v>89</v>
      </c>
      <c r="P1872" s="4" t="s">
        <v>89</v>
      </c>
      <c r="Q1872" s="4" t="s">
        <v>100</v>
      </c>
    </row>
    <row r="1873" spans="1:17" hidden="1" x14ac:dyDescent="0.2">
      <c r="A1873" s="4">
        <v>910</v>
      </c>
      <c r="B1873" s="2">
        <v>0</v>
      </c>
      <c r="C1873" s="2">
        <v>0</v>
      </c>
      <c r="D1873" s="4" t="s">
        <v>6935</v>
      </c>
      <c r="E1873" s="2">
        <v>0</v>
      </c>
      <c r="F1873" s="2">
        <v>0</v>
      </c>
      <c r="G1873" s="2">
        <v>0</v>
      </c>
      <c r="H1873" s="4">
        <v>0</v>
      </c>
      <c r="I1873" s="4">
        <v>0</v>
      </c>
      <c r="J1873" s="4">
        <v>0</v>
      </c>
      <c r="K1873" s="4">
        <v>0</v>
      </c>
      <c r="L1873" s="4" t="s">
        <v>6933</v>
      </c>
      <c r="M1873" s="4" t="s">
        <v>6934</v>
      </c>
      <c r="N1873" s="4" t="s">
        <v>2377</v>
      </c>
      <c r="O1873" s="4" t="s">
        <v>229</v>
      </c>
      <c r="P1873" s="4" t="s">
        <v>229</v>
      </c>
      <c r="Q1873" s="4" t="s">
        <v>100</v>
      </c>
    </row>
    <row r="1874" spans="1:17" hidden="1" x14ac:dyDescent="0.2">
      <c r="A1874" s="4">
        <v>933</v>
      </c>
      <c r="B1874" s="2">
        <v>0</v>
      </c>
      <c r="C1874" s="2">
        <v>0</v>
      </c>
      <c r="D1874" s="4" t="s">
        <v>6938</v>
      </c>
      <c r="E1874" s="2">
        <v>0</v>
      </c>
      <c r="F1874" s="2">
        <v>0</v>
      </c>
      <c r="G1874" s="2">
        <v>0</v>
      </c>
      <c r="H1874" s="4">
        <v>0</v>
      </c>
      <c r="I1874" s="4">
        <v>0</v>
      </c>
      <c r="J1874" s="4">
        <v>0</v>
      </c>
      <c r="K1874" s="4">
        <v>0</v>
      </c>
      <c r="L1874" s="4" t="s">
        <v>6936</v>
      </c>
      <c r="M1874" s="4" t="s">
        <v>6937</v>
      </c>
      <c r="N1874" s="4" t="s">
        <v>1143</v>
      </c>
      <c r="O1874" s="4" t="s">
        <v>386</v>
      </c>
      <c r="P1874" s="4" t="s">
        <v>386</v>
      </c>
      <c r="Q1874" s="4" t="s">
        <v>100</v>
      </c>
    </row>
    <row r="1875" spans="1:17" hidden="1" x14ac:dyDescent="0.2">
      <c r="A1875" s="4">
        <v>935</v>
      </c>
      <c r="B1875" s="2">
        <v>0</v>
      </c>
      <c r="C1875" s="2">
        <v>0</v>
      </c>
      <c r="D1875" s="4" t="s">
        <v>6941</v>
      </c>
      <c r="E1875" s="2">
        <v>0</v>
      </c>
      <c r="F1875" s="2">
        <v>0</v>
      </c>
      <c r="G1875" s="2">
        <v>0</v>
      </c>
      <c r="H1875" s="4">
        <v>0</v>
      </c>
      <c r="I1875" s="4">
        <v>0</v>
      </c>
      <c r="J1875" s="4">
        <v>0</v>
      </c>
      <c r="K1875" s="4">
        <v>0</v>
      </c>
      <c r="L1875" s="4" t="s">
        <v>6939</v>
      </c>
      <c r="M1875" s="4" t="s">
        <v>6940</v>
      </c>
      <c r="N1875" s="4" t="s">
        <v>142</v>
      </c>
      <c r="O1875" s="4" t="s">
        <v>3938</v>
      </c>
      <c r="P1875" s="4" t="s">
        <v>3938</v>
      </c>
      <c r="Q1875" s="4" t="s">
        <v>1378</v>
      </c>
    </row>
    <row r="1876" spans="1:17" hidden="1" x14ac:dyDescent="0.2">
      <c r="A1876" s="4">
        <v>942</v>
      </c>
      <c r="B1876" s="2">
        <v>0</v>
      </c>
      <c r="C1876" s="2">
        <v>0</v>
      </c>
      <c r="D1876" s="4" t="s">
        <v>6944</v>
      </c>
      <c r="E1876" s="2">
        <v>0</v>
      </c>
      <c r="F1876" s="2">
        <v>0</v>
      </c>
      <c r="G1876" s="2">
        <v>0</v>
      </c>
      <c r="H1876" s="4">
        <v>0</v>
      </c>
      <c r="I1876" s="4">
        <v>0</v>
      </c>
      <c r="J1876" s="4">
        <v>0</v>
      </c>
      <c r="K1876" s="4">
        <v>0</v>
      </c>
      <c r="L1876" s="4" t="s">
        <v>6942</v>
      </c>
      <c r="M1876" s="4" t="s">
        <v>6943</v>
      </c>
      <c r="N1876" s="4" t="s">
        <v>218</v>
      </c>
      <c r="O1876" s="4" t="s">
        <v>196</v>
      </c>
      <c r="P1876" s="4" t="s">
        <v>196</v>
      </c>
      <c r="Q1876" s="4" t="s">
        <v>100</v>
      </c>
    </row>
    <row r="1877" spans="1:17" hidden="1" x14ac:dyDescent="0.2">
      <c r="A1877" s="4">
        <v>947</v>
      </c>
      <c r="B1877" s="2">
        <v>0</v>
      </c>
      <c r="C1877" s="2">
        <v>0</v>
      </c>
      <c r="D1877" s="4" t="s">
        <v>6947</v>
      </c>
      <c r="E1877" s="2">
        <v>0</v>
      </c>
      <c r="F1877" s="2">
        <v>0</v>
      </c>
      <c r="G1877" s="2">
        <v>0</v>
      </c>
      <c r="H1877" s="4">
        <v>0</v>
      </c>
      <c r="I1877" s="4">
        <v>0</v>
      </c>
      <c r="J1877" s="4">
        <v>0</v>
      </c>
      <c r="K1877" s="4">
        <v>0</v>
      </c>
      <c r="L1877" s="4" t="s">
        <v>6945</v>
      </c>
      <c r="M1877" s="4" t="s">
        <v>6946</v>
      </c>
      <c r="N1877" s="4" t="s">
        <v>20</v>
      </c>
      <c r="O1877" s="4" t="s">
        <v>900</v>
      </c>
      <c r="P1877" s="4" t="s">
        <v>900</v>
      </c>
      <c r="Q1877" s="4" t="s">
        <v>144</v>
      </c>
    </row>
    <row r="1878" spans="1:17" hidden="1" x14ac:dyDescent="0.2">
      <c r="A1878" s="4">
        <v>951</v>
      </c>
      <c r="B1878" s="2">
        <v>0</v>
      </c>
      <c r="C1878" s="2">
        <v>0</v>
      </c>
      <c r="D1878" s="4" t="s">
        <v>6950</v>
      </c>
      <c r="E1878" s="2">
        <v>0</v>
      </c>
      <c r="F1878" s="2">
        <v>0</v>
      </c>
      <c r="G1878" s="2">
        <v>0</v>
      </c>
      <c r="H1878" s="4">
        <v>0</v>
      </c>
      <c r="I1878" s="4">
        <v>0</v>
      </c>
      <c r="J1878" s="4">
        <v>0</v>
      </c>
      <c r="K1878" s="4">
        <v>0</v>
      </c>
      <c r="L1878" s="4" t="s">
        <v>6948</v>
      </c>
      <c r="M1878" s="4" t="s">
        <v>6949</v>
      </c>
      <c r="N1878" s="4" t="s">
        <v>468</v>
      </c>
      <c r="O1878" s="4" t="s">
        <v>105</v>
      </c>
      <c r="P1878" s="4" t="s">
        <v>105</v>
      </c>
      <c r="Q1878" s="4" t="s">
        <v>100</v>
      </c>
    </row>
    <row r="1879" spans="1:17" hidden="1" x14ac:dyDescent="0.2">
      <c r="A1879" s="4">
        <v>961</v>
      </c>
      <c r="B1879" s="2">
        <v>0</v>
      </c>
      <c r="C1879" s="2">
        <v>0</v>
      </c>
      <c r="D1879" s="4" t="s">
        <v>6953</v>
      </c>
      <c r="E1879" s="2">
        <v>0</v>
      </c>
      <c r="F1879" s="2">
        <v>0</v>
      </c>
      <c r="G1879" s="2">
        <v>0</v>
      </c>
      <c r="H1879" s="4">
        <v>0</v>
      </c>
      <c r="I1879" s="4">
        <v>0</v>
      </c>
      <c r="J1879" s="4">
        <v>0</v>
      </c>
      <c r="K1879" s="4">
        <v>0</v>
      </c>
      <c r="L1879" s="4" t="s">
        <v>6951</v>
      </c>
      <c r="M1879" s="4" t="s">
        <v>6952</v>
      </c>
      <c r="N1879" s="4" t="s">
        <v>5726</v>
      </c>
      <c r="O1879" s="4" t="s">
        <v>229</v>
      </c>
      <c r="P1879" s="4" t="s">
        <v>229</v>
      </c>
      <c r="Q1879" s="4" t="s">
        <v>100</v>
      </c>
    </row>
    <row r="1880" spans="1:17" hidden="1" x14ac:dyDescent="0.2">
      <c r="A1880" s="4">
        <v>966</v>
      </c>
      <c r="B1880" s="2">
        <v>0</v>
      </c>
      <c r="C1880" s="2">
        <v>0</v>
      </c>
      <c r="D1880" s="4" t="s">
        <v>6956</v>
      </c>
      <c r="E1880" s="2">
        <v>0</v>
      </c>
      <c r="F1880" s="2">
        <v>0</v>
      </c>
      <c r="G1880" s="2">
        <v>0</v>
      </c>
      <c r="H1880" s="4">
        <v>0</v>
      </c>
      <c r="I1880" s="4">
        <v>0</v>
      </c>
      <c r="J1880" s="4">
        <v>0</v>
      </c>
      <c r="K1880" s="4">
        <v>0</v>
      </c>
      <c r="L1880" s="4" t="s">
        <v>6954</v>
      </c>
      <c r="M1880" s="4" t="s">
        <v>6955</v>
      </c>
      <c r="N1880" s="4" t="s">
        <v>20</v>
      </c>
      <c r="O1880" s="4" t="s">
        <v>76</v>
      </c>
      <c r="P1880" s="4" t="s">
        <v>76</v>
      </c>
      <c r="Q1880" s="4" t="s">
        <v>585</v>
      </c>
    </row>
    <row r="1881" spans="1:17" hidden="1" x14ac:dyDescent="0.2">
      <c r="A1881" s="4">
        <v>975</v>
      </c>
      <c r="B1881" s="2">
        <v>0</v>
      </c>
      <c r="C1881" s="2">
        <v>0</v>
      </c>
      <c r="D1881" s="4" t="s">
        <v>6958</v>
      </c>
      <c r="E1881" s="2">
        <v>0</v>
      </c>
      <c r="F1881" s="2">
        <v>0</v>
      </c>
      <c r="G1881" s="2">
        <v>0</v>
      </c>
      <c r="H1881" s="4">
        <v>0</v>
      </c>
      <c r="I1881" s="4">
        <v>0</v>
      </c>
      <c r="J1881" s="4">
        <v>0</v>
      </c>
      <c r="K1881" s="4">
        <v>0</v>
      </c>
      <c r="L1881" s="4" t="s">
        <v>6957</v>
      </c>
      <c r="M1881" s="4" t="s">
        <v>6957</v>
      </c>
      <c r="N1881" s="4" t="s">
        <v>20</v>
      </c>
      <c r="O1881" s="4" t="s">
        <v>900</v>
      </c>
      <c r="P1881" s="4" t="s">
        <v>900</v>
      </c>
      <c r="Q1881" s="4" t="s">
        <v>144</v>
      </c>
    </row>
    <row r="1882" spans="1:17" hidden="1" x14ac:dyDescent="0.2">
      <c r="A1882" s="4">
        <v>1009</v>
      </c>
      <c r="B1882" s="2">
        <v>0</v>
      </c>
      <c r="C1882" s="2">
        <v>0</v>
      </c>
      <c r="D1882" s="4" t="s">
        <v>5362</v>
      </c>
      <c r="E1882" s="2">
        <v>0</v>
      </c>
      <c r="F1882" s="2">
        <v>0</v>
      </c>
      <c r="G1882" s="2">
        <v>0</v>
      </c>
      <c r="H1882" s="4">
        <v>0</v>
      </c>
      <c r="I1882" s="4">
        <v>0</v>
      </c>
      <c r="J1882" s="4">
        <v>0</v>
      </c>
      <c r="K1882" s="4">
        <v>0</v>
      </c>
      <c r="L1882" s="4" t="s">
        <v>5360</v>
      </c>
      <c r="M1882" s="4" t="s">
        <v>5361</v>
      </c>
      <c r="N1882" s="4" t="s">
        <v>58</v>
      </c>
      <c r="O1882" s="4" t="s">
        <v>1039</v>
      </c>
      <c r="P1882" s="4" t="s">
        <v>1039</v>
      </c>
      <c r="Q1882" s="4" t="s">
        <v>28</v>
      </c>
    </row>
    <row r="1883" spans="1:17" hidden="1" x14ac:dyDescent="0.2">
      <c r="A1883" s="4">
        <v>1027</v>
      </c>
      <c r="B1883" s="2">
        <v>0</v>
      </c>
      <c r="C1883" s="2">
        <v>0</v>
      </c>
      <c r="D1883" s="4" t="s">
        <v>6961</v>
      </c>
      <c r="E1883" s="2">
        <v>0</v>
      </c>
      <c r="F1883" s="2">
        <v>0</v>
      </c>
      <c r="G1883" s="2">
        <v>0</v>
      </c>
      <c r="H1883" s="4">
        <v>0</v>
      </c>
      <c r="I1883" s="4">
        <v>0</v>
      </c>
      <c r="J1883" s="4">
        <v>0</v>
      </c>
      <c r="K1883" s="4">
        <v>0</v>
      </c>
      <c r="L1883" s="4" t="s">
        <v>6959</v>
      </c>
      <c r="M1883" s="4" t="s">
        <v>6960</v>
      </c>
      <c r="N1883" s="4" t="s">
        <v>20</v>
      </c>
      <c r="O1883" s="4" t="s">
        <v>3938</v>
      </c>
      <c r="P1883" s="4" t="s">
        <v>3938</v>
      </c>
      <c r="Q1883" s="4" t="s">
        <v>1378</v>
      </c>
    </row>
    <row r="1884" spans="1:17" hidden="1" x14ac:dyDescent="0.2">
      <c r="A1884" s="4">
        <v>1028</v>
      </c>
      <c r="B1884" s="2">
        <v>0</v>
      </c>
      <c r="C1884" s="2">
        <v>0</v>
      </c>
      <c r="D1884" s="4" t="s">
        <v>6964</v>
      </c>
      <c r="E1884" s="2">
        <v>0</v>
      </c>
      <c r="F1884" s="2">
        <v>0</v>
      </c>
      <c r="G1884" s="2">
        <v>0</v>
      </c>
      <c r="H1884" s="4">
        <v>0</v>
      </c>
      <c r="I1884" s="4">
        <v>0</v>
      </c>
      <c r="J1884" s="4">
        <v>0</v>
      </c>
      <c r="K1884" s="4">
        <v>0</v>
      </c>
      <c r="L1884" s="4" t="s">
        <v>6962</v>
      </c>
      <c r="M1884" s="4" t="s">
        <v>6963</v>
      </c>
      <c r="N1884" s="4" t="s">
        <v>1783</v>
      </c>
      <c r="O1884" s="4" t="s">
        <v>900</v>
      </c>
      <c r="P1884" s="4" t="s">
        <v>900</v>
      </c>
      <c r="Q1884" s="4" t="s">
        <v>144</v>
      </c>
    </row>
    <row r="1885" spans="1:17" hidden="1" x14ac:dyDescent="0.2">
      <c r="A1885" s="4">
        <v>1029</v>
      </c>
      <c r="B1885" s="2">
        <v>0</v>
      </c>
      <c r="C1885" s="2">
        <v>0</v>
      </c>
      <c r="D1885" s="4" t="s">
        <v>6967</v>
      </c>
      <c r="E1885" s="2">
        <v>0</v>
      </c>
      <c r="F1885" s="2">
        <v>0</v>
      </c>
      <c r="G1885" s="2">
        <v>0</v>
      </c>
      <c r="H1885" s="4">
        <v>0</v>
      </c>
      <c r="I1885" s="4">
        <v>0</v>
      </c>
      <c r="J1885" s="4">
        <v>0</v>
      </c>
      <c r="K1885" s="4">
        <v>0</v>
      </c>
      <c r="L1885" s="4" t="s">
        <v>6965</v>
      </c>
      <c r="M1885" s="4" t="s">
        <v>6966</v>
      </c>
      <c r="N1885" s="4" t="s">
        <v>6968</v>
      </c>
      <c r="O1885" s="4" t="s">
        <v>559</v>
      </c>
      <c r="P1885" s="4" t="s">
        <v>559</v>
      </c>
      <c r="Q1885" s="4" t="s">
        <v>100</v>
      </c>
    </row>
    <row r="1886" spans="1:17" hidden="1" x14ac:dyDescent="0.2">
      <c r="A1886" s="4">
        <v>1030</v>
      </c>
      <c r="B1886" s="2">
        <v>0</v>
      </c>
      <c r="C1886" s="2">
        <v>0</v>
      </c>
      <c r="D1886" s="4" t="s">
        <v>6971</v>
      </c>
      <c r="E1886" s="2">
        <v>0</v>
      </c>
      <c r="F1886" s="2">
        <v>0</v>
      </c>
      <c r="G1886" s="2">
        <v>0</v>
      </c>
      <c r="H1886" s="4">
        <v>0</v>
      </c>
      <c r="I1886" s="4">
        <v>0</v>
      </c>
      <c r="J1886" s="4">
        <v>0</v>
      </c>
      <c r="K1886" s="4">
        <v>0</v>
      </c>
      <c r="L1886" s="4" t="s">
        <v>6969</v>
      </c>
      <c r="M1886" s="4" t="s">
        <v>6970</v>
      </c>
      <c r="N1886" s="4" t="s">
        <v>415</v>
      </c>
      <c r="O1886" s="4" t="s">
        <v>900</v>
      </c>
      <c r="P1886" s="4" t="s">
        <v>900</v>
      </c>
      <c r="Q1886" s="4" t="s">
        <v>408</v>
      </c>
    </row>
    <row r="1887" spans="1:17" hidden="1" x14ac:dyDescent="0.2">
      <c r="A1887" s="4">
        <v>1039</v>
      </c>
      <c r="B1887" s="2">
        <v>0</v>
      </c>
      <c r="C1887" s="2">
        <v>0</v>
      </c>
      <c r="D1887" s="4" t="s">
        <v>6974</v>
      </c>
      <c r="E1887" s="2">
        <v>0</v>
      </c>
      <c r="F1887" s="2">
        <v>0</v>
      </c>
      <c r="G1887" s="2">
        <v>0</v>
      </c>
      <c r="H1887" s="4">
        <v>0</v>
      </c>
      <c r="I1887" s="4">
        <v>0</v>
      </c>
      <c r="J1887" s="4">
        <v>0</v>
      </c>
      <c r="K1887" s="4">
        <v>0</v>
      </c>
      <c r="L1887" s="4" t="s">
        <v>6972</v>
      </c>
      <c r="M1887" s="4" t="s">
        <v>6973</v>
      </c>
      <c r="N1887" s="4" t="s">
        <v>6975</v>
      </c>
      <c r="O1887" s="4" t="s">
        <v>196</v>
      </c>
      <c r="P1887" s="4" t="s">
        <v>196</v>
      </c>
      <c r="Q1887" s="4" t="s">
        <v>100</v>
      </c>
    </row>
    <row r="1888" spans="1:17" hidden="1" x14ac:dyDescent="0.2">
      <c r="A1888" s="4">
        <v>1041</v>
      </c>
      <c r="B1888" s="2">
        <v>0</v>
      </c>
      <c r="C1888" s="2">
        <v>0</v>
      </c>
      <c r="D1888" s="4" t="s">
        <v>6978</v>
      </c>
      <c r="E1888" s="2">
        <v>0</v>
      </c>
      <c r="F1888" s="2">
        <v>0</v>
      </c>
      <c r="G1888" s="2">
        <v>0</v>
      </c>
      <c r="H1888" s="4">
        <v>0</v>
      </c>
      <c r="I1888" s="4">
        <v>0</v>
      </c>
      <c r="J1888" s="4">
        <v>0</v>
      </c>
      <c r="K1888" s="4">
        <v>0</v>
      </c>
      <c r="L1888" s="4" t="s">
        <v>6976</v>
      </c>
      <c r="M1888" s="4" t="s">
        <v>6977</v>
      </c>
      <c r="N1888" s="4" t="s">
        <v>20</v>
      </c>
      <c r="O1888" s="4" t="s">
        <v>76</v>
      </c>
      <c r="P1888" s="4" t="s">
        <v>76</v>
      </c>
      <c r="Q1888" s="4" t="s">
        <v>1378</v>
      </c>
    </row>
    <row r="1889" spans="1:17" hidden="1" x14ac:dyDescent="0.2">
      <c r="A1889" s="4">
        <v>1042</v>
      </c>
      <c r="B1889" s="2">
        <v>0</v>
      </c>
      <c r="C1889" s="2">
        <v>0</v>
      </c>
      <c r="D1889" s="4" t="s">
        <v>6981</v>
      </c>
      <c r="E1889" s="2">
        <v>0</v>
      </c>
      <c r="F1889" s="2">
        <v>0</v>
      </c>
      <c r="G1889" s="2">
        <v>0</v>
      </c>
      <c r="H1889" s="4">
        <v>0</v>
      </c>
      <c r="I1889" s="4">
        <v>0</v>
      </c>
      <c r="J1889" s="4">
        <v>0</v>
      </c>
      <c r="K1889" s="4">
        <v>0</v>
      </c>
      <c r="L1889" s="4" t="s">
        <v>6979</v>
      </c>
      <c r="M1889" s="4" t="s">
        <v>6980</v>
      </c>
      <c r="N1889" s="4" t="s">
        <v>20</v>
      </c>
      <c r="O1889" s="4" t="s">
        <v>76</v>
      </c>
      <c r="P1889" s="4" t="s">
        <v>76</v>
      </c>
      <c r="Q1889" s="4" t="s">
        <v>1378</v>
      </c>
    </row>
    <row r="1890" spans="1:17" hidden="1" x14ac:dyDescent="0.2">
      <c r="A1890" s="4">
        <v>1045</v>
      </c>
      <c r="B1890" s="2">
        <v>0</v>
      </c>
      <c r="C1890" s="2">
        <v>0</v>
      </c>
      <c r="D1890" s="4" t="s">
        <v>6984</v>
      </c>
      <c r="E1890" s="2">
        <v>0</v>
      </c>
      <c r="F1890" s="2">
        <v>0</v>
      </c>
      <c r="G1890" s="2">
        <v>0</v>
      </c>
      <c r="H1890" s="4">
        <v>0</v>
      </c>
      <c r="I1890" s="4">
        <v>0</v>
      </c>
      <c r="J1890" s="4">
        <v>0</v>
      </c>
      <c r="K1890" s="4">
        <v>0</v>
      </c>
      <c r="L1890" s="4" t="s">
        <v>6982</v>
      </c>
      <c r="M1890" s="4" t="s">
        <v>6983</v>
      </c>
      <c r="N1890" s="4" t="s">
        <v>20</v>
      </c>
      <c r="O1890" s="4" t="s">
        <v>900</v>
      </c>
      <c r="P1890" s="4" t="s">
        <v>900</v>
      </c>
      <c r="Q1890" s="4" t="s">
        <v>144</v>
      </c>
    </row>
    <row r="1891" spans="1:17" hidden="1" x14ac:dyDescent="0.2">
      <c r="A1891" s="4">
        <v>1050</v>
      </c>
      <c r="B1891" s="2">
        <v>0</v>
      </c>
      <c r="C1891" s="2">
        <v>0</v>
      </c>
      <c r="D1891" s="4" t="s">
        <v>6987</v>
      </c>
      <c r="E1891" s="2">
        <v>0</v>
      </c>
      <c r="F1891" s="2">
        <v>0</v>
      </c>
      <c r="G1891" s="2">
        <v>0</v>
      </c>
      <c r="H1891" s="4">
        <v>0</v>
      </c>
      <c r="I1891" s="4">
        <v>0</v>
      </c>
      <c r="J1891" s="4">
        <v>0</v>
      </c>
      <c r="K1891" s="4">
        <v>0</v>
      </c>
      <c r="L1891" s="4" t="s">
        <v>6985</v>
      </c>
      <c r="M1891" s="4" t="s">
        <v>6986</v>
      </c>
      <c r="N1891" s="4" t="s">
        <v>695</v>
      </c>
      <c r="O1891" s="4" t="s">
        <v>67</v>
      </c>
      <c r="P1891" s="4" t="s">
        <v>67</v>
      </c>
      <c r="Q1891" s="4" t="s">
        <v>100</v>
      </c>
    </row>
    <row r="1892" spans="1:17" hidden="1" x14ac:dyDescent="0.2">
      <c r="A1892" s="4">
        <v>1056</v>
      </c>
      <c r="B1892" s="2">
        <v>0</v>
      </c>
      <c r="C1892" s="2">
        <v>0</v>
      </c>
      <c r="D1892" s="4" t="s">
        <v>6990</v>
      </c>
      <c r="E1892" s="2">
        <v>0</v>
      </c>
      <c r="F1892" s="2">
        <v>0</v>
      </c>
      <c r="G1892" s="2">
        <v>0</v>
      </c>
      <c r="H1892" s="4">
        <v>0</v>
      </c>
      <c r="I1892" s="4">
        <v>0</v>
      </c>
      <c r="J1892" s="4">
        <v>0</v>
      </c>
      <c r="K1892" s="4">
        <v>0</v>
      </c>
      <c r="L1892" s="4" t="s">
        <v>6988</v>
      </c>
      <c r="M1892" s="4" t="s">
        <v>6989</v>
      </c>
      <c r="N1892" s="4" t="s">
        <v>58</v>
      </c>
      <c r="O1892" s="4" t="s">
        <v>59</v>
      </c>
      <c r="P1892" s="4" t="s">
        <v>59</v>
      </c>
      <c r="Q1892" s="4" t="s">
        <v>100</v>
      </c>
    </row>
    <row r="1893" spans="1:17" hidden="1" x14ac:dyDescent="0.2">
      <c r="A1893" s="4">
        <v>1060</v>
      </c>
      <c r="B1893" s="2">
        <v>0</v>
      </c>
      <c r="C1893" s="2">
        <v>0</v>
      </c>
      <c r="D1893" s="4" t="s">
        <v>6993</v>
      </c>
      <c r="E1893" s="2">
        <v>0</v>
      </c>
      <c r="F1893" s="2">
        <v>0</v>
      </c>
      <c r="G1893" s="2">
        <v>0</v>
      </c>
      <c r="H1893" s="4">
        <v>0</v>
      </c>
      <c r="I1893" s="4">
        <v>0</v>
      </c>
      <c r="J1893" s="4">
        <v>0</v>
      </c>
      <c r="K1893" s="4">
        <v>0</v>
      </c>
      <c r="L1893" s="4" t="s">
        <v>6991</v>
      </c>
      <c r="M1893" s="4" t="s">
        <v>6992</v>
      </c>
      <c r="N1893" s="4" t="s">
        <v>20</v>
      </c>
      <c r="O1893" s="4" t="s">
        <v>386</v>
      </c>
      <c r="P1893" s="4" t="s">
        <v>386</v>
      </c>
      <c r="Q1893" s="4" t="s">
        <v>585</v>
      </c>
    </row>
    <row r="1894" spans="1:17" hidden="1" x14ac:dyDescent="0.2">
      <c r="A1894" s="4">
        <v>1064</v>
      </c>
      <c r="B1894" s="2">
        <v>0</v>
      </c>
      <c r="C1894" s="2">
        <v>0</v>
      </c>
      <c r="D1894" s="4" t="s">
        <v>6996</v>
      </c>
      <c r="E1894" s="2">
        <v>0</v>
      </c>
      <c r="F1894" s="2">
        <v>0</v>
      </c>
      <c r="G1894" s="2">
        <v>0</v>
      </c>
      <c r="H1894" s="4">
        <v>0</v>
      </c>
      <c r="I1894" s="4">
        <v>0</v>
      </c>
      <c r="J1894" s="4">
        <v>0</v>
      </c>
      <c r="K1894" s="4">
        <v>0</v>
      </c>
      <c r="L1894" s="4" t="s">
        <v>6994</v>
      </c>
      <c r="M1894" s="4" t="s">
        <v>6995</v>
      </c>
      <c r="N1894" s="4" t="s">
        <v>20</v>
      </c>
      <c r="O1894" s="4" t="s">
        <v>386</v>
      </c>
      <c r="P1894" s="4" t="s">
        <v>386</v>
      </c>
      <c r="Q1894" s="4" t="s">
        <v>585</v>
      </c>
    </row>
    <row r="1895" spans="1:17" hidden="1" x14ac:dyDescent="0.2">
      <c r="A1895" s="4">
        <v>1069</v>
      </c>
      <c r="B1895" s="2">
        <v>0</v>
      </c>
      <c r="C1895" s="2">
        <v>0</v>
      </c>
      <c r="D1895" s="4" t="s">
        <v>6999</v>
      </c>
      <c r="E1895" s="2">
        <v>0</v>
      </c>
      <c r="F1895" s="2">
        <v>0</v>
      </c>
      <c r="G1895" s="2">
        <v>0</v>
      </c>
      <c r="H1895" s="4">
        <v>0</v>
      </c>
      <c r="I1895" s="4">
        <v>0</v>
      </c>
      <c r="J1895" s="4">
        <v>0</v>
      </c>
      <c r="K1895" s="4">
        <v>0</v>
      </c>
      <c r="L1895" s="4" t="s">
        <v>6997</v>
      </c>
      <c r="M1895" s="4" t="s">
        <v>6998</v>
      </c>
      <c r="N1895" s="4" t="s">
        <v>20</v>
      </c>
      <c r="O1895" s="4" t="s">
        <v>1356</v>
      </c>
      <c r="P1895" s="4" t="s">
        <v>1356</v>
      </c>
      <c r="Q1895" s="4" t="s">
        <v>100</v>
      </c>
    </row>
    <row r="1896" spans="1:17" hidden="1" x14ac:dyDescent="0.2">
      <c r="A1896" s="4">
        <v>1070</v>
      </c>
      <c r="B1896" s="2">
        <v>0</v>
      </c>
      <c r="C1896" s="2">
        <v>0</v>
      </c>
      <c r="D1896" s="4" t="s">
        <v>7002</v>
      </c>
      <c r="E1896" s="2">
        <v>0</v>
      </c>
      <c r="F1896" s="2">
        <v>0</v>
      </c>
      <c r="G1896" s="2">
        <v>0</v>
      </c>
      <c r="H1896" s="4">
        <v>0</v>
      </c>
      <c r="I1896" s="4">
        <v>0</v>
      </c>
      <c r="J1896" s="4">
        <v>0</v>
      </c>
      <c r="K1896" s="4">
        <v>0</v>
      </c>
      <c r="L1896" s="4" t="s">
        <v>7000</v>
      </c>
      <c r="M1896" s="4" t="s">
        <v>7001</v>
      </c>
      <c r="N1896" s="4" t="s">
        <v>20</v>
      </c>
      <c r="O1896" s="4" t="s">
        <v>76</v>
      </c>
      <c r="P1896" s="4" t="s">
        <v>76</v>
      </c>
      <c r="Q1896" s="4" t="s">
        <v>585</v>
      </c>
    </row>
    <row r="1897" spans="1:17" hidden="1" x14ac:dyDescent="0.2">
      <c r="A1897" s="4">
        <v>1076</v>
      </c>
      <c r="B1897" s="2">
        <v>0</v>
      </c>
      <c r="C1897" s="2">
        <v>0</v>
      </c>
      <c r="D1897" s="4" t="s">
        <v>7005</v>
      </c>
      <c r="E1897" s="2">
        <v>0</v>
      </c>
      <c r="F1897" s="2">
        <v>0</v>
      </c>
      <c r="G1897" s="2">
        <v>0</v>
      </c>
      <c r="H1897" s="4">
        <v>0</v>
      </c>
      <c r="I1897" s="4">
        <v>0</v>
      </c>
      <c r="J1897" s="4">
        <v>0</v>
      </c>
      <c r="K1897" s="4">
        <v>0</v>
      </c>
      <c r="L1897" s="4" t="s">
        <v>7003</v>
      </c>
      <c r="M1897" s="4" t="s">
        <v>7004</v>
      </c>
      <c r="N1897" s="4" t="s">
        <v>20</v>
      </c>
      <c r="O1897" s="4" t="s">
        <v>76</v>
      </c>
      <c r="P1897" s="4" t="s">
        <v>76</v>
      </c>
      <c r="Q1897" s="4" t="s">
        <v>585</v>
      </c>
    </row>
    <row r="1898" spans="1:17" hidden="1" x14ac:dyDescent="0.2">
      <c r="A1898" s="4">
        <v>1079</v>
      </c>
      <c r="B1898" s="2">
        <v>0</v>
      </c>
      <c r="C1898" s="2">
        <v>0</v>
      </c>
      <c r="D1898" s="4" t="s">
        <v>7008</v>
      </c>
      <c r="E1898" s="2">
        <v>0</v>
      </c>
      <c r="F1898" s="2">
        <v>0</v>
      </c>
      <c r="G1898" s="2">
        <v>0</v>
      </c>
      <c r="H1898" s="4">
        <v>0</v>
      </c>
      <c r="I1898" s="4">
        <v>0</v>
      </c>
      <c r="J1898" s="4">
        <v>0</v>
      </c>
      <c r="K1898" s="4">
        <v>0</v>
      </c>
      <c r="L1898" s="4" t="s">
        <v>7006</v>
      </c>
      <c r="M1898" s="4" t="s">
        <v>7007</v>
      </c>
      <c r="N1898" s="4" t="s">
        <v>20</v>
      </c>
      <c r="O1898" s="4" t="s">
        <v>76</v>
      </c>
      <c r="P1898" s="4" t="s">
        <v>76</v>
      </c>
      <c r="Q1898" s="4" t="s">
        <v>1378</v>
      </c>
    </row>
    <row r="1899" spans="1:17" hidden="1" x14ac:dyDescent="0.2">
      <c r="A1899" s="4">
        <v>1087</v>
      </c>
      <c r="B1899" s="2">
        <v>0</v>
      </c>
      <c r="C1899" s="2">
        <v>0</v>
      </c>
      <c r="D1899" s="4" t="s">
        <v>7011</v>
      </c>
      <c r="E1899" s="2">
        <v>0</v>
      </c>
      <c r="F1899" s="2">
        <v>0</v>
      </c>
      <c r="G1899" s="2">
        <v>0</v>
      </c>
      <c r="H1899" s="4">
        <v>0</v>
      </c>
      <c r="I1899" s="4">
        <v>0</v>
      </c>
      <c r="J1899" s="4">
        <v>0</v>
      </c>
      <c r="K1899" s="4">
        <v>0</v>
      </c>
      <c r="L1899" s="4" t="s">
        <v>7009</v>
      </c>
      <c r="M1899" s="4" t="s">
        <v>7010</v>
      </c>
      <c r="N1899" s="4" t="s">
        <v>272</v>
      </c>
      <c r="O1899" s="4" t="s">
        <v>1891</v>
      </c>
      <c r="P1899" s="4" t="s">
        <v>1891</v>
      </c>
      <c r="Q1899" s="4" t="s">
        <v>1378</v>
      </c>
    </row>
    <row r="1900" spans="1:17" hidden="1" x14ac:dyDescent="0.2">
      <c r="A1900" s="4">
        <v>1089</v>
      </c>
      <c r="B1900" s="2">
        <v>0</v>
      </c>
      <c r="C1900" s="2">
        <v>0</v>
      </c>
      <c r="D1900" s="4" t="s">
        <v>7014</v>
      </c>
      <c r="E1900" s="2">
        <v>0</v>
      </c>
      <c r="F1900" s="2">
        <v>0</v>
      </c>
      <c r="G1900" s="2">
        <v>0</v>
      </c>
      <c r="H1900" s="4">
        <v>0</v>
      </c>
      <c r="I1900" s="4">
        <v>0</v>
      </c>
      <c r="J1900" s="4">
        <v>0</v>
      </c>
      <c r="K1900" s="4">
        <v>0</v>
      </c>
      <c r="L1900" s="4" t="s">
        <v>7012</v>
      </c>
      <c r="M1900" s="4" t="s">
        <v>7013</v>
      </c>
      <c r="N1900" s="4" t="s">
        <v>20</v>
      </c>
      <c r="O1900" s="4" t="s">
        <v>76</v>
      </c>
      <c r="P1900" s="4" t="s">
        <v>76</v>
      </c>
      <c r="Q1900" s="4" t="s">
        <v>100</v>
      </c>
    </row>
    <row r="1901" spans="1:17" hidden="1" x14ac:dyDescent="0.2">
      <c r="A1901" s="4">
        <v>1090</v>
      </c>
      <c r="B1901" s="2">
        <v>0</v>
      </c>
      <c r="C1901" s="2">
        <v>0</v>
      </c>
      <c r="D1901" s="4" t="s">
        <v>7017</v>
      </c>
      <c r="E1901" s="2">
        <v>0</v>
      </c>
      <c r="F1901" s="2">
        <v>0</v>
      </c>
      <c r="G1901" s="2">
        <v>0</v>
      </c>
      <c r="H1901" s="4">
        <v>0</v>
      </c>
      <c r="I1901" s="4">
        <v>0</v>
      </c>
      <c r="J1901" s="4">
        <v>0</v>
      </c>
      <c r="K1901" s="4">
        <v>0</v>
      </c>
      <c r="L1901" s="4" t="s">
        <v>7015</v>
      </c>
      <c r="M1901" s="4" t="s">
        <v>7016</v>
      </c>
      <c r="N1901" s="4" t="s">
        <v>20</v>
      </c>
      <c r="O1901" s="4" t="s">
        <v>316</v>
      </c>
      <c r="P1901" s="4" t="s">
        <v>316</v>
      </c>
      <c r="Q1901" s="4" t="s">
        <v>100</v>
      </c>
    </row>
    <row r="1902" spans="1:17" hidden="1" x14ac:dyDescent="0.2">
      <c r="A1902" s="4">
        <v>1092</v>
      </c>
      <c r="B1902" s="2">
        <v>0</v>
      </c>
      <c r="C1902" s="2">
        <v>0</v>
      </c>
      <c r="D1902" s="4" t="s">
        <v>7020</v>
      </c>
      <c r="E1902" s="2">
        <v>0</v>
      </c>
      <c r="F1902" s="2">
        <v>0</v>
      </c>
      <c r="G1902" s="2">
        <v>0</v>
      </c>
      <c r="H1902" s="4">
        <v>0</v>
      </c>
      <c r="I1902" s="4">
        <v>0</v>
      </c>
      <c r="J1902" s="4">
        <v>0</v>
      </c>
      <c r="K1902" s="4">
        <v>0</v>
      </c>
      <c r="L1902" s="4" t="s">
        <v>7018</v>
      </c>
      <c r="M1902" s="4" t="s">
        <v>7019</v>
      </c>
      <c r="N1902" s="4" t="s">
        <v>648</v>
      </c>
      <c r="O1902" s="4" t="s">
        <v>1891</v>
      </c>
      <c r="P1902" s="4" t="s">
        <v>1891</v>
      </c>
      <c r="Q1902" s="4" t="s">
        <v>1378</v>
      </c>
    </row>
    <row r="1903" spans="1:17" hidden="1" x14ac:dyDescent="0.2">
      <c r="A1903" s="4">
        <v>1097</v>
      </c>
      <c r="B1903" s="2">
        <v>0</v>
      </c>
      <c r="C1903" s="2">
        <v>0</v>
      </c>
      <c r="D1903" s="4" t="s">
        <v>7023</v>
      </c>
      <c r="E1903" s="2">
        <v>0</v>
      </c>
      <c r="F1903" s="2">
        <v>0</v>
      </c>
      <c r="G1903" s="2">
        <v>0</v>
      </c>
      <c r="H1903" s="4">
        <v>0</v>
      </c>
      <c r="I1903" s="4">
        <v>0</v>
      </c>
      <c r="J1903" s="4">
        <v>0</v>
      </c>
      <c r="K1903" s="4">
        <v>0</v>
      </c>
      <c r="L1903" s="4" t="s">
        <v>7021</v>
      </c>
      <c r="M1903" s="4" t="s">
        <v>7022</v>
      </c>
      <c r="N1903" s="4" t="s">
        <v>20</v>
      </c>
      <c r="O1903" s="4" t="s">
        <v>261</v>
      </c>
      <c r="P1903" s="4" t="s">
        <v>261</v>
      </c>
      <c r="Q1903" s="4" t="s">
        <v>100</v>
      </c>
    </row>
    <row r="1904" spans="1:17" hidden="1" x14ac:dyDescent="0.2">
      <c r="A1904" s="4">
        <v>1103</v>
      </c>
      <c r="B1904" s="2">
        <v>0</v>
      </c>
      <c r="C1904" s="2">
        <v>0</v>
      </c>
      <c r="D1904" s="4" t="s">
        <v>7026</v>
      </c>
      <c r="E1904" s="2">
        <v>0</v>
      </c>
      <c r="F1904" s="2">
        <v>0</v>
      </c>
      <c r="G1904" s="2">
        <v>0</v>
      </c>
      <c r="H1904" s="4">
        <v>0</v>
      </c>
      <c r="I1904" s="4">
        <v>0</v>
      </c>
      <c r="J1904" s="4">
        <v>0</v>
      </c>
      <c r="K1904" s="4">
        <v>0</v>
      </c>
      <c r="L1904" s="4" t="s">
        <v>7024</v>
      </c>
      <c r="M1904" s="4" t="s">
        <v>7025</v>
      </c>
      <c r="N1904" s="4" t="s">
        <v>20</v>
      </c>
      <c r="O1904" s="4" t="s">
        <v>386</v>
      </c>
      <c r="P1904" s="4" t="s">
        <v>386</v>
      </c>
      <c r="Q1904" s="4" t="s">
        <v>1378</v>
      </c>
    </row>
    <row r="1905" spans="1:17" hidden="1" x14ac:dyDescent="0.2">
      <c r="A1905" s="4">
        <v>1116</v>
      </c>
      <c r="B1905" s="2">
        <v>0</v>
      </c>
      <c r="C1905" s="2">
        <v>0</v>
      </c>
      <c r="D1905" s="4" t="s">
        <v>7029</v>
      </c>
      <c r="E1905" s="2">
        <v>0</v>
      </c>
      <c r="F1905" s="2">
        <v>0</v>
      </c>
      <c r="G1905" s="2">
        <v>0</v>
      </c>
      <c r="H1905" s="4">
        <v>0</v>
      </c>
      <c r="I1905" s="4">
        <v>0</v>
      </c>
      <c r="J1905" s="4">
        <v>0</v>
      </c>
      <c r="K1905" s="4">
        <v>0</v>
      </c>
      <c r="L1905" s="4" t="s">
        <v>7027</v>
      </c>
      <c r="M1905" s="4" t="s">
        <v>7028</v>
      </c>
      <c r="N1905" s="4" t="s">
        <v>20</v>
      </c>
      <c r="O1905" s="4" t="s">
        <v>900</v>
      </c>
      <c r="P1905" s="4" t="s">
        <v>900</v>
      </c>
      <c r="Q1905" s="4" t="s">
        <v>144</v>
      </c>
    </row>
    <row r="1906" spans="1:17" hidden="1" x14ac:dyDescent="0.2">
      <c r="A1906" s="4">
        <v>1119</v>
      </c>
      <c r="B1906" s="2">
        <v>0</v>
      </c>
      <c r="C1906" s="2">
        <v>0</v>
      </c>
      <c r="D1906" s="4" t="s">
        <v>7032</v>
      </c>
      <c r="E1906" s="2">
        <v>0</v>
      </c>
      <c r="F1906" s="2">
        <v>0</v>
      </c>
      <c r="G1906" s="2">
        <v>0</v>
      </c>
      <c r="H1906" s="4">
        <v>0</v>
      </c>
      <c r="I1906" s="4">
        <v>0</v>
      </c>
      <c r="J1906" s="4">
        <v>0</v>
      </c>
      <c r="K1906" s="4">
        <v>0</v>
      </c>
      <c r="L1906" s="4" t="s">
        <v>7030</v>
      </c>
      <c r="M1906" s="4" t="s">
        <v>7031</v>
      </c>
      <c r="N1906" s="4" t="s">
        <v>20</v>
      </c>
      <c r="O1906" s="4" t="s">
        <v>3938</v>
      </c>
      <c r="P1906" s="4" t="s">
        <v>3938</v>
      </c>
      <c r="Q1906" s="4" t="s">
        <v>1378</v>
      </c>
    </row>
    <row r="1907" spans="1:17" hidden="1" x14ac:dyDescent="0.2">
      <c r="A1907" s="4">
        <v>1142</v>
      </c>
      <c r="B1907" s="2">
        <v>0</v>
      </c>
      <c r="C1907" s="2">
        <v>0</v>
      </c>
      <c r="D1907" s="4" t="s">
        <v>7035</v>
      </c>
      <c r="E1907" s="2">
        <v>0</v>
      </c>
      <c r="F1907" s="2">
        <v>0</v>
      </c>
      <c r="G1907" s="2">
        <v>0</v>
      </c>
      <c r="H1907" s="4">
        <v>0</v>
      </c>
      <c r="I1907" s="4">
        <v>0</v>
      </c>
      <c r="J1907" s="4">
        <v>0</v>
      </c>
      <c r="K1907" s="4">
        <v>0</v>
      </c>
      <c r="L1907" s="4" t="s">
        <v>7033</v>
      </c>
      <c r="M1907" s="4" t="s">
        <v>7034</v>
      </c>
      <c r="N1907" s="4" t="s">
        <v>20</v>
      </c>
      <c r="O1907" s="4" t="s">
        <v>3938</v>
      </c>
      <c r="P1907" s="4" t="s">
        <v>3938</v>
      </c>
      <c r="Q1907" s="4" t="s">
        <v>1378</v>
      </c>
    </row>
    <row r="1908" spans="1:17" hidden="1" x14ac:dyDescent="0.2">
      <c r="A1908" s="4">
        <v>1147</v>
      </c>
      <c r="B1908" s="2">
        <v>0</v>
      </c>
      <c r="C1908" s="2">
        <v>0</v>
      </c>
      <c r="D1908" s="4" t="s">
        <v>7038</v>
      </c>
      <c r="E1908" s="2">
        <v>0</v>
      </c>
      <c r="F1908" s="2">
        <v>0</v>
      </c>
      <c r="G1908" s="2">
        <v>0</v>
      </c>
      <c r="H1908" s="4">
        <v>0</v>
      </c>
      <c r="I1908" s="4">
        <v>0</v>
      </c>
      <c r="J1908" s="4">
        <v>0</v>
      </c>
      <c r="K1908" s="4">
        <v>0</v>
      </c>
      <c r="L1908" s="4" t="s">
        <v>7036</v>
      </c>
      <c r="M1908" s="4" t="s">
        <v>7037</v>
      </c>
      <c r="N1908" s="4" t="s">
        <v>20</v>
      </c>
      <c r="O1908" s="4" t="s">
        <v>3938</v>
      </c>
      <c r="P1908" s="4" t="s">
        <v>3938</v>
      </c>
      <c r="Q1908" s="4" t="s">
        <v>1378</v>
      </c>
    </row>
    <row r="1909" spans="1:17" hidden="1" x14ac:dyDescent="0.2">
      <c r="A1909" s="4">
        <v>1151</v>
      </c>
      <c r="B1909" s="2">
        <v>0</v>
      </c>
      <c r="C1909" s="2">
        <v>0</v>
      </c>
      <c r="D1909" s="4" t="s">
        <v>7041</v>
      </c>
      <c r="E1909" s="2">
        <v>0</v>
      </c>
      <c r="F1909" s="2">
        <v>0</v>
      </c>
      <c r="G1909" s="2">
        <v>0</v>
      </c>
      <c r="H1909" s="4">
        <v>0</v>
      </c>
      <c r="I1909" s="4">
        <v>0</v>
      </c>
      <c r="J1909" s="4">
        <v>0</v>
      </c>
      <c r="K1909" s="4">
        <v>0</v>
      </c>
      <c r="L1909" s="4" t="s">
        <v>7039</v>
      </c>
      <c r="M1909" s="4" t="s">
        <v>7040</v>
      </c>
      <c r="N1909" s="4" t="s">
        <v>20</v>
      </c>
      <c r="O1909" s="4" t="s">
        <v>3938</v>
      </c>
      <c r="P1909" s="4" t="s">
        <v>3938</v>
      </c>
      <c r="Q1909" s="4" t="s">
        <v>1378</v>
      </c>
    </row>
    <row r="1910" spans="1:17" hidden="1" x14ac:dyDescent="0.2">
      <c r="A1910" s="4">
        <v>1161</v>
      </c>
      <c r="B1910" s="2">
        <v>0</v>
      </c>
      <c r="C1910" s="2">
        <v>0</v>
      </c>
      <c r="D1910" s="4" t="s">
        <v>7044</v>
      </c>
      <c r="E1910" s="2">
        <v>0</v>
      </c>
      <c r="F1910" s="2">
        <v>0</v>
      </c>
      <c r="G1910" s="2">
        <v>0</v>
      </c>
      <c r="H1910" s="4">
        <v>0</v>
      </c>
      <c r="I1910" s="4">
        <v>0</v>
      </c>
      <c r="J1910" s="4">
        <v>0</v>
      </c>
      <c r="K1910" s="4">
        <v>0</v>
      </c>
      <c r="L1910" s="4" t="s">
        <v>7042</v>
      </c>
      <c r="M1910" s="4" t="s">
        <v>7043</v>
      </c>
      <c r="N1910" s="4" t="s">
        <v>368</v>
      </c>
      <c r="O1910" s="4" t="s">
        <v>386</v>
      </c>
      <c r="P1910" s="4" t="s">
        <v>386</v>
      </c>
      <c r="Q1910" s="4" t="s">
        <v>1378</v>
      </c>
    </row>
    <row r="1911" spans="1:17" hidden="1" x14ac:dyDescent="0.2">
      <c r="A1911" s="4">
        <v>1181</v>
      </c>
      <c r="B1911" s="2">
        <v>0</v>
      </c>
      <c r="C1911" s="2">
        <v>0</v>
      </c>
      <c r="D1911" s="4" t="s">
        <v>7046</v>
      </c>
      <c r="E1911" s="2">
        <v>0</v>
      </c>
      <c r="F1911" s="2">
        <v>0</v>
      </c>
      <c r="G1911" s="2">
        <v>0</v>
      </c>
      <c r="H1911" s="4">
        <v>0</v>
      </c>
      <c r="I1911" s="4">
        <v>0</v>
      </c>
      <c r="J1911" s="4">
        <v>0</v>
      </c>
      <c r="K1911" s="4">
        <v>0</v>
      </c>
      <c r="L1911" s="4" t="s">
        <v>7045</v>
      </c>
      <c r="M1911" s="4" t="s">
        <v>4714</v>
      </c>
      <c r="N1911" s="4" t="s">
        <v>6871</v>
      </c>
      <c r="O1911" s="4" t="s">
        <v>747</v>
      </c>
      <c r="P1911" s="4" t="s">
        <v>747</v>
      </c>
      <c r="Q1911" s="4" t="s">
        <v>100</v>
      </c>
    </row>
    <row r="1912" spans="1:17" hidden="1" x14ac:dyDescent="0.2">
      <c r="A1912" s="4">
        <v>1184</v>
      </c>
      <c r="B1912" s="2">
        <v>0</v>
      </c>
      <c r="C1912" s="2">
        <v>0</v>
      </c>
      <c r="D1912" s="4" t="s">
        <v>7049</v>
      </c>
      <c r="E1912" s="2">
        <v>0</v>
      </c>
      <c r="F1912" s="2">
        <v>0</v>
      </c>
      <c r="G1912" s="2">
        <v>0</v>
      </c>
      <c r="H1912" s="4">
        <v>0</v>
      </c>
      <c r="I1912" s="4">
        <v>0</v>
      </c>
      <c r="J1912" s="4">
        <v>0</v>
      </c>
      <c r="K1912" s="4">
        <v>0</v>
      </c>
      <c r="L1912" s="4" t="s">
        <v>7047</v>
      </c>
      <c r="M1912" s="4" t="s">
        <v>7048</v>
      </c>
      <c r="N1912" s="4" t="s">
        <v>20</v>
      </c>
      <c r="O1912" s="4" t="s">
        <v>257</v>
      </c>
      <c r="P1912" s="4" t="s">
        <v>257</v>
      </c>
      <c r="Q1912" s="4" t="s">
        <v>100</v>
      </c>
    </row>
    <row r="1913" spans="1:17" hidden="1" x14ac:dyDescent="0.2">
      <c r="A1913" s="4">
        <v>1186</v>
      </c>
      <c r="B1913" s="2">
        <v>0</v>
      </c>
      <c r="C1913" s="2">
        <v>0</v>
      </c>
      <c r="D1913" s="4" t="s">
        <v>7052</v>
      </c>
      <c r="E1913" s="2">
        <v>0</v>
      </c>
      <c r="F1913" s="2">
        <v>0</v>
      </c>
      <c r="G1913" s="2">
        <v>0</v>
      </c>
      <c r="H1913" s="4">
        <v>0</v>
      </c>
      <c r="I1913" s="4">
        <v>0</v>
      </c>
      <c r="J1913" s="4">
        <v>0</v>
      </c>
      <c r="K1913" s="4">
        <v>0</v>
      </c>
      <c r="L1913" s="4" t="s">
        <v>7050</v>
      </c>
      <c r="M1913" s="4" t="s">
        <v>7051</v>
      </c>
      <c r="N1913" s="4" t="s">
        <v>142</v>
      </c>
      <c r="O1913" s="4" t="s">
        <v>76</v>
      </c>
      <c r="P1913" s="4" t="s">
        <v>76</v>
      </c>
      <c r="Q1913" s="4" t="s">
        <v>408</v>
      </c>
    </row>
    <row r="1914" spans="1:17" hidden="1" x14ac:dyDescent="0.2">
      <c r="A1914" s="4">
        <v>1193</v>
      </c>
      <c r="B1914" s="2">
        <v>0</v>
      </c>
      <c r="C1914" s="2">
        <v>0</v>
      </c>
      <c r="D1914" s="4" t="s">
        <v>7055</v>
      </c>
      <c r="E1914" s="2">
        <v>0</v>
      </c>
      <c r="F1914" s="2">
        <v>0</v>
      </c>
      <c r="G1914" s="2">
        <v>0</v>
      </c>
      <c r="H1914" s="4">
        <v>0</v>
      </c>
      <c r="I1914" s="4">
        <v>0</v>
      </c>
      <c r="J1914" s="4">
        <v>0</v>
      </c>
      <c r="K1914" s="4">
        <v>0</v>
      </c>
      <c r="L1914" s="4" t="s">
        <v>7053</v>
      </c>
      <c r="M1914" s="4" t="s">
        <v>7054</v>
      </c>
      <c r="N1914" s="4" t="s">
        <v>20</v>
      </c>
      <c r="O1914" s="4" t="s">
        <v>3938</v>
      </c>
      <c r="P1914" s="4" t="s">
        <v>3938</v>
      </c>
      <c r="Q1914" s="4" t="s">
        <v>1378</v>
      </c>
    </row>
    <row r="1915" spans="1:17" hidden="1" x14ac:dyDescent="0.2">
      <c r="A1915" s="4">
        <v>1199</v>
      </c>
      <c r="B1915" s="2">
        <v>0</v>
      </c>
      <c r="C1915" s="2">
        <v>0</v>
      </c>
      <c r="D1915" s="4" t="s">
        <v>7058</v>
      </c>
      <c r="E1915" s="2">
        <v>0</v>
      </c>
      <c r="F1915" s="2">
        <v>0</v>
      </c>
      <c r="G1915" s="2">
        <v>0</v>
      </c>
      <c r="H1915" s="4">
        <v>0</v>
      </c>
      <c r="I1915" s="4">
        <v>0</v>
      </c>
      <c r="J1915" s="4">
        <v>0</v>
      </c>
      <c r="K1915" s="4">
        <v>0</v>
      </c>
      <c r="L1915" s="4" t="s">
        <v>7056</v>
      </c>
      <c r="M1915" s="4" t="s">
        <v>7057</v>
      </c>
      <c r="N1915" s="4" t="s">
        <v>20</v>
      </c>
      <c r="O1915" s="4" t="s">
        <v>386</v>
      </c>
      <c r="P1915" s="4" t="s">
        <v>386</v>
      </c>
      <c r="Q1915" s="4" t="s">
        <v>585</v>
      </c>
    </row>
    <row r="1916" spans="1:17" hidden="1" x14ac:dyDescent="0.2">
      <c r="A1916" s="4">
        <v>1201</v>
      </c>
      <c r="B1916" s="2">
        <v>0</v>
      </c>
      <c r="C1916" s="2">
        <v>0</v>
      </c>
      <c r="D1916" s="4" t="s">
        <v>7061</v>
      </c>
      <c r="E1916" s="2">
        <v>0</v>
      </c>
      <c r="F1916" s="2">
        <v>0</v>
      </c>
      <c r="G1916" s="2">
        <v>0</v>
      </c>
      <c r="H1916" s="4">
        <v>0</v>
      </c>
      <c r="I1916" s="4">
        <v>0</v>
      </c>
      <c r="J1916" s="4">
        <v>0</v>
      </c>
      <c r="K1916" s="4">
        <v>0</v>
      </c>
      <c r="L1916" s="4" t="s">
        <v>7059</v>
      </c>
      <c r="M1916" s="4" t="s">
        <v>7060</v>
      </c>
      <c r="N1916" s="4" t="s">
        <v>20</v>
      </c>
      <c r="O1916" s="4" t="s">
        <v>3938</v>
      </c>
      <c r="P1916" s="4" t="s">
        <v>3938</v>
      </c>
      <c r="Q1916" s="4" t="s">
        <v>1378</v>
      </c>
    </row>
    <row r="1917" spans="1:17" hidden="1" x14ac:dyDescent="0.2">
      <c r="A1917" s="4">
        <v>1204</v>
      </c>
      <c r="B1917" s="2">
        <v>0</v>
      </c>
      <c r="C1917" s="2">
        <v>0</v>
      </c>
      <c r="D1917" s="4" t="s">
        <v>7064</v>
      </c>
      <c r="E1917" s="2">
        <v>0</v>
      </c>
      <c r="F1917" s="2">
        <v>0</v>
      </c>
      <c r="G1917" s="2">
        <v>0</v>
      </c>
      <c r="H1917" s="4">
        <v>0</v>
      </c>
      <c r="I1917" s="4">
        <v>0</v>
      </c>
      <c r="J1917" s="4">
        <v>0</v>
      </c>
      <c r="K1917" s="4">
        <v>0</v>
      </c>
      <c r="L1917" s="4" t="s">
        <v>7062</v>
      </c>
      <c r="M1917" s="4" t="s">
        <v>7063</v>
      </c>
      <c r="N1917" s="4" t="s">
        <v>20</v>
      </c>
      <c r="O1917" s="4" t="s">
        <v>3938</v>
      </c>
      <c r="P1917" s="4" t="s">
        <v>3938</v>
      </c>
      <c r="Q1917" s="4" t="s">
        <v>1378</v>
      </c>
    </row>
    <row r="1918" spans="1:17" hidden="1" x14ac:dyDescent="0.2">
      <c r="A1918" s="4">
        <v>1218</v>
      </c>
      <c r="B1918" s="2">
        <v>0</v>
      </c>
      <c r="C1918" s="2">
        <v>0</v>
      </c>
      <c r="D1918" s="4" t="s">
        <v>7067</v>
      </c>
      <c r="E1918" s="2">
        <v>0</v>
      </c>
      <c r="F1918" s="2">
        <v>0</v>
      </c>
      <c r="G1918" s="2">
        <v>0</v>
      </c>
      <c r="H1918" s="4">
        <v>0</v>
      </c>
      <c r="I1918" s="4">
        <v>0</v>
      </c>
      <c r="J1918" s="4">
        <v>0</v>
      </c>
      <c r="K1918" s="4">
        <v>0</v>
      </c>
      <c r="L1918" s="4" t="s">
        <v>7065</v>
      </c>
      <c r="M1918" s="4" t="s">
        <v>7066</v>
      </c>
      <c r="N1918" s="4" t="s">
        <v>968</v>
      </c>
      <c r="O1918" s="4" t="s">
        <v>59</v>
      </c>
      <c r="P1918" s="4" t="s">
        <v>59</v>
      </c>
      <c r="Q1918" s="4" t="s">
        <v>100</v>
      </c>
    </row>
    <row r="1919" spans="1:17" hidden="1" x14ac:dyDescent="0.2">
      <c r="A1919" s="4">
        <v>1236</v>
      </c>
      <c r="B1919" s="2">
        <v>0</v>
      </c>
      <c r="C1919" s="2">
        <v>0</v>
      </c>
      <c r="D1919" s="4" t="s">
        <v>7070</v>
      </c>
      <c r="E1919" s="2">
        <v>0</v>
      </c>
      <c r="F1919" s="2">
        <v>0</v>
      </c>
      <c r="G1919" s="2">
        <v>0</v>
      </c>
      <c r="H1919" s="4">
        <v>0</v>
      </c>
      <c r="I1919" s="4">
        <v>0</v>
      </c>
      <c r="J1919" s="4">
        <v>0</v>
      </c>
      <c r="K1919" s="4">
        <v>0</v>
      </c>
      <c r="L1919" s="4" t="s">
        <v>7068</v>
      </c>
      <c r="M1919" s="4" t="s">
        <v>7069</v>
      </c>
      <c r="N1919" s="4" t="s">
        <v>1497</v>
      </c>
      <c r="O1919" s="4" t="s">
        <v>229</v>
      </c>
      <c r="P1919" s="4" t="s">
        <v>229</v>
      </c>
      <c r="Q1919" s="4" t="s">
        <v>100</v>
      </c>
    </row>
    <row r="1920" spans="1:17" hidden="1" x14ac:dyDescent="0.2">
      <c r="A1920" s="4">
        <v>1238</v>
      </c>
      <c r="B1920" s="2">
        <v>0</v>
      </c>
      <c r="C1920" s="2">
        <v>0</v>
      </c>
      <c r="D1920" s="4" t="s">
        <v>7073</v>
      </c>
      <c r="E1920" s="2">
        <v>0</v>
      </c>
      <c r="F1920" s="2">
        <v>0</v>
      </c>
      <c r="G1920" s="2">
        <v>0</v>
      </c>
      <c r="H1920" s="4">
        <v>0</v>
      </c>
      <c r="I1920" s="4">
        <v>0</v>
      </c>
      <c r="J1920" s="4">
        <v>0</v>
      </c>
      <c r="K1920" s="4">
        <v>0</v>
      </c>
      <c r="L1920" s="4" t="s">
        <v>7071</v>
      </c>
      <c r="M1920" s="4" t="s">
        <v>7072</v>
      </c>
      <c r="N1920" s="4" t="s">
        <v>7074</v>
      </c>
      <c r="O1920" s="4" t="s">
        <v>229</v>
      </c>
      <c r="P1920" s="4" t="s">
        <v>229</v>
      </c>
      <c r="Q1920" s="4" t="s">
        <v>100</v>
      </c>
    </row>
    <row r="1921" spans="1:17" hidden="1" x14ac:dyDescent="0.2">
      <c r="A1921" s="4">
        <v>1241</v>
      </c>
      <c r="B1921" s="2">
        <v>0</v>
      </c>
      <c r="C1921" s="2">
        <v>0</v>
      </c>
      <c r="D1921" s="4" t="s">
        <v>7077</v>
      </c>
      <c r="E1921" s="2">
        <v>0</v>
      </c>
      <c r="F1921" s="2">
        <v>0</v>
      </c>
      <c r="G1921" s="2">
        <v>0</v>
      </c>
      <c r="H1921" s="4">
        <v>0</v>
      </c>
      <c r="I1921" s="4">
        <v>0</v>
      </c>
      <c r="J1921" s="4">
        <v>0</v>
      </c>
      <c r="K1921" s="4">
        <v>0</v>
      </c>
      <c r="L1921" s="4" t="s">
        <v>7075</v>
      </c>
      <c r="M1921" s="4" t="s">
        <v>7076</v>
      </c>
      <c r="N1921" s="4" t="s">
        <v>20</v>
      </c>
      <c r="O1921" s="4" t="s">
        <v>3938</v>
      </c>
      <c r="P1921" s="4" t="s">
        <v>3938</v>
      </c>
      <c r="Q1921" s="4" t="s">
        <v>1378</v>
      </c>
    </row>
    <row r="1922" spans="1:17" hidden="1" x14ac:dyDescent="0.2">
      <c r="A1922" s="4">
        <v>1243</v>
      </c>
      <c r="B1922" s="2">
        <v>0</v>
      </c>
      <c r="C1922" s="2">
        <v>0</v>
      </c>
      <c r="D1922" s="4" t="s">
        <v>7080</v>
      </c>
      <c r="E1922" s="2">
        <v>0</v>
      </c>
      <c r="F1922" s="2">
        <v>0</v>
      </c>
      <c r="G1922" s="2">
        <v>0</v>
      </c>
      <c r="H1922" s="4">
        <v>0</v>
      </c>
      <c r="I1922" s="4">
        <v>0</v>
      </c>
      <c r="J1922" s="4">
        <v>0</v>
      </c>
      <c r="K1922" s="4">
        <v>0</v>
      </c>
      <c r="L1922" s="4" t="s">
        <v>7078</v>
      </c>
      <c r="M1922" s="4" t="s">
        <v>7079</v>
      </c>
      <c r="N1922" s="4" t="s">
        <v>20</v>
      </c>
      <c r="O1922" s="4" t="s">
        <v>2863</v>
      </c>
      <c r="P1922" s="4" t="s">
        <v>2863</v>
      </c>
      <c r="Q1922" s="4" t="s">
        <v>144</v>
      </c>
    </row>
    <row r="1923" spans="1:17" hidden="1" x14ac:dyDescent="0.2">
      <c r="A1923" s="4">
        <v>1248</v>
      </c>
      <c r="B1923" s="2">
        <v>0</v>
      </c>
      <c r="C1923" s="2">
        <v>0</v>
      </c>
      <c r="D1923" s="4" t="s">
        <v>7083</v>
      </c>
      <c r="E1923" s="2">
        <v>0</v>
      </c>
      <c r="F1923" s="2">
        <v>0</v>
      </c>
      <c r="G1923" s="2">
        <v>0</v>
      </c>
      <c r="H1923" s="4">
        <v>0</v>
      </c>
      <c r="I1923" s="4">
        <v>0</v>
      </c>
      <c r="J1923" s="4">
        <v>0</v>
      </c>
      <c r="K1923" s="4">
        <v>0</v>
      </c>
      <c r="L1923" s="4" t="s">
        <v>7081</v>
      </c>
      <c r="M1923" s="4" t="s">
        <v>7082</v>
      </c>
      <c r="N1923" s="4" t="s">
        <v>20</v>
      </c>
      <c r="O1923" s="4" t="s">
        <v>900</v>
      </c>
      <c r="P1923" s="4" t="s">
        <v>900</v>
      </c>
      <c r="Q1923" s="4" t="s">
        <v>144</v>
      </c>
    </row>
    <row r="1924" spans="1:17" hidden="1" x14ac:dyDescent="0.2">
      <c r="A1924" s="4">
        <v>1279</v>
      </c>
      <c r="B1924" s="2">
        <v>0</v>
      </c>
      <c r="C1924" s="2">
        <v>0</v>
      </c>
      <c r="D1924" s="4" t="s">
        <v>7086</v>
      </c>
      <c r="E1924" s="2">
        <v>0</v>
      </c>
      <c r="F1924" s="2">
        <v>0</v>
      </c>
      <c r="G1924" s="2">
        <v>0</v>
      </c>
      <c r="H1924" s="4">
        <v>0</v>
      </c>
      <c r="I1924" s="4">
        <v>0</v>
      </c>
      <c r="J1924" s="4">
        <v>0</v>
      </c>
      <c r="K1924" s="4">
        <v>0</v>
      </c>
      <c r="L1924" s="4" t="s">
        <v>7084</v>
      </c>
      <c r="M1924" s="4" t="s">
        <v>7085</v>
      </c>
      <c r="N1924" s="4" t="s">
        <v>4519</v>
      </c>
      <c r="O1924" s="4" t="s">
        <v>382</v>
      </c>
      <c r="P1924" s="4" t="s">
        <v>382</v>
      </c>
      <c r="Q1924" s="4" t="s">
        <v>100</v>
      </c>
    </row>
    <row r="1925" spans="1:17" hidden="1" x14ac:dyDescent="0.2">
      <c r="A1925" s="4">
        <v>1308</v>
      </c>
      <c r="B1925" s="2">
        <v>0</v>
      </c>
      <c r="C1925" s="2">
        <v>0</v>
      </c>
      <c r="D1925" s="4" t="s">
        <v>7089</v>
      </c>
      <c r="E1925" s="2">
        <v>0</v>
      </c>
      <c r="F1925" s="2">
        <v>0</v>
      </c>
      <c r="G1925" s="2">
        <v>0</v>
      </c>
      <c r="H1925" s="4">
        <v>0</v>
      </c>
      <c r="I1925" s="4">
        <v>0</v>
      </c>
      <c r="J1925" s="4">
        <v>0</v>
      </c>
      <c r="K1925" s="4">
        <v>0</v>
      </c>
      <c r="L1925" s="4" t="s">
        <v>7087</v>
      </c>
      <c r="M1925" s="4" t="s">
        <v>7088</v>
      </c>
      <c r="N1925" s="4" t="s">
        <v>7090</v>
      </c>
      <c r="O1925" s="4" t="s">
        <v>113</v>
      </c>
      <c r="P1925" s="4" t="s">
        <v>113</v>
      </c>
      <c r="Q1925" s="4" t="s">
        <v>100</v>
      </c>
    </row>
    <row r="1926" spans="1:17" hidden="1" x14ac:dyDescent="0.2">
      <c r="A1926" s="4">
        <v>1313</v>
      </c>
      <c r="B1926" s="2">
        <v>0</v>
      </c>
      <c r="C1926" s="2">
        <v>0</v>
      </c>
      <c r="D1926" s="4" t="s">
        <v>7093</v>
      </c>
      <c r="E1926" s="2">
        <v>0</v>
      </c>
      <c r="F1926" s="2">
        <v>0</v>
      </c>
      <c r="G1926" s="2">
        <v>0</v>
      </c>
      <c r="H1926" s="4">
        <v>0</v>
      </c>
      <c r="I1926" s="4">
        <v>0</v>
      </c>
      <c r="J1926" s="4">
        <v>0</v>
      </c>
      <c r="K1926" s="4">
        <v>0</v>
      </c>
      <c r="L1926" s="4" t="s">
        <v>7091</v>
      </c>
      <c r="M1926" s="4" t="s">
        <v>7092</v>
      </c>
      <c r="N1926" s="4" t="s">
        <v>245</v>
      </c>
      <c r="O1926" s="4" t="s">
        <v>237</v>
      </c>
      <c r="P1926" s="4" t="s">
        <v>237</v>
      </c>
      <c r="Q1926" s="4" t="s">
        <v>100</v>
      </c>
    </row>
    <row r="1927" spans="1:17" hidden="1" x14ac:dyDescent="0.2">
      <c r="A1927" s="4">
        <v>1314</v>
      </c>
      <c r="B1927" s="2">
        <v>0</v>
      </c>
      <c r="C1927" s="2">
        <v>0</v>
      </c>
      <c r="D1927" s="4" t="s">
        <v>7096</v>
      </c>
      <c r="E1927" s="2">
        <v>0</v>
      </c>
      <c r="F1927" s="2">
        <v>0</v>
      </c>
      <c r="G1927" s="2">
        <v>0</v>
      </c>
      <c r="H1927" s="4">
        <v>0</v>
      </c>
      <c r="I1927" s="4">
        <v>0</v>
      </c>
      <c r="J1927" s="4">
        <v>0</v>
      </c>
      <c r="K1927" s="4">
        <v>0</v>
      </c>
      <c r="L1927" s="4" t="s">
        <v>7094</v>
      </c>
      <c r="M1927" s="4" t="s">
        <v>7095</v>
      </c>
      <c r="N1927" s="4" t="s">
        <v>20</v>
      </c>
      <c r="O1927" s="4" t="s">
        <v>76</v>
      </c>
      <c r="P1927" s="4" t="s">
        <v>76</v>
      </c>
      <c r="Q1927" s="4" t="s">
        <v>144</v>
      </c>
    </row>
    <row r="1928" spans="1:17" hidden="1" x14ac:dyDescent="0.2">
      <c r="A1928" s="4">
        <v>1315</v>
      </c>
      <c r="B1928" s="2">
        <v>0</v>
      </c>
      <c r="C1928" s="2">
        <v>0</v>
      </c>
      <c r="D1928" s="4" t="s">
        <v>7099</v>
      </c>
      <c r="E1928" s="2">
        <v>0</v>
      </c>
      <c r="F1928" s="2">
        <v>0</v>
      </c>
      <c r="G1928" s="2">
        <v>0</v>
      </c>
      <c r="H1928" s="4">
        <v>0</v>
      </c>
      <c r="I1928" s="4">
        <v>0</v>
      </c>
      <c r="J1928" s="4">
        <v>0</v>
      </c>
      <c r="K1928" s="4">
        <v>0</v>
      </c>
      <c r="L1928" s="4" t="s">
        <v>7097</v>
      </c>
      <c r="M1928" s="4" t="s">
        <v>7098</v>
      </c>
      <c r="N1928" s="4" t="s">
        <v>329</v>
      </c>
      <c r="O1928" s="4" t="s">
        <v>89</v>
      </c>
      <c r="P1928" s="4" t="s">
        <v>89</v>
      </c>
      <c r="Q1928" s="4" t="s">
        <v>100</v>
      </c>
    </row>
    <row r="1929" spans="1:17" hidden="1" x14ac:dyDescent="0.2">
      <c r="A1929" s="4">
        <v>1318</v>
      </c>
      <c r="B1929" s="2">
        <v>0</v>
      </c>
      <c r="C1929" s="2">
        <v>0</v>
      </c>
      <c r="D1929" s="4" t="s">
        <v>7102</v>
      </c>
      <c r="E1929" s="2">
        <v>0</v>
      </c>
      <c r="F1929" s="2">
        <v>0</v>
      </c>
      <c r="G1929" s="2">
        <v>0</v>
      </c>
      <c r="H1929" s="4">
        <v>0</v>
      </c>
      <c r="I1929" s="4">
        <v>0</v>
      </c>
      <c r="J1929" s="4">
        <v>0</v>
      </c>
      <c r="K1929" s="4">
        <v>0</v>
      </c>
      <c r="L1929" s="4" t="s">
        <v>7100</v>
      </c>
      <c r="M1929" s="4" t="s">
        <v>7101</v>
      </c>
      <c r="N1929" s="4" t="s">
        <v>20</v>
      </c>
      <c r="O1929" s="4" t="s">
        <v>631</v>
      </c>
      <c r="P1929" s="4" t="s">
        <v>631</v>
      </c>
      <c r="Q1929" s="4" t="s">
        <v>100</v>
      </c>
    </row>
    <row r="1930" spans="1:17" hidden="1" x14ac:dyDescent="0.2">
      <c r="A1930" s="4">
        <v>1332</v>
      </c>
      <c r="B1930" s="2">
        <v>0</v>
      </c>
      <c r="C1930" s="2">
        <v>0</v>
      </c>
      <c r="D1930" s="4" t="s">
        <v>7105</v>
      </c>
      <c r="E1930" s="2">
        <v>0</v>
      </c>
      <c r="F1930" s="2">
        <v>0</v>
      </c>
      <c r="G1930" s="2">
        <v>0</v>
      </c>
      <c r="H1930" s="4">
        <v>0</v>
      </c>
      <c r="I1930" s="4">
        <v>0</v>
      </c>
      <c r="J1930" s="4">
        <v>0</v>
      </c>
      <c r="K1930" s="4">
        <v>0</v>
      </c>
      <c r="L1930" s="4" t="s">
        <v>7103</v>
      </c>
      <c r="M1930" s="4" t="s">
        <v>7104</v>
      </c>
      <c r="N1930" s="4" t="s">
        <v>20</v>
      </c>
      <c r="O1930" s="4" t="s">
        <v>692</v>
      </c>
      <c r="P1930" s="4" t="s">
        <v>692</v>
      </c>
      <c r="Q1930" s="4" t="s">
        <v>100</v>
      </c>
    </row>
    <row r="1931" spans="1:17" hidden="1" x14ac:dyDescent="0.2">
      <c r="A1931" s="4">
        <v>1339</v>
      </c>
      <c r="B1931" s="2">
        <v>0</v>
      </c>
      <c r="C1931" s="2">
        <v>0</v>
      </c>
      <c r="D1931" s="4" t="s">
        <v>7108</v>
      </c>
      <c r="E1931" s="2">
        <v>0</v>
      </c>
      <c r="F1931" s="2">
        <v>0</v>
      </c>
      <c r="G1931" s="2">
        <v>0</v>
      </c>
      <c r="H1931" s="4">
        <v>0</v>
      </c>
      <c r="I1931" s="4">
        <v>0</v>
      </c>
      <c r="J1931" s="4">
        <v>0</v>
      </c>
      <c r="K1931" s="4">
        <v>0</v>
      </c>
      <c r="L1931" s="4" t="s">
        <v>7106</v>
      </c>
      <c r="M1931" s="4" t="s">
        <v>7107</v>
      </c>
      <c r="N1931" s="4" t="s">
        <v>20</v>
      </c>
      <c r="O1931" s="4" t="s">
        <v>76</v>
      </c>
      <c r="P1931" s="4" t="s">
        <v>76</v>
      </c>
      <c r="Q1931" s="4" t="s">
        <v>408</v>
      </c>
    </row>
    <row r="1932" spans="1:17" hidden="1" x14ac:dyDescent="0.2">
      <c r="A1932" s="4">
        <v>1351</v>
      </c>
      <c r="B1932" s="2">
        <v>0</v>
      </c>
      <c r="C1932" s="2">
        <v>0</v>
      </c>
      <c r="D1932" s="4" t="s">
        <v>6241</v>
      </c>
      <c r="E1932" s="2">
        <v>0</v>
      </c>
      <c r="F1932" s="2">
        <v>0</v>
      </c>
      <c r="G1932" s="2">
        <v>0</v>
      </c>
      <c r="H1932" s="4">
        <v>0</v>
      </c>
      <c r="I1932" s="4">
        <v>0</v>
      </c>
      <c r="J1932" s="4">
        <v>0</v>
      </c>
      <c r="K1932" s="4">
        <v>0</v>
      </c>
      <c r="L1932" s="4" t="s">
        <v>7109</v>
      </c>
      <c r="M1932" s="4" t="s">
        <v>6240</v>
      </c>
      <c r="N1932" s="4" t="s">
        <v>20</v>
      </c>
      <c r="O1932" s="4" t="s">
        <v>768</v>
      </c>
      <c r="P1932" s="4" t="s">
        <v>768</v>
      </c>
      <c r="Q1932" s="4" t="s">
        <v>100</v>
      </c>
    </row>
    <row r="1933" spans="1:17" hidden="1" x14ac:dyDescent="0.2">
      <c r="A1933" s="4">
        <v>1353</v>
      </c>
      <c r="B1933" s="2">
        <v>0</v>
      </c>
      <c r="C1933" s="2">
        <v>0</v>
      </c>
      <c r="D1933" s="4" t="s">
        <v>7112</v>
      </c>
      <c r="E1933" s="2">
        <v>0</v>
      </c>
      <c r="F1933" s="2">
        <v>0</v>
      </c>
      <c r="G1933" s="2">
        <v>0</v>
      </c>
      <c r="H1933" s="4">
        <v>0</v>
      </c>
      <c r="I1933" s="4">
        <v>0</v>
      </c>
      <c r="J1933" s="4">
        <v>0</v>
      </c>
      <c r="K1933" s="4">
        <v>0</v>
      </c>
      <c r="L1933" s="4" t="s">
        <v>7110</v>
      </c>
      <c r="M1933" s="4" t="s">
        <v>7111</v>
      </c>
      <c r="N1933" s="4" t="s">
        <v>623</v>
      </c>
      <c r="O1933" s="4" t="s">
        <v>173</v>
      </c>
      <c r="P1933" s="4" t="s">
        <v>173</v>
      </c>
      <c r="Q1933" s="4" t="s">
        <v>100</v>
      </c>
    </row>
    <row r="1934" spans="1:17" hidden="1" x14ac:dyDescent="0.2">
      <c r="A1934" s="4">
        <v>1358</v>
      </c>
      <c r="B1934" s="2">
        <v>0</v>
      </c>
      <c r="C1934" s="2">
        <v>0</v>
      </c>
      <c r="D1934" s="4" t="s">
        <v>7115</v>
      </c>
      <c r="E1934" s="2">
        <v>0</v>
      </c>
      <c r="F1934" s="2">
        <v>0</v>
      </c>
      <c r="G1934" s="2">
        <v>0</v>
      </c>
      <c r="H1934" s="4">
        <v>0</v>
      </c>
      <c r="I1934" s="4">
        <v>0</v>
      </c>
      <c r="J1934" s="4">
        <v>0</v>
      </c>
      <c r="K1934" s="4">
        <v>0</v>
      </c>
      <c r="L1934" s="4" t="s">
        <v>7113</v>
      </c>
      <c r="M1934" s="4" t="s">
        <v>7114</v>
      </c>
      <c r="N1934" s="4" t="s">
        <v>293</v>
      </c>
      <c r="O1934" s="4" t="s">
        <v>229</v>
      </c>
      <c r="P1934" s="4" t="s">
        <v>229</v>
      </c>
      <c r="Q1934" s="4" t="s">
        <v>100</v>
      </c>
    </row>
    <row r="1935" spans="1:17" hidden="1" x14ac:dyDescent="0.2">
      <c r="A1935" s="4">
        <v>1361</v>
      </c>
      <c r="B1935" s="2">
        <v>0</v>
      </c>
      <c r="C1935" s="2">
        <v>0</v>
      </c>
      <c r="D1935" s="4" t="s">
        <v>7118</v>
      </c>
      <c r="E1935" s="2">
        <v>0</v>
      </c>
      <c r="F1935" s="2">
        <v>0</v>
      </c>
      <c r="G1935" s="2">
        <v>0</v>
      </c>
      <c r="H1935" s="4">
        <v>0</v>
      </c>
      <c r="I1935" s="4">
        <v>0</v>
      </c>
      <c r="J1935" s="4">
        <v>0</v>
      </c>
      <c r="K1935" s="4">
        <v>0</v>
      </c>
      <c r="L1935" s="4" t="s">
        <v>7116</v>
      </c>
      <c r="M1935" s="4" t="s">
        <v>7117</v>
      </c>
      <c r="N1935" s="4" t="s">
        <v>464</v>
      </c>
      <c r="O1935" s="4" t="s">
        <v>105</v>
      </c>
      <c r="P1935" s="4" t="s">
        <v>105</v>
      </c>
      <c r="Q1935" s="4" t="s">
        <v>100</v>
      </c>
    </row>
    <row r="1936" spans="1:17" hidden="1" x14ac:dyDescent="0.2">
      <c r="A1936" s="4">
        <v>1397</v>
      </c>
      <c r="B1936" s="2">
        <v>0</v>
      </c>
      <c r="C1936" s="2">
        <v>0</v>
      </c>
      <c r="D1936" s="4" t="s">
        <v>7121</v>
      </c>
      <c r="E1936" s="2">
        <v>0</v>
      </c>
      <c r="F1936" s="2">
        <v>0</v>
      </c>
      <c r="G1936" s="2">
        <v>0</v>
      </c>
      <c r="H1936" s="4">
        <v>0</v>
      </c>
      <c r="I1936" s="4">
        <v>0</v>
      </c>
      <c r="J1936" s="4">
        <v>0</v>
      </c>
      <c r="K1936" s="4">
        <v>0</v>
      </c>
      <c r="L1936" s="4" t="s">
        <v>7119</v>
      </c>
      <c r="M1936" s="4" t="s">
        <v>7120</v>
      </c>
      <c r="N1936" s="4" t="s">
        <v>41</v>
      </c>
      <c r="O1936" s="4" t="s">
        <v>76</v>
      </c>
      <c r="P1936" s="4" t="s">
        <v>76</v>
      </c>
      <c r="Q1936" s="4" t="s">
        <v>585</v>
      </c>
    </row>
    <row r="1937" spans="1:17" hidden="1" x14ac:dyDescent="0.2">
      <c r="A1937" s="4">
        <v>1398</v>
      </c>
      <c r="B1937" s="2">
        <v>0</v>
      </c>
      <c r="C1937" s="2">
        <v>0</v>
      </c>
      <c r="D1937" s="4" t="s">
        <v>7124</v>
      </c>
      <c r="E1937" s="2">
        <v>0</v>
      </c>
      <c r="F1937" s="2">
        <v>0</v>
      </c>
      <c r="G1937" s="2">
        <v>0</v>
      </c>
      <c r="H1937" s="4">
        <v>0</v>
      </c>
      <c r="I1937" s="4">
        <v>0</v>
      </c>
      <c r="J1937" s="4">
        <v>0</v>
      </c>
      <c r="K1937" s="4">
        <v>0</v>
      </c>
      <c r="L1937" s="4" t="s">
        <v>7122</v>
      </c>
      <c r="M1937" s="4" t="s">
        <v>7123</v>
      </c>
      <c r="N1937" s="4" t="s">
        <v>368</v>
      </c>
      <c r="O1937" s="4" t="s">
        <v>386</v>
      </c>
      <c r="P1937" s="4" t="s">
        <v>386</v>
      </c>
      <c r="Q1937" s="4" t="s">
        <v>1378</v>
      </c>
    </row>
    <row r="1938" spans="1:17" hidden="1" x14ac:dyDescent="0.2">
      <c r="A1938" s="4">
        <v>1404</v>
      </c>
      <c r="B1938" s="2">
        <v>0</v>
      </c>
      <c r="C1938" s="2">
        <v>0</v>
      </c>
      <c r="D1938" s="4" t="s">
        <v>7127</v>
      </c>
      <c r="E1938" s="2">
        <v>0</v>
      </c>
      <c r="F1938" s="2">
        <v>0</v>
      </c>
      <c r="G1938" s="2">
        <v>0</v>
      </c>
      <c r="H1938" s="4">
        <v>0</v>
      </c>
      <c r="I1938" s="4">
        <v>0</v>
      </c>
      <c r="J1938" s="4">
        <v>0</v>
      </c>
      <c r="K1938" s="4">
        <v>0</v>
      </c>
      <c r="L1938" s="4" t="s">
        <v>7125</v>
      </c>
      <c r="M1938" s="4" t="s">
        <v>7126</v>
      </c>
      <c r="N1938" s="4" t="s">
        <v>7128</v>
      </c>
      <c r="O1938" s="4" t="s">
        <v>382</v>
      </c>
      <c r="P1938" s="4" t="s">
        <v>382</v>
      </c>
      <c r="Q1938" s="4" t="s">
        <v>100</v>
      </c>
    </row>
    <row r="1939" spans="1:17" hidden="1" x14ac:dyDescent="0.2">
      <c r="A1939" s="4">
        <v>1413</v>
      </c>
      <c r="B1939" s="2">
        <v>0</v>
      </c>
      <c r="C1939" s="2">
        <v>0</v>
      </c>
      <c r="D1939" s="4" t="s">
        <v>7131</v>
      </c>
      <c r="E1939" s="2">
        <v>0</v>
      </c>
      <c r="F1939" s="2">
        <v>0</v>
      </c>
      <c r="G1939" s="2">
        <v>0</v>
      </c>
      <c r="H1939" s="4">
        <v>0</v>
      </c>
      <c r="I1939" s="4">
        <v>0</v>
      </c>
      <c r="J1939" s="4">
        <v>0</v>
      </c>
      <c r="K1939" s="4">
        <v>0</v>
      </c>
      <c r="L1939" s="4" t="s">
        <v>7129</v>
      </c>
      <c r="M1939" s="4" t="s">
        <v>7130</v>
      </c>
      <c r="N1939" s="4" t="s">
        <v>1348</v>
      </c>
      <c r="O1939" s="4" t="s">
        <v>747</v>
      </c>
      <c r="P1939" s="4" t="s">
        <v>747</v>
      </c>
      <c r="Q1939" s="4" t="s">
        <v>100</v>
      </c>
    </row>
    <row r="1940" spans="1:17" hidden="1" x14ac:dyDescent="0.2">
      <c r="A1940" s="4">
        <v>1418</v>
      </c>
      <c r="B1940" s="2">
        <v>0</v>
      </c>
      <c r="C1940" s="2">
        <v>0</v>
      </c>
      <c r="D1940" s="4" t="s">
        <v>7134</v>
      </c>
      <c r="E1940" s="2">
        <v>0</v>
      </c>
      <c r="F1940" s="2">
        <v>0</v>
      </c>
      <c r="G1940" s="2">
        <v>0</v>
      </c>
      <c r="H1940" s="4">
        <v>0</v>
      </c>
      <c r="I1940" s="4">
        <v>0</v>
      </c>
      <c r="J1940" s="4">
        <v>0</v>
      </c>
      <c r="K1940" s="4">
        <v>0</v>
      </c>
      <c r="L1940" s="4" t="s">
        <v>7132</v>
      </c>
      <c r="M1940" s="4" t="s">
        <v>7133</v>
      </c>
      <c r="N1940" s="4" t="s">
        <v>20</v>
      </c>
      <c r="O1940" s="4" t="s">
        <v>900</v>
      </c>
      <c r="P1940" s="4" t="s">
        <v>900</v>
      </c>
      <c r="Q1940" s="4" t="s">
        <v>144</v>
      </c>
    </row>
    <row r="1941" spans="1:17" hidden="1" x14ac:dyDescent="0.2">
      <c r="A1941" s="4">
        <v>1431</v>
      </c>
      <c r="B1941" s="2">
        <v>0</v>
      </c>
      <c r="C1941" s="2">
        <v>0</v>
      </c>
      <c r="D1941" s="4" t="s">
        <v>7137</v>
      </c>
      <c r="E1941" s="2">
        <v>0</v>
      </c>
      <c r="F1941" s="2">
        <v>0</v>
      </c>
      <c r="G1941" s="2">
        <v>0</v>
      </c>
      <c r="H1941" s="4">
        <v>0</v>
      </c>
      <c r="I1941" s="4">
        <v>0</v>
      </c>
      <c r="J1941" s="4">
        <v>0</v>
      </c>
      <c r="K1941" s="4">
        <v>0</v>
      </c>
      <c r="L1941" s="4" t="s">
        <v>7135</v>
      </c>
      <c r="M1941" s="4" t="s">
        <v>7136</v>
      </c>
      <c r="N1941" s="4" t="s">
        <v>3350</v>
      </c>
      <c r="O1941" s="4" t="s">
        <v>113</v>
      </c>
      <c r="P1941" s="4" t="s">
        <v>113</v>
      </c>
      <c r="Q1941" s="4" t="s">
        <v>100</v>
      </c>
    </row>
    <row r="1942" spans="1:17" hidden="1" x14ac:dyDescent="0.2">
      <c r="A1942" s="4">
        <v>1432</v>
      </c>
      <c r="B1942" s="2">
        <v>0</v>
      </c>
      <c r="C1942" s="2">
        <v>0</v>
      </c>
      <c r="D1942" s="4" t="s">
        <v>7140</v>
      </c>
      <c r="E1942" s="2">
        <v>0</v>
      </c>
      <c r="F1942" s="2">
        <v>0</v>
      </c>
      <c r="G1942" s="2">
        <v>0</v>
      </c>
      <c r="H1942" s="4">
        <v>0</v>
      </c>
      <c r="I1942" s="4">
        <v>0</v>
      </c>
      <c r="J1942" s="4">
        <v>0</v>
      </c>
      <c r="K1942" s="4">
        <v>0</v>
      </c>
      <c r="L1942" s="4" t="s">
        <v>7138</v>
      </c>
      <c r="M1942" s="4" t="s">
        <v>7139</v>
      </c>
      <c r="N1942" s="4" t="s">
        <v>1991</v>
      </c>
      <c r="O1942" s="4" t="s">
        <v>1891</v>
      </c>
      <c r="P1942" s="4" t="s">
        <v>1891</v>
      </c>
      <c r="Q1942" s="4" t="s">
        <v>100</v>
      </c>
    </row>
    <row r="1943" spans="1:17" hidden="1" x14ac:dyDescent="0.2">
      <c r="A1943" s="4">
        <v>1435</v>
      </c>
      <c r="B1943" s="2">
        <v>0</v>
      </c>
      <c r="C1943" s="2">
        <v>0</v>
      </c>
      <c r="D1943" s="4" t="s">
        <v>5392</v>
      </c>
      <c r="E1943" s="2">
        <v>0</v>
      </c>
      <c r="F1943" s="2">
        <v>0</v>
      </c>
      <c r="G1943" s="2">
        <v>0</v>
      </c>
      <c r="H1943" s="4">
        <v>0</v>
      </c>
      <c r="I1943" s="4">
        <v>0</v>
      </c>
      <c r="J1943" s="4">
        <v>0</v>
      </c>
      <c r="K1943" s="4">
        <v>0</v>
      </c>
      <c r="L1943" s="4" t="s">
        <v>5390</v>
      </c>
      <c r="M1943" s="4" t="s">
        <v>5391</v>
      </c>
      <c r="N1943" s="4" t="s">
        <v>468</v>
      </c>
      <c r="O1943" s="4" t="s">
        <v>1039</v>
      </c>
      <c r="P1943" s="4" t="s">
        <v>1039</v>
      </c>
      <c r="Q1943" s="4" t="s">
        <v>100</v>
      </c>
    </row>
    <row r="1944" spans="1:17" hidden="1" x14ac:dyDescent="0.2">
      <c r="A1944" s="4">
        <v>1436</v>
      </c>
      <c r="B1944" s="2">
        <v>0</v>
      </c>
      <c r="C1944" s="2">
        <v>0</v>
      </c>
      <c r="D1944" s="4" t="s">
        <v>7143</v>
      </c>
      <c r="E1944" s="2">
        <v>0</v>
      </c>
      <c r="F1944" s="2">
        <v>0</v>
      </c>
      <c r="G1944" s="2">
        <v>0</v>
      </c>
      <c r="H1944" s="4">
        <v>0</v>
      </c>
      <c r="I1944" s="4">
        <v>0</v>
      </c>
      <c r="J1944" s="4">
        <v>0</v>
      </c>
      <c r="K1944" s="4">
        <v>0</v>
      </c>
      <c r="L1944" s="4" t="s">
        <v>7141</v>
      </c>
      <c r="M1944" s="4" t="s">
        <v>7142</v>
      </c>
      <c r="N1944" s="4" t="s">
        <v>20</v>
      </c>
      <c r="O1944" s="4" t="s">
        <v>1891</v>
      </c>
      <c r="P1944" s="4" t="s">
        <v>1891</v>
      </c>
      <c r="Q1944" s="4" t="s">
        <v>1378</v>
      </c>
    </row>
    <row r="1945" spans="1:17" hidden="1" x14ac:dyDescent="0.2">
      <c r="A1945" s="4">
        <v>1450</v>
      </c>
      <c r="B1945" s="2">
        <v>0</v>
      </c>
      <c r="C1945" s="2">
        <v>0</v>
      </c>
      <c r="D1945" s="4" t="s">
        <v>7146</v>
      </c>
      <c r="E1945" s="2">
        <v>0</v>
      </c>
      <c r="F1945" s="2">
        <v>0</v>
      </c>
      <c r="G1945" s="2">
        <v>0</v>
      </c>
      <c r="H1945" s="4">
        <v>0</v>
      </c>
      <c r="I1945" s="4">
        <v>0</v>
      </c>
      <c r="J1945" s="4">
        <v>0</v>
      </c>
      <c r="K1945" s="4">
        <v>0</v>
      </c>
      <c r="L1945" s="4" t="s">
        <v>7144</v>
      </c>
      <c r="M1945" s="4" t="s">
        <v>7145</v>
      </c>
      <c r="N1945" s="4" t="s">
        <v>117</v>
      </c>
      <c r="O1945" s="4" t="s">
        <v>93</v>
      </c>
      <c r="P1945" s="4" t="s">
        <v>93</v>
      </c>
      <c r="Q1945" s="4" t="s">
        <v>100</v>
      </c>
    </row>
    <row r="1946" spans="1:17" hidden="1" x14ac:dyDescent="0.2">
      <c r="A1946" s="4">
        <v>1457</v>
      </c>
      <c r="B1946" s="2">
        <v>0</v>
      </c>
      <c r="C1946" s="2">
        <v>0</v>
      </c>
      <c r="D1946" s="4" t="s">
        <v>7149</v>
      </c>
      <c r="E1946" s="2">
        <v>0</v>
      </c>
      <c r="F1946" s="2">
        <v>0</v>
      </c>
      <c r="G1946" s="2">
        <v>0</v>
      </c>
      <c r="H1946" s="4">
        <v>0</v>
      </c>
      <c r="I1946" s="4">
        <v>0</v>
      </c>
      <c r="J1946" s="4">
        <v>0</v>
      </c>
      <c r="K1946" s="4">
        <v>0</v>
      </c>
      <c r="L1946" s="4" t="s">
        <v>7147</v>
      </c>
      <c r="M1946" s="4" t="s">
        <v>7148</v>
      </c>
      <c r="N1946" s="4" t="s">
        <v>3752</v>
      </c>
      <c r="O1946" s="4" t="s">
        <v>229</v>
      </c>
      <c r="P1946" s="4" t="s">
        <v>229</v>
      </c>
      <c r="Q1946" s="4" t="s">
        <v>100</v>
      </c>
    </row>
    <row r="1947" spans="1:17" hidden="1" x14ac:dyDescent="0.2">
      <c r="A1947" s="4">
        <v>1460</v>
      </c>
      <c r="B1947" s="2">
        <v>0</v>
      </c>
      <c r="C1947" s="2">
        <v>0</v>
      </c>
      <c r="D1947" s="4" t="s">
        <v>7152</v>
      </c>
      <c r="E1947" s="2">
        <v>0</v>
      </c>
      <c r="F1947" s="2">
        <v>0</v>
      </c>
      <c r="G1947" s="2">
        <v>0</v>
      </c>
      <c r="H1947" s="4">
        <v>0</v>
      </c>
      <c r="I1947" s="4">
        <v>0</v>
      </c>
      <c r="J1947" s="4">
        <v>0</v>
      </c>
      <c r="K1947" s="4">
        <v>0</v>
      </c>
      <c r="L1947" s="4" t="s">
        <v>7150</v>
      </c>
      <c r="M1947" s="4" t="s">
        <v>7151</v>
      </c>
      <c r="N1947" s="4" t="s">
        <v>20</v>
      </c>
      <c r="O1947" s="4" t="s">
        <v>3938</v>
      </c>
      <c r="P1947" s="4" t="s">
        <v>3938</v>
      </c>
      <c r="Q1947" s="4" t="s">
        <v>1378</v>
      </c>
    </row>
    <row r="1948" spans="1:17" hidden="1" x14ac:dyDescent="0.2">
      <c r="A1948" s="4">
        <v>1464</v>
      </c>
      <c r="B1948" s="2">
        <v>0</v>
      </c>
      <c r="C1948" s="2">
        <v>0</v>
      </c>
      <c r="D1948" s="4" t="s">
        <v>7155</v>
      </c>
      <c r="E1948" s="2">
        <v>0</v>
      </c>
      <c r="F1948" s="2">
        <v>0</v>
      </c>
      <c r="G1948" s="2">
        <v>0</v>
      </c>
      <c r="H1948" s="4">
        <v>0</v>
      </c>
      <c r="I1948" s="4">
        <v>0</v>
      </c>
      <c r="J1948" s="4">
        <v>0</v>
      </c>
      <c r="K1948" s="4">
        <v>0</v>
      </c>
      <c r="L1948" s="4" t="s">
        <v>7153</v>
      </c>
      <c r="M1948" s="4" t="s">
        <v>7154</v>
      </c>
      <c r="N1948" s="4" t="s">
        <v>20</v>
      </c>
      <c r="O1948" s="4" t="s">
        <v>900</v>
      </c>
      <c r="P1948" s="4" t="s">
        <v>900</v>
      </c>
      <c r="Q1948" s="4" t="s">
        <v>408</v>
      </c>
    </row>
    <row r="1949" spans="1:17" hidden="1" x14ac:dyDescent="0.2">
      <c r="A1949" s="4">
        <v>1469</v>
      </c>
      <c r="B1949" s="2">
        <v>0</v>
      </c>
      <c r="C1949" s="2">
        <v>0</v>
      </c>
      <c r="D1949" s="4" t="s">
        <v>7158</v>
      </c>
      <c r="E1949" s="2">
        <v>0</v>
      </c>
      <c r="F1949" s="2">
        <v>0</v>
      </c>
      <c r="G1949" s="2">
        <v>0</v>
      </c>
      <c r="H1949" s="4">
        <v>0</v>
      </c>
      <c r="I1949" s="4">
        <v>0</v>
      </c>
      <c r="J1949" s="4">
        <v>0</v>
      </c>
      <c r="K1949" s="4">
        <v>0</v>
      </c>
      <c r="L1949" s="4" t="s">
        <v>7156</v>
      </c>
      <c r="M1949" s="4" t="s">
        <v>7157</v>
      </c>
      <c r="N1949" s="4" t="s">
        <v>58</v>
      </c>
      <c r="O1949" s="4" t="s">
        <v>59</v>
      </c>
      <c r="P1949" s="4" t="s">
        <v>59</v>
      </c>
      <c r="Q1949" s="4" t="s">
        <v>100</v>
      </c>
    </row>
    <row r="1950" spans="1:17" hidden="1" x14ac:dyDescent="0.2">
      <c r="A1950" s="4">
        <v>1486</v>
      </c>
      <c r="B1950" s="2">
        <v>0</v>
      </c>
      <c r="C1950" s="2">
        <v>0</v>
      </c>
      <c r="D1950" s="4" t="s">
        <v>7161</v>
      </c>
      <c r="E1950" s="2">
        <v>0</v>
      </c>
      <c r="F1950" s="2">
        <v>0</v>
      </c>
      <c r="G1950" s="2">
        <v>0</v>
      </c>
      <c r="H1950" s="4">
        <v>0</v>
      </c>
      <c r="I1950" s="4">
        <v>0</v>
      </c>
      <c r="J1950" s="4">
        <v>0</v>
      </c>
      <c r="K1950" s="4">
        <v>0</v>
      </c>
      <c r="L1950" s="4" t="s">
        <v>7159</v>
      </c>
      <c r="M1950" s="4" t="s">
        <v>7160</v>
      </c>
      <c r="N1950" s="4" t="s">
        <v>7162</v>
      </c>
      <c r="O1950" s="4" t="s">
        <v>900</v>
      </c>
      <c r="P1950" s="4" t="s">
        <v>900</v>
      </c>
      <c r="Q1950" s="4" t="s">
        <v>144</v>
      </c>
    </row>
    <row r="1951" spans="1:17" hidden="1" x14ac:dyDescent="0.2">
      <c r="A1951" s="4">
        <v>1487</v>
      </c>
      <c r="B1951" s="2">
        <v>0</v>
      </c>
      <c r="C1951" s="2">
        <v>0</v>
      </c>
      <c r="D1951" s="4" t="s">
        <v>7165</v>
      </c>
      <c r="E1951" s="2">
        <v>0</v>
      </c>
      <c r="F1951" s="2">
        <v>0</v>
      </c>
      <c r="G1951" s="2">
        <v>0</v>
      </c>
      <c r="H1951" s="4">
        <v>0</v>
      </c>
      <c r="I1951" s="4">
        <v>0</v>
      </c>
      <c r="J1951" s="4">
        <v>0</v>
      </c>
      <c r="K1951" s="4">
        <v>0</v>
      </c>
      <c r="L1951" s="4" t="s">
        <v>7163</v>
      </c>
      <c r="M1951" s="4" t="s">
        <v>7164</v>
      </c>
      <c r="N1951" s="4" t="s">
        <v>20</v>
      </c>
      <c r="O1951" s="4" t="s">
        <v>76</v>
      </c>
      <c r="P1951" s="4" t="s">
        <v>76</v>
      </c>
      <c r="Q1951" s="4" t="s">
        <v>1378</v>
      </c>
    </row>
    <row r="1952" spans="1:17" hidden="1" x14ac:dyDescent="0.2">
      <c r="A1952" s="4">
        <v>1490</v>
      </c>
      <c r="B1952" s="2">
        <v>0</v>
      </c>
      <c r="C1952" s="2">
        <v>0</v>
      </c>
      <c r="D1952" s="4" t="s">
        <v>7168</v>
      </c>
      <c r="E1952" s="2">
        <v>0</v>
      </c>
      <c r="F1952" s="2">
        <v>0</v>
      </c>
      <c r="G1952" s="2">
        <v>0</v>
      </c>
      <c r="H1952" s="4">
        <v>0</v>
      </c>
      <c r="I1952" s="4">
        <v>0</v>
      </c>
      <c r="J1952" s="4">
        <v>0</v>
      </c>
      <c r="K1952" s="4">
        <v>0</v>
      </c>
      <c r="L1952" s="4" t="s">
        <v>7166</v>
      </c>
      <c r="M1952" s="4" t="s">
        <v>7167</v>
      </c>
      <c r="N1952" s="4" t="s">
        <v>1273</v>
      </c>
      <c r="O1952" s="4" t="s">
        <v>201</v>
      </c>
      <c r="P1952" s="4" t="s">
        <v>201</v>
      </c>
      <c r="Q1952" s="4" t="s">
        <v>100</v>
      </c>
    </row>
    <row r="1953" spans="1:17" hidden="1" x14ac:dyDescent="0.2">
      <c r="A1953" s="4">
        <v>1491</v>
      </c>
      <c r="B1953" s="2">
        <v>0</v>
      </c>
      <c r="C1953" s="2">
        <v>0</v>
      </c>
      <c r="D1953" s="4" t="s">
        <v>7171</v>
      </c>
      <c r="E1953" s="2">
        <v>0</v>
      </c>
      <c r="F1953" s="2">
        <v>0</v>
      </c>
      <c r="G1953" s="2">
        <v>0</v>
      </c>
      <c r="H1953" s="4">
        <v>0</v>
      </c>
      <c r="I1953" s="4">
        <v>0</v>
      </c>
      <c r="J1953" s="4">
        <v>0</v>
      </c>
      <c r="K1953" s="4">
        <v>0</v>
      </c>
      <c r="L1953" s="4" t="s">
        <v>7169</v>
      </c>
      <c r="M1953" s="4" t="s">
        <v>7170</v>
      </c>
      <c r="N1953" s="4" t="s">
        <v>1273</v>
      </c>
      <c r="O1953" s="4" t="s">
        <v>201</v>
      </c>
      <c r="P1953" s="4" t="s">
        <v>201</v>
      </c>
      <c r="Q1953" s="4" t="s">
        <v>100</v>
      </c>
    </row>
    <row r="1954" spans="1:17" hidden="1" x14ac:dyDescent="0.2">
      <c r="A1954" s="4">
        <v>1505</v>
      </c>
      <c r="B1954" s="2">
        <v>0</v>
      </c>
      <c r="C1954" s="2">
        <v>0</v>
      </c>
      <c r="D1954" s="4" t="s">
        <v>7174</v>
      </c>
      <c r="E1954" s="2">
        <v>0</v>
      </c>
      <c r="F1954" s="2">
        <v>0</v>
      </c>
      <c r="G1954" s="2">
        <v>0</v>
      </c>
      <c r="H1954" s="4">
        <v>0</v>
      </c>
      <c r="I1954" s="4">
        <v>0</v>
      </c>
      <c r="J1954" s="4">
        <v>0</v>
      </c>
      <c r="K1954" s="4">
        <v>0</v>
      </c>
      <c r="L1954" s="4" t="s">
        <v>7172</v>
      </c>
      <c r="M1954" s="4" t="s">
        <v>7173</v>
      </c>
      <c r="N1954" s="4" t="s">
        <v>415</v>
      </c>
      <c r="O1954" s="4" t="s">
        <v>382</v>
      </c>
      <c r="P1954" s="4" t="s">
        <v>382</v>
      </c>
      <c r="Q1954" s="4" t="s">
        <v>100</v>
      </c>
    </row>
    <row r="1955" spans="1:17" hidden="1" x14ac:dyDescent="0.2">
      <c r="A1955" s="4">
        <v>1508</v>
      </c>
      <c r="B1955" s="2">
        <v>0</v>
      </c>
      <c r="C1955" s="2">
        <v>0</v>
      </c>
      <c r="D1955" s="4" t="s">
        <v>7177</v>
      </c>
      <c r="E1955" s="2">
        <v>0</v>
      </c>
      <c r="F1955" s="2">
        <v>0</v>
      </c>
      <c r="G1955" s="2">
        <v>0</v>
      </c>
      <c r="H1955" s="4">
        <v>0</v>
      </c>
      <c r="I1955" s="4">
        <v>0</v>
      </c>
      <c r="J1955" s="4">
        <v>0</v>
      </c>
      <c r="K1955" s="4">
        <v>0</v>
      </c>
      <c r="L1955" s="4" t="s">
        <v>7175</v>
      </c>
      <c r="M1955" s="4" t="s">
        <v>7176</v>
      </c>
      <c r="N1955" s="4" t="s">
        <v>20</v>
      </c>
      <c r="O1955" s="4" t="s">
        <v>692</v>
      </c>
      <c r="P1955" s="4" t="s">
        <v>692</v>
      </c>
      <c r="Q1955" s="4" t="s">
        <v>100</v>
      </c>
    </row>
    <row r="1956" spans="1:17" hidden="1" x14ac:dyDescent="0.2">
      <c r="A1956" s="4">
        <v>1510</v>
      </c>
      <c r="B1956" s="2">
        <v>0</v>
      </c>
      <c r="C1956" s="2">
        <v>0</v>
      </c>
      <c r="D1956" s="4" t="s">
        <v>7179</v>
      </c>
      <c r="E1956" s="2">
        <v>0</v>
      </c>
      <c r="F1956" s="2">
        <v>0</v>
      </c>
      <c r="G1956" s="2">
        <v>0</v>
      </c>
      <c r="H1956" s="4">
        <v>0</v>
      </c>
      <c r="I1956" s="4">
        <v>0</v>
      </c>
      <c r="J1956" s="4">
        <v>0</v>
      </c>
      <c r="K1956" s="4">
        <v>0</v>
      </c>
      <c r="L1956" s="4" t="s">
        <v>7178</v>
      </c>
      <c r="M1956" s="4" t="s">
        <v>5756</v>
      </c>
      <c r="N1956" s="4" t="s">
        <v>322</v>
      </c>
      <c r="O1956" s="4" t="s">
        <v>229</v>
      </c>
      <c r="P1956" s="4" t="s">
        <v>229</v>
      </c>
      <c r="Q1956" s="4" t="s">
        <v>100</v>
      </c>
    </row>
    <row r="1957" spans="1:17" hidden="1" x14ac:dyDescent="0.2">
      <c r="A1957" s="4">
        <v>1532</v>
      </c>
      <c r="B1957" s="2">
        <v>0</v>
      </c>
      <c r="C1957" s="2">
        <v>0</v>
      </c>
      <c r="D1957" s="4" t="s">
        <v>7182</v>
      </c>
      <c r="E1957" s="2">
        <v>0</v>
      </c>
      <c r="F1957" s="2">
        <v>0</v>
      </c>
      <c r="G1957" s="2">
        <v>0</v>
      </c>
      <c r="H1957" s="4">
        <v>0</v>
      </c>
      <c r="I1957" s="4">
        <v>0</v>
      </c>
      <c r="J1957" s="4">
        <v>0</v>
      </c>
      <c r="K1957" s="4">
        <v>0</v>
      </c>
      <c r="L1957" s="4" t="s">
        <v>7180</v>
      </c>
      <c r="M1957" s="4" t="s">
        <v>7181</v>
      </c>
      <c r="N1957" s="4"/>
      <c r="O1957" s="4" t="s">
        <v>3938</v>
      </c>
      <c r="P1957" s="4" t="s">
        <v>3938</v>
      </c>
      <c r="Q1957" s="4" t="s">
        <v>1378</v>
      </c>
    </row>
    <row r="1958" spans="1:17" hidden="1" x14ac:dyDescent="0.2">
      <c r="A1958" s="4">
        <v>1533</v>
      </c>
      <c r="B1958" s="2">
        <v>0</v>
      </c>
      <c r="C1958" s="2">
        <v>0</v>
      </c>
      <c r="D1958" s="4" t="s">
        <v>7185</v>
      </c>
      <c r="E1958" s="2">
        <v>0</v>
      </c>
      <c r="F1958" s="2">
        <v>0</v>
      </c>
      <c r="G1958" s="2">
        <v>0</v>
      </c>
      <c r="H1958" s="4">
        <v>0</v>
      </c>
      <c r="I1958" s="4">
        <v>0</v>
      </c>
      <c r="J1958" s="4">
        <v>0</v>
      </c>
      <c r="K1958" s="4">
        <v>0</v>
      </c>
      <c r="L1958" s="4" t="s">
        <v>7183</v>
      </c>
      <c r="M1958" s="4" t="s">
        <v>7184</v>
      </c>
      <c r="N1958" s="4" t="s">
        <v>7186</v>
      </c>
      <c r="O1958" s="4" t="s">
        <v>3938</v>
      </c>
      <c r="P1958" s="4" t="s">
        <v>3938</v>
      </c>
      <c r="Q1958" s="4" t="s">
        <v>1378</v>
      </c>
    </row>
    <row r="1959" spans="1:17" hidden="1" x14ac:dyDescent="0.2">
      <c r="A1959" s="4">
        <v>1544</v>
      </c>
      <c r="B1959" s="2">
        <v>0</v>
      </c>
      <c r="C1959" s="2">
        <v>0</v>
      </c>
      <c r="D1959" s="4" t="s">
        <v>7188</v>
      </c>
      <c r="E1959" s="2">
        <v>0</v>
      </c>
      <c r="F1959" s="2">
        <v>0</v>
      </c>
      <c r="G1959" s="2">
        <v>0</v>
      </c>
      <c r="H1959" s="4">
        <v>0</v>
      </c>
      <c r="I1959" s="4">
        <v>0</v>
      </c>
      <c r="J1959" s="4">
        <v>0</v>
      </c>
      <c r="K1959" s="4">
        <v>0</v>
      </c>
      <c r="L1959" s="4" t="s">
        <v>7187</v>
      </c>
      <c r="M1959" s="4" t="s">
        <v>453</v>
      </c>
      <c r="N1959" s="4" t="s">
        <v>1961</v>
      </c>
      <c r="O1959" s="4" t="s">
        <v>201</v>
      </c>
      <c r="P1959" s="4" t="s">
        <v>201</v>
      </c>
      <c r="Q1959" s="4" t="s">
        <v>100</v>
      </c>
    </row>
    <row r="1960" spans="1:17" hidden="1" x14ac:dyDescent="0.2">
      <c r="A1960" s="4">
        <v>1548</v>
      </c>
      <c r="B1960" s="2">
        <v>0</v>
      </c>
      <c r="C1960" s="2">
        <v>0</v>
      </c>
      <c r="D1960" s="4" t="s">
        <v>7191</v>
      </c>
      <c r="E1960" s="2">
        <v>0</v>
      </c>
      <c r="F1960" s="2">
        <v>0</v>
      </c>
      <c r="G1960" s="2">
        <v>0</v>
      </c>
      <c r="H1960" s="4">
        <v>0</v>
      </c>
      <c r="I1960" s="4">
        <v>0</v>
      </c>
      <c r="J1960" s="4">
        <v>0</v>
      </c>
      <c r="K1960" s="4">
        <v>0</v>
      </c>
      <c r="L1960" s="4" t="s">
        <v>7189</v>
      </c>
      <c r="M1960" s="4" t="s">
        <v>7190</v>
      </c>
      <c r="N1960" s="4" t="s">
        <v>1783</v>
      </c>
      <c r="O1960" s="4" t="s">
        <v>386</v>
      </c>
      <c r="P1960" s="4" t="s">
        <v>386</v>
      </c>
      <c r="Q1960" s="4" t="s">
        <v>1378</v>
      </c>
    </row>
    <row r="1961" spans="1:17" hidden="1" x14ac:dyDescent="0.2">
      <c r="A1961" s="4">
        <v>1553</v>
      </c>
      <c r="B1961" s="2">
        <v>0</v>
      </c>
      <c r="C1961" s="2">
        <v>0</v>
      </c>
      <c r="D1961" s="4" t="s">
        <v>7194</v>
      </c>
      <c r="E1961" s="2">
        <v>0</v>
      </c>
      <c r="F1961" s="2">
        <v>0</v>
      </c>
      <c r="G1961" s="2">
        <v>0</v>
      </c>
      <c r="H1961" s="4">
        <v>0</v>
      </c>
      <c r="I1961" s="4">
        <v>0</v>
      </c>
      <c r="J1961" s="4">
        <v>0</v>
      </c>
      <c r="K1961" s="4">
        <v>0</v>
      </c>
      <c r="L1961" s="4" t="s">
        <v>7192</v>
      </c>
      <c r="M1961" s="4" t="s">
        <v>7193</v>
      </c>
      <c r="N1961" s="4" t="s">
        <v>186</v>
      </c>
      <c r="O1961" s="4" t="s">
        <v>59</v>
      </c>
      <c r="P1961" s="4" t="s">
        <v>59</v>
      </c>
      <c r="Q1961" s="4" t="s">
        <v>100</v>
      </c>
    </row>
    <row r="1962" spans="1:17" hidden="1" x14ac:dyDescent="0.2">
      <c r="A1962" s="4">
        <v>1560</v>
      </c>
      <c r="B1962" s="2">
        <v>0</v>
      </c>
      <c r="C1962" s="2">
        <v>0</v>
      </c>
      <c r="D1962" s="4" t="s">
        <v>7197</v>
      </c>
      <c r="E1962" s="2">
        <v>0</v>
      </c>
      <c r="F1962" s="2">
        <v>0</v>
      </c>
      <c r="G1962" s="2">
        <v>0</v>
      </c>
      <c r="H1962" s="4">
        <v>0</v>
      </c>
      <c r="I1962" s="4">
        <v>0</v>
      </c>
      <c r="J1962" s="4">
        <v>0</v>
      </c>
      <c r="K1962" s="4">
        <v>0</v>
      </c>
      <c r="L1962" s="4" t="s">
        <v>7195</v>
      </c>
      <c r="M1962" s="4" t="s">
        <v>7196</v>
      </c>
      <c r="N1962" s="4" t="s">
        <v>7198</v>
      </c>
      <c r="O1962" s="4" t="s">
        <v>229</v>
      </c>
      <c r="P1962" s="4" t="s">
        <v>229</v>
      </c>
      <c r="Q1962" s="4" t="s">
        <v>100</v>
      </c>
    </row>
    <row r="1963" spans="1:17" hidden="1" x14ac:dyDescent="0.2">
      <c r="A1963" s="4">
        <v>1562</v>
      </c>
      <c r="B1963" s="2">
        <v>0</v>
      </c>
      <c r="C1963" s="2">
        <v>0</v>
      </c>
      <c r="D1963" s="4" t="s">
        <v>7201</v>
      </c>
      <c r="E1963" s="2">
        <v>0</v>
      </c>
      <c r="F1963" s="2">
        <v>0</v>
      </c>
      <c r="G1963" s="2">
        <v>0</v>
      </c>
      <c r="H1963" s="4">
        <v>0</v>
      </c>
      <c r="I1963" s="4">
        <v>0</v>
      </c>
      <c r="J1963" s="4">
        <v>0</v>
      </c>
      <c r="K1963" s="4">
        <v>0</v>
      </c>
      <c r="L1963" s="4" t="s">
        <v>7199</v>
      </c>
      <c r="M1963" s="4" t="s">
        <v>7200</v>
      </c>
      <c r="N1963" s="4" t="s">
        <v>332</v>
      </c>
      <c r="O1963" s="4" t="s">
        <v>1127</v>
      </c>
      <c r="P1963" s="4" t="s">
        <v>1127</v>
      </c>
      <c r="Q1963" s="4" t="s">
        <v>100</v>
      </c>
    </row>
    <row r="1964" spans="1:17" hidden="1" x14ac:dyDescent="0.2">
      <c r="A1964" s="4">
        <v>1572</v>
      </c>
      <c r="B1964" s="2">
        <v>0</v>
      </c>
      <c r="C1964" s="2">
        <v>0</v>
      </c>
      <c r="D1964" s="4" t="s">
        <v>7204</v>
      </c>
      <c r="E1964" s="2">
        <v>0</v>
      </c>
      <c r="F1964" s="2">
        <v>0</v>
      </c>
      <c r="G1964" s="2">
        <v>0</v>
      </c>
      <c r="H1964" s="4">
        <v>0</v>
      </c>
      <c r="I1964" s="4">
        <v>0</v>
      </c>
      <c r="J1964" s="4">
        <v>0</v>
      </c>
      <c r="K1964" s="4">
        <v>0</v>
      </c>
      <c r="L1964" s="4" t="s">
        <v>7202</v>
      </c>
      <c r="M1964" s="4" t="s">
        <v>7203</v>
      </c>
      <c r="N1964" s="4" t="s">
        <v>5832</v>
      </c>
      <c r="O1964" s="4" t="s">
        <v>559</v>
      </c>
      <c r="P1964" s="4" t="s">
        <v>559</v>
      </c>
      <c r="Q1964" s="4" t="s">
        <v>100</v>
      </c>
    </row>
    <row r="1965" spans="1:17" hidden="1" x14ac:dyDescent="0.2">
      <c r="A1965" s="4">
        <v>1594</v>
      </c>
      <c r="B1965" s="2">
        <v>0</v>
      </c>
      <c r="C1965" s="2">
        <v>0</v>
      </c>
      <c r="D1965" s="4" t="s">
        <v>7207</v>
      </c>
      <c r="E1965" s="2">
        <v>0</v>
      </c>
      <c r="F1965" s="2">
        <v>0</v>
      </c>
      <c r="G1965" s="2">
        <v>0</v>
      </c>
      <c r="H1965" s="4">
        <v>0</v>
      </c>
      <c r="I1965" s="4">
        <v>0</v>
      </c>
      <c r="J1965" s="4">
        <v>0</v>
      </c>
      <c r="K1965" s="4">
        <v>0</v>
      </c>
      <c r="L1965" s="4" t="s">
        <v>7205</v>
      </c>
      <c r="M1965" s="4" t="s">
        <v>7206</v>
      </c>
      <c r="N1965" s="4" t="s">
        <v>7208</v>
      </c>
      <c r="O1965" s="4" t="s">
        <v>237</v>
      </c>
      <c r="P1965" s="4" t="s">
        <v>237</v>
      </c>
      <c r="Q1965" s="4" t="s">
        <v>100</v>
      </c>
    </row>
    <row r="1966" spans="1:17" hidden="1" x14ac:dyDescent="0.2">
      <c r="A1966" s="4">
        <v>1600</v>
      </c>
      <c r="B1966" s="2">
        <v>0</v>
      </c>
      <c r="C1966" s="2">
        <v>0</v>
      </c>
      <c r="D1966" s="4" t="s">
        <v>7211</v>
      </c>
      <c r="E1966" s="2">
        <v>0</v>
      </c>
      <c r="F1966" s="2">
        <v>0</v>
      </c>
      <c r="G1966" s="2">
        <v>0</v>
      </c>
      <c r="H1966" s="4">
        <v>0</v>
      </c>
      <c r="I1966" s="4">
        <v>0</v>
      </c>
      <c r="J1966" s="4">
        <v>0</v>
      </c>
      <c r="K1966" s="4">
        <v>0</v>
      </c>
      <c r="L1966" s="4" t="s">
        <v>7209</v>
      </c>
      <c r="M1966" s="4" t="s">
        <v>7210</v>
      </c>
      <c r="N1966" s="4" t="s">
        <v>3350</v>
      </c>
      <c r="O1966" s="4" t="s">
        <v>113</v>
      </c>
      <c r="P1966" s="4" t="s">
        <v>113</v>
      </c>
      <c r="Q1966" s="4" t="s">
        <v>100</v>
      </c>
    </row>
    <row r="1967" spans="1:17" hidden="1" x14ac:dyDescent="0.2">
      <c r="A1967" s="4">
        <v>1602</v>
      </c>
      <c r="B1967" s="2">
        <v>0</v>
      </c>
      <c r="C1967" s="2">
        <v>0</v>
      </c>
      <c r="D1967" s="4" t="s">
        <v>7214</v>
      </c>
      <c r="E1967" s="2">
        <v>0</v>
      </c>
      <c r="F1967" s="2">
        <v>0</v>
      </c>
      <c r="G1967" s="2">
        <v>0</v>
      </c>
      <c r="H1967" s="4">
        <v>0</v>
      </c>
      <c r="I1967" s="4">
        <v>0</v>
      </c>
      <c r="J1967" s="4">
        <v>0</v>
      </c>
      <c r="K1967" s="4">
        <v>0</v>
      </c>
      <c r="L1967" s="4" t="s">
        <v>7212</v>
      </c>
      <c r="M1967" s="4" t="s">
        <v>7213</v>
      </c>
      <c r="N1967" s="4" t="s">
        <v>20</v>
      </c>
      <c r="O1967" s="4" t="s">
        <v>386</v>
      </c>
      <c r="P1967" s="4" t="s">
        <v>386</v>
      </c>
      <c r="Q1967" s="4" t="s">
        <v>1378</v>
      </c>
    </row>
    <row r="1968" spans="1:17" hidden="1" x14ac:dyDescent="0.2">
      <c r="A1968" s="4">
        <v>1604</v>
      </c>
      <c r="B1968" s="2">
        <v>0</v>
      </c>
      <c r="C1968" s="2">
        <v>0</v>
      </c>
      <c r="D1968" s="4" t="s">
        <v>7217</v>
      </c>
      <c r="E1968" s="2">
        <v>0</v>
      </c>
      <c r="F1968" s="2">
        <v>0</v>
      </c>
      <c r="G1968" s="2">
        <v>0</v>
      </c>
      <c r="H1968" s="4">
        <v>0</v>
      </c>
      <c r="I1968" s="4">
        <v>0</v>
      </c>
      <c r="J1968" s="4">
        <v>0</v>
      </c>
      <c r="K1968" s="4">
        <v>0</v>
      </c>
      <c r="L1968" s="4" t="s">
        <v>7215</v>
      </c>
      <c r="M1968" s="4" t="s">
        <v>7216</v>
      </c>
      <c r="N1968" s="4" t="s">
        <v>2060</v>
      </c>
      <c r="O1968" s="4" t="s">
        <v>113</v>
      </c>
      <c r="P1968" s="4" t="s">
        <v>113</v>
      </c>
      <c r="Q1968" s="4" t="s">
        <v>100</v>
      </c>
    </row>
    <row r="1969" spans="1:17" hidden="1" x14ac:dyDescent="0.2">
      <c r="A1969" s="4">
        <v>1607</v>
      </c>
      <c r="B1969" s="2">
        <v>0</v>
      </c>
      <c r="C1969" s="2">
        <v>0</v>
      </c>
      <c r="D1969" s="4" t="s">
        <v>7220</v>
      </c>
      <c r="E1969" s="2">
        <v>0</v>
      </c>
      <c r="F1969" s="2">
        <v>0</v>
      </c>
      <c r="G1969" s="2">
        <v>0</v>
      </c>
      <c r="H1969" s="4">
        <v>0</v>
      </c>
      <c r="I1969" s="4">
        <v>0</v>
      </c>
      <c r="J1969" s="4">
        <v>0</v>
      </c>
      <c r="K1969" s="4">
        <v>0</v>
      </c>
      <c r="L1969" s="4" t="s">
        <v>7218</v>
      </c>
      <c r="M1969" s="4" t="s">
        <v>7219</v>
      </c>
      <c r="N1969" s="4" t="s">
        <v>332</v>
      </c>
      <c r="O1969" s="4" t="s">
        <v>76</v>
      </c>
      <c r="P1969" s="4" t="s">
        <v>76</v>
      </c>
      <c r="Q1969" s="4" t="s">
        <v>585</v>
      </c>
    </row>
    <row r="1970" spans="1:17" hidden="1" x14ac:dyDescent="0.2">
      <c r="A1970" s="4">
        <v>1613</v>
      </c>
      <c r="B1970" s="2">
        <v>0</v>
      </c>
      <c r="C1970" s="2">
        <v>0</v>
      </c>
      <c r="D1970" s="4" t="s">
        <v>1626</v>
      </c>
      <c r="E1970" s="2">
        <v>0</v>
      </c>
      <c r="F1970" s="2">
        <v>0</v>
      </c>
      <c r="G1970" s="2">
        <v>0</v>
      </c>
      <c r="H1970" s="4">
        <v>0</v>
      </c>
      <c r="I1970" s="4">
        <v>0</v>
      </c>
      <c r="J1970" s="4">
        <v>0</v>
      </c>
      <c r="K1970" s="4">
        <v>0</v>
      </c>
      <c r="L1970" s="4" t="s">
        <v>1624</v>
      </c>
      <c r="M1970" s="4" t="s">
        <v>1625</v>
      </c>
      <c r="N1970" s="4" t="s">
        <v>332</v>
      </c>
      <c r="O1970" s="4" t="s">
        <v>76</v>
      </c>
      <c r="P1970" s="4" t="s">
        <v>76</v>
      </c>
      <c r="Q1970" s="4" t="s">
        <v>585</v>
      </c>
    </row>
    <row r="1971" spans="1:17" hidden="1" x14ac:dyDescent="0.2">
      <c r="A1971" s="4">
        <v>1617</v>
      </c>
      <c r="B1971" s="2">
        <v>0</v>
      </c>
      <c r="C1971" s="2">
        <v>0</v>
      </c>
      <c r="D1971" s="4" t="s">
        <v>7223</v>
      </c>
      <c r="E1971" s="2">
        <v>0</v>
      </c>
      <c r="F1971" s="2">
        <v>0</v>
      </c>
      <c r="G1971" s="2">
        <v>0</v>
      </c>
      <c r="H1971" s="4">
        <v>0</v>
      </c>
      <c r="I1971" s="4">
        <v>0</v>
      </c>
      <c r="J1971" s="4">
        <v>0</v>
      </c>
      <c r="K1971" s="4">
        <v>0</v>
      </c>
      <c r="L1971" s="4" t="s">
        <v>7221</v>
      </c>
      <c r="M1971" s="4" t="s">
        <v>7222</v>
      </c>
      <c r="N1971" s="4" t="s">
        <v>20</v>
      </c>
      <c r="O1971" s="4" t="s">
        <v>372</v>
      </c>
      <c r="P1971" s="4" t="s">
        <v>372</v>
      </c>
      <c r="Q1971" s="4" t="s">
        <v>100</v>
      </c>
    </row>
    <row r="1972" spans="1:17" hidden="1" x14ac:dyDescent="0.2">
      <c r="A1972" s="4">
        <v>1625</v>
      </c>
      <c r="B1972" s="2">
        <v>0</v>
      </c>
      <c r="C1972" s="2">
        <v>0</v>
      </c>
      <c r="D1972" s="4" t="s">
        <v>7226</v>
      </c>
      <c r="E1972" s="2">
        <v>0</v>
      </c>
      <c r="F1972" s="2">
        <v>0</v>
      </c>
      <c r="G1972" s="2">
        <v>0</v>
      </c>
      <c r="H1972" s="4">
        <v>0</v>
      </c>
      <c r="I1972" s="4">
        <v>0</v>
      </c>
      <c r="J1972" s="4">
        <v>0</v>
      </c>
      <c r="K1972" s="4">
        <v>0</v>
      </c>
      <c r="L1972" s="4" t="s">
        <v>7224</v>
      </c>
      <c r="M1972" s="4" t="s">
        <v>7225</v>
      </c>
      <c r="N1972" s="4" t="s">
        <v>7227</v>
      </c>
      <c r="O1972" s="4" t="s">
        <v>386</v>
      </c>
      <c r="P1972" s="4" t="s">
        <v>386</v>
      </c>
      <c r="Q1972" s="4" t="s">
        <v>1378</v>
      </c>
    </row>
    <row r="1973" spans="1:17" hidden="1" x14ac:dyDescent="0.2">
      <c r="A1973" s="4">
        <v>1626</v>
      </c>
      <c r="B1973" s="2">
        <v>0</v>
      </c>
      <c r="C1973" s="2">
        <v>0</v>
      </c>
      <c r="D1973" s="4" t="s">
        <v>7230</v>
      </c>
      <c r="E1973" s="2">
        <v>0</v>
      </c>
      <c r="F1973" s="2">
        <v>0</v>
      </c>
      <c r="G1973" s="2">
        <v>0</v>
      </c>
      <c r="H1973" s="4">
        <v>0</v>
      </c>
      <c r="I1973" s="4">
        <v>0</v>
      </c>
      <c r="J1973" s="4">
        <v>0</v>
      </c>
      <c r="K1973" s="4">
        <v>0</v>
      </c>
      <c r="L1973" s="4" t="s">
        <v>7228</v>
      </c>
      <c r="M1973" s="4" t="s">
        <v>7229</v>
      </c>
      <c r="N1973" s="4" t="s">
        <v>20</v>
      </c>
      <c r="O1973" s="4" t="s">
        <v>925</v>
      </c>
      <c r="P1973" s="4" t="s">
        <v>1039</v>
      </c>
      <c r="Q1973" s="4" t="s">
        <v>100</v>
      </c>
    </row>
    <row r="1974" spans="1:17" hidden="1" x14ac:dyDescent="0.2">
      <c r="A1974" s="4">
        <v>1643</v>
      </c>
      <c r="B1974" s="2">
        <v>0</v>
      </c>
      <c r="C1974" s="2">
        <v>0</v>
      </c>
      <c r="D1974" s="4" t="s">
        <v>7233</v>
      </c>
      <c r="E1974" s="2">
        <v>0</v>
      </c>
      <c r="F1974" s="2">
        <v>0</v>
      </c>
      <c r="G1974" s="2">
        <v>0</v>
      </c>
      <c r="H1974" s="4">
        <v>0</v>
      </c>
      <c r="I1974" s="4">
        <v>0</v>
      </c>
      <c r="J1974" s="4">
        <v>0</v>
      </c>
      <c r="K1974" s="4">
        <v>0</v>
      </c>
      <c r="L1974" s="4" t="s">
        <v>7231</v>
      </c>
      <c r="M1974" s="4" t="s">
        <v>7232</v>
      </c>
      <c r="N1974" s="4" t="s">
        <v>20</v>
      </c>
      <c r="O1974" s="4" t="s">
        <v>3938</v>
      </c>
      <c r="P1974" s="4" t="s">
        <v>3938</v>
      </c>
      <c r="Q1974" s="4" t="s">
        <v>1378</v>
      </c>
    </row>
    <row r="1975" spans="1:17" hidden="1" x14ac:dyDescent="0.2">
      <c r="A1975" s="4">
        <v>1648</v>
      </c>
      <c r="B1975" s="2">
        <v>0</v>
      </c>
      <c r="C1975" s="2">
        <v>0</v>
      </c>
      <c r="D1975" s="4" t="s">
        <v>7236</v>
      </c>
      <c r="E1975" s="2">
        <v>0</v>
      </c>
      <c r="F1975" s="2">
        <v>0</v>
      </c>
      <c r="G1975" s="2">
        <v>0</v>
      </c>
      <c r="H1975" s="4">
        <v>0</v>
      </c>
      <c r="I1975" s="4">
        <v>0</v>
      </c>
      <c r="J1975" s="4">
        <v>0</v>
      </c>
      <c r="K1975" s="4">
        <v>0</v>
      </c>
      <c r="L1975" s="4" t="s">
        <v>7234</v>
      </c>
      <c r="M1975" s="4" t="s">
        <v>7235</v>
      </c>
      <c r="N1975" s="4" t="s">
        <v>233</v>
      </c>
      <c r="O1975" s="4" t="s">
        <v>229</v>
      </c>
      <c r="P1975" s="4" t="s">
        <v>229</v>
      </c>
      <c r="Q1975" s="4" t="s">
        <v>100</v>
      </c>
    </row>
    <row r="1976" spans="1:17" hidden="1" x14ac:dyDescent="0.2">
      <c r="A1976" s="4">
        <v>1653</v>
      </c>
      <c r="B1976" s="2">
        <v>0</v>
      </c>
      <c r="C1976" s="2">
        <v>0</v>
      </c>
      <c r="D1976" s="4" t="s">
        <v>7239</v>
      </c>
      <c r="E1976" s="2">
        <v>0</v>
      </c>
      <c r="F1976" s="2">
        <v>0</v>
      </c>
      <c r="G1976" s="2">
        <v>0</v>
      </c>
      <c r="H1976" s="4">
        <v>0</v>
      </c>
      <c r="I1976" s="4">
        <v>0</v>
      </c>
      <c r="J1976" s="4">
        <v>0</v>
      </c>
      <c r="K1976" s="4">
        <v>0</v>
      </c>
      <c r="L1976" s="4" t="s">
        <v>7237</v>
      </c>
      <c r="M1976" s="4" t="s">
        <v>7238</v>
      </c>
      <c r="N1976" s="4" t="s">
        <v>7074</v>
      </c>
      <c r="O1976" s="4" t="s">
        <v>229</v>
      </c>
      <c r="P1976" s="4" t="s">
        <v>229</v>
      </c>
      <c r="Q1976" s="4" t="s">
        <v>100</v>
      </c>
    </row>
    <row r="1977" spans="1:17" hidden="1" x14ac:dyDescent="0.2">
      <c r="A1977" s="4">
        <v>1655</v>
      </c>
      <c r="B1977" s="2">
        <v>0</v>
      </c>
      <c r="C1977" s="2">
        <v>0</v>
      </c>
      <c r="D1977" s="4" t="s">
        <v>7242</v>
      </c>
      <c r="E1977" s="2">
        <v>0</v>
      </c>
      <c r="F1977" s="2">
        <v>0</v>
      </c>
      <c r="G1977" s="2">
        <v>0</v>
      </c>
      <c r="H1977" s="4">
        <v>0</v>
      </c>
      <c r="I1977" s="4">
        <v>0</v>
      </c>
      <c r="J1977" s="4">
        <v>0</v>
      </c>
      <c r="K1977" s="4">
        <v>0</v>
      </c>
      <c r="L1977" s="4" t="s">
        <v>7240</v>
      </c>
      <c r="M1977" s="4" t="s">
        <v>7241</v>
      </c>
      <c r="N1977" s="4" t="s">
        <v>20</v>
      </c>
      <c r="O1977" s="4" t="s">
        <v>2863</v>
      </c>
      <c r="P1977" s="4" t="s">
        <v>2863</v>
      </c>
      <c r="Q1977" s="4" t="s">
        <v>100</v>
      </c>
    </row>
    <row r="1978" spans="1:17" hidden="1" x14ac:dyDescent="0.2">
      <c r="A1978" s="4">
        <v>1663</v>
      </c>
      <c r="B1978" s="2">
        <v>0</v>
      </c>
      <c r="C1978" s="2">
        <v>0</v>
      </c>
      <c r="D1978" s="4" t="s">
        <v>7244</v>
      </c>
      <c r="E1978" s="2">
        <v>0</v>
      </c>
      <c r="F1978" s="2">
        <v>0</v>
      </c>
      <c r="G1978" s="2">
        <v>0</v>
      </c>
      <c r="H1978" s="4">
        <v>0</v>
      </c>
      <c r="I1978" s="4">
        <v>0</v>
      </c>
      <c r="J1978" s="4">
        <v>0</v>
      </c>
      <c r="K1978" s="4">
        <v>0</v>
      </c>
      <c r="L1978" s="4" t="s">
        <v>7243</v>
      </c>
      <c r="M1978" s="4" t="s">
        <v>7243</v>
      </c>
      <c r="N1978" s="4" t="s">
        <v>20</v>
      </c>
      <c r="O1978" s="4" t="s">
        <v>3938</v>
      </c>
      <c r="P1978" s="4" t="s">
        <v>3938</v>
      </c>
      <c r="Q1978" s="4" t="s">
        <v>1378</v>
      </c>
    </row>
    <row r="1979" spans="1:17" hidden="1" x14ac:dyDescent="0.2">
      <c r="A1979" s="4">
        <v>1665</v>
      </c>
      <c r="B1979" s="2">
        <v>0</v>
      </c>
      <c r="C1979" s="2">
        <v>0</v>
      </c>
      <c r="D1979" s="4" t="s">
        <v>3666</v>
      </c>
      <c r="E1979" s="2">
        <v>0</v>
      </c>
      <c r="F1979" s="2">
        <v>0</v>
      </c>
      <c r="G1979" s="2">
        <v>0</v>
      </c>
      <c r="H1979" s="4">
        <v>0</v>
      </c>
      <c r="I1979" s="4">
        <v>0</v>
      </c>
      <c r="J1979" s="4">
        <v>0</v>
      </c>
      <c r="K1979" s="4">
        <v>0</v>
      </c>
      <c r="L1979" s="4" t="s">
        <v>3664</v>
      </c>
      <c r="M1979" s="4" t="s">
        <v>3665</v>
      </c>
      <c r="N1979" s="4" t="s">
        <v>349</v>
      </c>
      <c r="O1979" s="4" t="s">
        <v>93</v>
      </c>
      <c r="P1979" s="4" t="s">
        <v>93</v>
      </c>
      <c r="Q1979" s="4" t="s">
        <v>100</v>
      </c>
    </row>
    <row r="1980" spans="1:17" hidden="1" x14ac:dyDescent="0.2">
      <c r="A1980" s="4">
        <v>1683</v>
      </c>
      <c r="B1980" s="2">
        <v>0</v>
      </c>
      <c r="C1980" s="2">
        <v>0</v>
      </c>
      <c r="D1980" s="4" t="s">
        <v>7247</v>
      </c>
      <c r="E1980" s="2">
        <v>0</v>
      </c>
      <c r="F1980" s="2">
        <v>0</v>
      </c>
      <c r="G1980" s="2">
        <v>0</v>
      </c>
      <c r="H1980" s="4">
        <v>0</v>
      </c>
      <c r="I1980" s="4">
        <v>0</v>
      </c>
      <c r="J1980" s="4">
        <v>0</v>
      </c>
      <c r="K1980" s="4">
        <v>0</v>
      </c>
      <c r="L1980" s="4" t="s">
        <v>7245</v>
      </c>
      <c r="M1980" s="4" t="s">
        <v>7246</v>
      </c>
      <c r="N1980" s="4" t="s">
        <v>4519</v>
      </c>
      <c r="O1980" s="4" t="s">
        <v>382</v>
      </c>
      <c r="P1980" s="4" t="s">
        <v>1039</v>
      </c>
      <c r="Q1980" s="4" t="s">
        <v>100</v>
      </c>
    </row>
    <row r="1981" spans="1:17" hidden="1" x14ac:dyDescent="0.2">
      <c r="A1981" s="4">
        <v>1691</v>
      </c>
      <c r="B1981" s="2">
        <v>0</v>
      </c>
      <c r="C1981" s="2">
        <v>0</v>
      </c>
      <c r="D1981" s="4" t="s">
        <v>7250</v>
      </c>
      <c r="E1981" s="2">
        <v>0</v>
      </c>
      <c r="F1981" s="2">
        <v>0</v>
      </c>
      <c r="G1981" s="2">
        <v>0</v>
      </c>
      <c r="H1981" s="4">
        <v>0</v>
      </c>
      <c r="I1981" s="4">
        <v>0</v>
      </c>
      <c r="J1981" s="4">
        <v>0</v>
      </c>
      <c r="K1981" s="4">
        <v>0</v>
      </c>
      <c r="L1981" s="4" t="s">
        <v>7248</v>
      </c>
      <c r="M1981" s="4" t="s">
        <v>7249</v>
      </c>
      <c r="N1981" s="4" t="s">
        <v>714</v>
      </c>
      <c r="O1981" s="4" t="s">
        <v>382</v>
      </c>
      <c r="P1981" s="4" t="s">
        <v>382</v>
      </c>
      <c r="Q1981" s="4" t="s">
        <v>100</v>
      </c>
    </row>
    <row r="1982" spans="1:17" hidden="1" x14ac:dyDescent="0.2">
      <c r="A1982" s="4">
        <v>1693</v>
      </c>
      <c r="B1982" s="2">
        <v>0</v>
      </c>
      <c r="C1982" s="2">
        <v>0</v>
      </c>
      <c r="D1982" s="4" t="s">
        <v>7253</v>
      </c>
      <c r="E1982" s="2">
        <v>0</v>
      </c>
      <c r="F1982" s="2">
        <v>0</v>
      </c>
      <c r="G1982" s="2">
        <v>0</v>
      </c>
      <c r="H1982" s="4">
        <v>0</v>
      </c>
      <c r="I1982" s="4">
        <v>0</v>
      </c>
      <c r="J1982" s="4">
        <v>0</v>
      </c>
      <c r="K1982" s="4">
        <v>0</v>
      </c>
      <c r="L1982" s="4" t="s">
        <v>7251</v>
      </c>
      <c r="M1982" s="4" t="s">
        <v>7252</v>
      </c>
      <c r="N1982" s="4" t="s">
        <v>368</v>
      </c>
      <c r="O1982" s="4" t="s">
        <v>89</v>
      </c>
      <c r="P1982" s="4" t="s">
        <v>89</v>
      </c>
      <c r="Q1982" s="4" t="s">
        <v>100</v>
      </c>
    </row>
    <row r="1983" spans="1:17" hidden="1" x14ac:dyDescent="0.2">
      <c r="A1983" s="4">
        <v>1698</v>
      </c>
      <c r="B1983" s="2">
        <v>0</v>
      </c>
      <c r="C1983" s="2">
        <v>0</v>
      </c>
      <c r="D1983" s="4" t="s">
        <v>7256</v>
      </c>
      <c r="E1983" s="2">
        <v>0</v>
      </c>
      <c r="F1983" s="2">
        <v>0</v>
      </c>
      <c r="G1983" s="2">
        <v>0</v>
      </c>
      <c r="H1983" s="4">
        <v>0</v>
      </c>
      <c r="I1983" s="4">
        <v>0</v>
      </c>
      <c r="J1983" s="4">
        <v>0</v>
      </c>
      <c r="K1983" s="4">
        <v>0</v>
      </c>
      <c r="L1983" s="4" t="s">
        <v>7254</v>
      </c>
      <c r="M1983" s="4" t="s">
        <v>7255</v>
      </c>
      <c r="N1983" s="4" t="s">
        <v>20</v>
      </c>
      <c r="O1983" s="4" t="s">
        <v>89</v>
      </c>
      <c r="P1983" s="4" t="s">
        <v>89</v>
      </c>
      <c r="Q1983" s="4" t="s">
        <v>100</v>
      </c>
    </row>
    <row r="1984" spans="1:17" hidden="1" x14ac:dyDescent="0.2">
      <c r="A1984" s="4">
        <v>1703</v>
      </c>
      <c r="B1984" s="2">
        <v>0</v>
      </c>
      <c r="C1984" s="2">
        <v>0</v>
      </c>
      <c r="D1984" s="4" t="s">
        <v>7259</v>
      </c>
      <c r="E1984" s="2">
        <v>0</v>
      </c>
      <c r="F1984" s="2">
        <v>0</v>
      </c>
      <c r="G1984" s="2">
        <v>0</v>
      </c>
      <c r="H1984" s="4">
        <v>0</v>
      </c>
      <c r="I1984" s="4">
        <v>0</v>
      </c>
      <c r="J1984" s="4">
        <v>0</v>
      </c>
      <c r="K1984" s="4">
        <v>0</v>
      </c>
      <c r="L1984" s="4" t="s">
        <v>7257</v>
      </c>
      <c r="M1984" s="4" t="s">
        <v>7258</v>
      </c>
      <c r="N1984" s="4" t="s">
        <v>58</v>
      </c>
      <c r="O1984" s="4" t="s">
        <v>59</v>
      </c>
      <c r="P1984" s="4" t="s">
        <v>59</v>
      </c>
      <c r="Q1984" s="4" t="s">
        <v>100</v>
      </c>
    </row>
    <row r="1985" spans="1:17" hidden="1" x14ac:dyDescent="0.2">
      <c r="A1985" s="4">
        <v>1706</v>
      </c>
      <c r="B1985" s="2">
        <v>0</v>
      </c>
      <c r="C1985" s="2">
        <v>0</v>
      </c>
      <c r="D1985" s="4" t="s">
        <v>4608</v>
      </c>
      <c r="E1985" s="2">
        <v>0</v>
      </c>
      <c r="F1985" s="2">
        <v>0</v>
      </c>
      <c r="G1985" s="2">
        <v>0</v>
      </c>
      <c r="H1985" s="4">
        <v>0</v>
      </c>
      <c r="I1985" s="4">
        <v>0</v>
      </c>
      <c r="J1985" s="4">
        <v>0</v>
      </c>
      <c r="K1985" s="4">
        <v>0</v>
      </c>
      <c r="L1985" s="4" t="s">
        <v>4606</v>
      </c>
      <c r="M1985" s="4" t="s">
        <v>4607</v>
      </c>
      <c r="N1985" s="4" t="s">
        <v>674</v>
      </c>
      <c r="O1985" s="4" t="s">
        <v>89</v>
      </c>
      <c r="P1985" s="4" t="s">
        <v>89</v>
      </c>
      <c r="Q1985" s="4" t="s">
        <v>100</v>
      </c>
    </row>
    <row r="1986" spans="1:17" hidden="1" x14ac:dyDescent="0.2">
      <c r="A1986" s="4">
        <v>1716</v>
      </c>
      <c r="B1986" s="2">
        <v>0</v>
      </c>
      <c r="C1986" s="2">
        <v>0</v>
      </c>
      <c r="D1986" s="4" t="s">
        <v>7262</v>
      </c>
      <c r="E1986" s="2">
        <v>0</v>
      </c>
      <c r="F1986" s="2">
        <v>0</v>
      </c>
      <c r="G1986" s="2">
        <v>0</v>
      </c>
      <c r="H1986" s="4">
        <v>0</v>
      </c>
      <c r="I1986" s="4">
        <v>0</v>
      </c>
      <c r="J1986" s="4">
        <v>0</v>
      </c>
      <c r="K1986" s="4">
        <v>0</v>
      </c>
      <c r="L1986" s="4" t="s">
        <v>7260</v>
      </c>
      <c r="M1986" s="4" t="s">
        <v>7261</v>
      </c>
      <c r="N1986" s="4" t="s">
        <v>20</v>
      </c>
      <c r="O1986" s="4" t="s">
        <v>3938</v>
      </c>
      <c r="P1986" s="4" t="s">
        <v>3938</v>
      </c>
      <c r="Q1986" s="4" t="s">
        <v>1378</v>
      </c>
    </row>
    <row r="1987" spans="1:17" hidden="1" x14ac:dyDescent="0.2">
      <c r="A1987" s="4">
        <v>1717</v>
      </c>
      <c r="B1987" s="2">
        <v>0</v>
      </c>
      <c r="C1987" s="2">
        <v>0</v>
      </c>
      <c r="D1987" s="4" t="s">
        <v>4537</v>
      </c>
      <c r="E1987" s="2">
        <v>0</v>
      </c>
      <c r="F1987" s="2">
        <v>0</v>
      </c>
      <c r="G1987" s="2">
        <v>0</v>
      </c>
      <c r="H1987" s="4">
        <v>0</v>
      </c>
      <c r="I1987" s="4">
        <v>0</v>
      </c>
      <c r="J1987" s="4">
        <v>0</v>
      </c>
      <c r="K1987" s="4">
        <v>0</v>
      </c>
      <c r="L1987" s="4" t="s">
        <v>4535</v>
      </c>
      <c r="M1987" s="4" t="s">
        <v>4536</v>
      </c>
      <c r="N1987" s="4" t="s">
        <v>4269</v>
      </c>
      <c r="O1987" s="4" t="s">
        <v>105</v>
      </c>
      <c r="P1987" s="4" t="s">
        <v>105</v>
      </c>
      <c r="Q1987" s="4" t="s">
        <v>100</v>
      </c>
    </row>
    <row r="1988" spans="1:17" hidden="1" x14ac:dyDescent="0.2">
      <c r="A1988" s="4">
        <v>1727</v>
      </c>
      <c r="B1988" s="2">
        <v>0</v>
      </c>
      <c r="C1988" s="2">
        <v>0</v>
      </c>
      <c r="D1988" s="4" t="s">
        <v>7265</v>
      </c>
      <c r="E1988" s="2">
        <v>0</v>
      </c>
      <c r="F1988" s="2">
        <v>0</v>
      </c>
      <c r="G1988" s="2">
        <v>0</v>
      </c>
      <c r="H1988" s="4">
        <v>0</v>
      </c>
      <c r="I1988" s="4">
        <v>0</v>
      </c>
      <c r="J1988" s="4">
        <v>0</v>
      </c>
      <c r="K1988" s="4">
        <v>0</v>
      </c>
      <c r="L1988" s="4" t="s">
        <v>7263</v>
      </c>
      <c r="M1988" s="4" t="s">
        <v>7264</v>
      </c>
      <c r="N1988" s="4" t="s">
        <v>504</v>
      </c>
      <c r="O1988" s="4" t="s">
        <v>1277</v>
      </c>
      <c r="P1988" s="4" t="s">
        <v>1277</v>
      </c>
      <c r="Q1988" s="4" t="s">
        <v>100</v>
      </c>
    </row>
    <row r="1989" spans="1:17" hidden="1" x14ac:dyDescent="0.2">
      <c r="A1989" s="4">
        <v>1745</v>
      </c>
      <c r="B1989" s="2">
        <v>0</v>
      </c>
      <c r="C1989" s="2">
        <v>0</v>
      </c>
      <c r="D1989" s="4" t="s">
        <v>7268</v>
      </c>
      <c r="E1989" s="2">
        <v>0</v>
      </c>
      <c r="F1989" s="2">
        <v>0</v>
      </c>
      <c r="G1989" s="2">
        <v>0</v>
      </c>
      <c r="H1989" s="4">
        <v>0</v>
      </c>
      <c r="I1989" s="4">
        <v>0</v>
      </c>
      <c r="J1989" s="4">
        <v>0</v>
      </c>
      <c r="K1989" s="4">
        <v>0</v>
      </c>
      <c r="L1989" s="4" t="s">
        <v>7266</v>
      </c>
      <c r="M1989" s="4" t="s">
        <v>7267</v>
      </c>
      <c r="N1989" s="4" t="s">
        <v>46</v>
      </c>
      <c r="O1989" s="4" t="s">
        <v>1277</v>
      </c>
      <c r="P1989" s="4" t="s">
        <v>1277</v>
      </c>
      <c r="Q1989" s="4" t="s">
        <v>100</v>
      </c>
    </row>
    <row r="1990" spans="1:17" hidden="1" x14ac:dyDescent="0.2">
      <c r="A1990" s="4">
        <v>1747</v>
      </c>
      <c r="B1990" s="2">
        <v>0</v>
      </c>
      <c r="C1990" s="2">
        <v>0</v>
      </c>
      <c r="D1990" s="4" t="s">
        <v>7271</v>
      </c>
      <c r="E1990" s="2">
        <v>0</v>
      </c>
      <c r="F1990" s="2">
        <v>0</v>
      </c>
      <c r="G1990" s="2">
        <v>0</v>
      </c>
      <c r="H1990" s="4">
        <v>0</v>
      </c>
      <c r="I1990" s="4">
        <v>0</v>
      </c>
      <c r="J1990" s="4">
        <v>0</v>
      </c>
      <c r="K1990" s="4">
        <v>0</v>
      </c>
      <c r="L1990" s="4" t="s">
        <v>7269</v>
      </c>
      <c r="M1990" s="4" t="s">
        <v>7270</v>
      </c>
      <c r="N1990" s="4" t="s">
        <v>58</v>
      </c>
      <c r="O1990" s="4" t="s">
        <v>59</v>
      </c>
      <c r="P1990" s="4" t="s">
        <v>59</v>
      </c>
      <c r="Q1990" s="4" t="s">
        <v>100</v>
      </c>
    </row>
    <row r="1991" spans="1:17" hidden="1" x14ac:dyDescent="0.2">
      <c r="A1991" s="4">
        <v>1761</v>
      </c>
      <c r="B1991" s="2">
        <v>0</v>
      </c>
      <c r="C1991" s="2">
        <v>0</v>
      </c>
      <c r="D1991" s="4" t="s">
        <v>7274</v>
      </c>
      <c r="E1991" s="2">
        <v>0</v>
      </c>
      <c r="F1991" s="2">
        <v>0</v>
      </c>
      <c r="G1991" s="2">
        <v>0</v>
      </c>
      <c r="H1991" s="4">
        <v>0</v>
      </c>
      <c r="I1991" s="4">
        <v>0</v>
      </c>
      <c r="J1991" s="4">
        <v>0</v>
      </c>
      <c r="K1991" s="4">
        <v>0</v>
      </c>
      <c r="L1991" s="4" t="s">
        <v>7272</v>
      </c>
      <c r="M1991" s="4" t="s">
        <v>7273</v>
      </c>
      <c r="N1991" s="4" t="s">
        <v>20</v>
      </c>
      <c r="O1991" s="4" t="s">
        <v>900</v>
      </c>
      <c r="P1991" s="4" t="s">
        <v>900</v>
      </c>
      <c r="Q1991" s="4" t="s">
        <v>144</v>
      </c>
    </row>
    <row r="1992" spans="1:17" hidden="1" x14ac:dyDescent="0.2">
      <c r="A1992" s="4">
        <v>1765</v>
      </c>
      <c r="B1992" s="2">
        <v>0</v>
      </c>
      <c r="C1992" s="2">
        <v>0</v>
      </c>
      <c r="D1992" s="4" t="s">
        <v>7277</v>
      </c>
      <c r="E1992" s="2">
        <v>0</v>
      </c>
      <c r="F1992" s="2">
        <v>0</v>
      </c>
      <c r="G1992" s="2">
        <v>0</v>
      </c>
      <c r="H1992" s="4">
        <v>0</v>
      </c>
      <c r="I1992" s="4">
        <v>0</v>
      </c>
      <c r="J1992" s="4">
        <v>0</v>
      </c>
      <c r="K1992" s="4">
        <v>0</v>
      </c>
      <c r="L1992" s="4" t="s">
        <v>7275</v>
      </c>
      <c r="M1992" s="4" t="s">
        <v>7276</v>
      </c>
      <c r="N1992" s="4" t="s">
        <v>468</v>
      </c>
      <c r="O1992" s="4" t="s">
        <v>105</v>
      </c>
      <c r="P1992" s="4" t="s">
        <v>105</v>
      </c>
      <c r="Q1992" s="4" t="s">
        <v>100</v>
      </c>
    </row>
    <row r="1993" spans="1:17" hidden="1" x14ac:dyDescent="0.2">
      <c r="A1993" s="4">
        <v>1769</v>
      </c>
      <c r="B1993" s="2">
        <v>0</v>
      </c>
      <c r="C1993" s="2">
        <v>0</v>
      </c>
      <c r="D1993" s="4" t="s">
        <v>7280</v>
      </c>
      <c r="E1993" s="2">
        <v>0</v>
      </c>
      <c r="F1993" s="2">
        <v>0</v>
      </c>
      <c r="G1993" s="2">
        <v>0</v>
      </c>
      <c r="H1993" s="4">
        <v>0</v>
      </c>
      <c r="I1993" s="4">
        <v>0</v>
      </c>
      <c r="J1993" s="4">
        <v>0</v>
      </c>
      <c r="K1993" s="4">
        <v>0</v>
      </c>
      <c r="L1993" s="4" t="s">
        <v>7278</v>
      </c>
      <c r="M1993" s="4" t="s">
        <v>7279</v>
      </c>
      <c r="N1993" s="4" t="s">
        <v>1602</v>
      </c>
      <c r="O1993" s="4" t="s">
        <v>113</v>
      </c>
      <c r="P1993" s="4" t="s">
        <v>113</v>
      </c>
      <c r="Q1993" s="4" t="s">
        <v>100</v>
      </c>
    </row>
    <row r="1994" spans="1:17" hidden="1" x14ac:dyDescent="0.2">
      <c r="A1994" s="4">
        <v>1773</v>
      </c>
      <c r="B1994" s="2">
        <v>0</v>
      </c>
      <c r="C1994" s="2">
        <v>0</v>
      </c>
      <c r="D1994" s="4" t="s">
        <v>3207</v>
      </c>
      <c r="E1994" s="2">
        <v>0</v>
      </c>
      <c r="F1994" s="2">
        <v>0</v>
      </c>
      <c r="G1994" s="2">
        <v>0</v>
      </c>
      <c r="H1994" s="4">
        <v>0</v>
      </c>
      <c r="I1994" s="4">
        <v>0</v>
      </c>
      <c r="J1994" s="4">
        <v>0</v>
      </c>
      <c r="K1994" s="4">
        <v>0</v>
      </c>
      <c r="L1994" s="4" t="s">
        <v>3205</v>
      </c>
      <c r="M1994" s="4" t="s">
        <v>3206</v>
      </c>
      <c r="N1994" s="4" t="s">
        <v>20</v>
      </c>
      <c r="O1994" s="4" t="s">
        <v>900</v>
      </c>
      <c r="P1994" s="4" t="s">
        <v>900</v>
      </c>
      <c r="Q1994" s="4" t="s">
        <v>144</v>
      </c>
    </row>
    <row r="1995" spans="1:17" hidden="1" x14ac:dyDescent="0.2">
      <c r="A1995" s="4">
        <v>1777</v>
      </c>
      <c r="B1995" s="2">
        <v>0</v>
      </c>
      <c r="C1995" s="2">
        <v>0</v>
      </c>
      <c r="D1995" s="4" t="s">
        <v>7283</v>
      </c>
      <c r="E1995" s="2">
        <v>0</v>
      </c>
      <c r="F1995" s="2">
        <v>0</v>
      </c>
      <c r="G1995" s="2">
        <v>0</v>
      </c>
      <c r="H1995" s="4">
        <v>0</v>
      </c>
      <c r="I1995" s="4">
        <v>0</v>
      </c>
      <c r="J1995" s="4">
        <v>0</v>
      </c>
      <c r="K1995" s="4">
        <v>0</v>
      </c>
      <c r="L1995" s="4" t="s">
        <v>7281</v>
      </c>
      <c r="M1995" s="4" t="s">
        <v>7282</v>
      </c>
      <c r="N1995" s="4" t="s">
        <v>1161</v>
      </c>
      <c r="O1995" s="4" t="s">
        <v>113</v>
      </c>
      <c r="P1995" s="4" t="s">
        <v>113</v>
      </c>
      <c r="Q1995" s="4" t="s">
        <v>100</v>
      </c>
    </row>
    <row r="1996" spans="1:17" hidden="1" x14ac:dyDescent="0.2">
      <c r="A1996" s="4">
        <v>1781</v>
      </c>
      <c r="B1996" s="2">
        <v>0</v>
      </c>
      <c r="C1996" s="2">
        <v>0</v>
      </c>
      <c r="D1996" s="4" t="s">
        <v>7286</v>
      </c>
      <c r="E1996" s="2">
        <v>0</v>
      </c>
      <c r="F1996" s="2">
        <v>0</v>
      </c>
      <c r="G1996" s="2">
        <v>0</v>
      </c>
      <c r="H1996" s="4">
        <v>0</v>
      </c>
      <c r="I1996" s="4">
        <v>0</v>
      </c>
      <c r="J1996" s="4">
        <v>0</v>
      </c>
      <c r="K1996" s="4">
        <v>0</v>
      </c>
      <c r="L1996" s="4" t="s">
        <v>7284</v>
      </c>
      <c r="M1996" s="4" t="s">
        <v>7285</v>
      </c>
      <c r="N1996" s="4" t="s">
        <v>20</v>
      </c>
      <c r="O1996" s="4" t="s">
        <v>768</v>
      </c>
      <c r="P1996" s="4" t="s">
        <v>768</v>
      </c>
      <c r="Q1996" s="4" t="s">
        <v>100</v>
      </c>
    </row>
    <row r="1997" spans="1:17" hidden="1" x14ac:dyDescent="0.2">
      <c r="A1997" s="4">
        <v>1803</v>
      </c>
      <c r="B1997" s="2">
        <v>0</v>
      </c>
      <c r="C1997" s="2">
        <v>0</v>
      </c>
      <c r="D1997" s="4" t="s">
        <v>7289</v>
      </c>
      <c r="E1997" s="2">
        <v>0</v>
      </c>
      <c r="F1997" s="2">
        <v>0</v>
      </c>
      <c r="G1997" s="2">
        <v>0</v>
      </c>
      <c r="H1997" s="4">
        <v>0</v>
      </c>
      <c r="I1997" s="4">
        <v>0</v>
      </c>
      <c r="J1997" s="4">
        <v>0</v>
      </c>
      <c r="K1997" s="4">
        <v>0</v>
      </c>
      <c r="L1997" s="4" t="s">
        <v>7287</v>
      </c>
      <c r="M1997" s="4" t="s">
        <v>7288</v>
      </c>
      <c r="N1997" s="4" t="s">
        <v>5844</v>
      </c>
      <c r="O1997" s="4" t="s">
        <v>1891</v>
      </c>
      <c r="P1997" s="4" t="s">
        <v>1891</v>
      </c>
      <c r="Q1997" s="4" t="s">
        <v>100</v>
      </c>
    </row>
    <row r="1998" spans="1:17" hidden="1" x14ac:dyDescent="0.2">
      <c r="A1998" s="4">
        <v>1820</v>
      </c>
      <c r="B1998" s="2">
        <v>0</v>
      </c>
      <c r="C1998" s="2">
        <v>0</v>
      </c>
      <c r="D1998" s="4" t="s">
        <v>7292</v>
      </c>
      <c r="E1998" s="2">
        <v>0</v>
      </c>
      <c r="F1998" s="2">
        <v>0</v>
      </c>
      <c r="G1998" s="2">
        <v>0</v>
      </c>
      <c r="H1998" s="4">
        <v>0</v>
      </c>
      <c r="I1998" s="4">
        <v>0</v>
      </c>
      <c r="J1998" s="4">
        <v>0</v>
      </c>
      <c r="K1998" s="4">
        <v>0</v>
      </c>
      <c r="L1998" s="4" t="s">
        <v>7290</v>
      </c>
      <c r="M1998" s="4" t="s">
        <v>7291</v>
      </c>
      <c r="N1998" s="4" t="s">
        <v>1421</v>
      </c>
      <c r="O1998" s="4" t="s">
        <v>3938</v>
      </c>
      <c r="P1998" s="4" t="s">
        <v>3938</v>
      </c>
      <c r="Q1998" s="4" t="s">
        <v>1378</v>
      </c>
    </row>
    <row r="1999" spans="1:17" hidden="1" x14ac:dyDescent="0.2">
      <c r="A1999" s="4">
        <v>1823</v>
      </c>
      <c r="B1999" s="2">
        <v>0</v>
      </c>
      <c r="C1999" s="2">
        <v>0</v>
      </c>
      <c r="D1999" s="4" t="s">
        <v>7295</v>
      </c>
      <c r="E1999" s="2">
        <v>0</v>
      </c>
      <c r="F1999" s="2">
        <v>0</v>
      </c>
      <c r="G1999" s="2">
        <v>0</v>
      </c>
      <c r="H1999" s="4">
        <v>0</v>
      </c>
      <c r="I1999" s="4">
        <v>0</v>
      </c>
      <c r="J1999" s="4">
        <v>0</v>
      </c>
      <c r="K1999" s="4">
        <v>0</v>
      </c>
      <c r="L1999" s="4" t="s">
        <v>7293</v>
      </c>
      <c r="M1999" s="4" t="s">
        <v>7294</v>
      </c>
      <c r="N1999" s="4" t="s">
        <v>7296</v>
      </c>
      <c r="O1999" s="4" t="s">
        <v>76</v>
      </c>
      <c r="P1999" s="4" t="s">
        <v>76</v>
      </c>
      <c r="Q1999" s="4" t="s">
        <v>1378</v>
      </c>
    </row>
    <row r="2000" spans="1:17" hidden="1" x14ac:dyDescent="0.2">
      <c r="A2000" s="4">
        <v>1826</v>
      </c>
      <c r="B2000" s="2">
        <v>0</v>
      </c>
      <c r="C2000" s="2">
        <v>0</v>
      </c>
      <c r="D2000" s="4" t="s">
        <v>7299</v>
      </c>
      <c r="E2000" s="2">
        <v>0</v>
      </c>
      <c r="F2000" s="2">
        <v>0</v>
      </c>
      <c r="G2000" s="2">
        <v>0</v>
      </c>
      <c r="H2000" s="4">
        <v>0</v>
      </c>
      <c r="I2000" s="4">
        <v>0</v>
      </c>
      <c r="J2000" s="4">
        <v>0</v>
      </c>
      <c r="K2000" s="4">
        <v>0</v>
      </c>
      <c r="L2000" s="4" t="s">
        <v>7297</v>
      </c>
      <c r="M2000" s="4" t="s">
        <v>7298</v>
      </c>
      <c r="N2000" s="4" t="s">
        <v>2701</v>
      </c>
      <c r="O2000" s="4" t="s">
        <v>76</v>
      </c>
      <c r="P2000" s="4" t="s">
        <v>76</v>
      </c>
      <c r="Q2000" s="4" t="s">
        <v>408</v>
      </c>
    </row>
    <row r="2001" spans="1:17" hidden="1" x14ac:dyDescent="0.2">
      <c r="A2001" s="4">
        <v>1861</v>
      </c>
      <c r="B2001" s="2">
        <v>0</v>
      </c>
      <c r="C2001" s="2">
        <v>0</v>
      </c>
      <c r="D2001" s="4" t="s">
        <v>7302</v>
      </c>
      <c r="E2001" s="2">
        <v>0</v>
      </c>
      <c r="F2001" s="2">
        <v>0</v>
      </c>
      <c r="G2001" s="2">
        <v>0</v>
      </c>
      <c r="H2001" s="4">
        <v>0</v>
      </c>
      <c r="I2001" s="4">
        <v>0</v>
      </c>
      <c r="J2001" s="4">
        <v>0</v>
      </c>
      <c r="K2001" s="4">
        <v>0</v>
      </c>
      <c r="L2001" s="4" t="s">
        <v>7300</v>
      </c>
      <c r="M2001" s="4" t="s">
        <v>7301</v>
      </c>
      <c r="N2001" s="4" t="s">
        <v>20</v>
      </c>
      <c r="O2001" s="4" t="s">
        <v>386</v>
      </c>
      <c r="P2001" s="4" t="s">
        <v>386</v>
      </c>
      <c r="Q2001" s="4" t="s">
        <v>1378</v>
      </c>
    </row>
    <row r="2002" spans="1:17" hidden="1" x14ac:dyDescent="0.2">
      <c r="A2002" s="4">
        <v>1864</v>
      </c>
      <c r="B2002" s="2">
        <v>0</v>
      </c>
      <c r="C2002" s="2">
        <v>0</v>
      </c>
      <c r="D2002" s="4" t="s">
        <v>7305</v>
      </c>
      <c r="E2002" s="2">
        <v>0</v>
      </c>
      <c r="F2002" s="2">
        <v>0</v>
      </c>
      <c r="G2002" s="2">
        <v>0</v>
      </c>
      <c r="H2002" s="4">
        <v>0</v>
      </c>
      <c r="I2002" s="4">
        <v>0</v>
      </c>
      <c r="J2002" s="4">
        <v>0</v>
      </c>
      <c r="K2002" s="4">
        <v>0</v>
      </c>
      <c r="L2002" s="4" t="s">
        <v>7303</v>
      </c>
      <c r="M2002" s="4" t="s">
        <v>7304</v>
      </c>
      <c r="N2002" s="4" t="s">
        <v>20</v>
      </c>
      <c r="O2002" s="4" t="s">
        <v>2863</v>
      </c>
      <c r="P2002" s="4" t="s">
        <v>2863</v>
      </c>
      <c r="Q2002" s="4" t="s">
        <v>100</v>
      </c>
    </row>
    <row r="2003" spans="1:17" hidden="1" x14ac:dyDescent="0.2">
      <c r="A2003" s="4">
        <v>1866</v>
      </c>
      <c r="B2003" s="2">
        <v>0</v>
      </c>
      <c r="C2003" s="2">
        <v>0</v>
      </c>
      <c r="D2003" s="4" t="s">
        <v>7308</v>
      </c>
      <c r="E2003" s="2">
        <v>0</v>
      </c>
      <c r="F2003" s="2">
        <v>0</v>
      </c>
      <c r="G2003" s="2">
        <v>0</v>
      </c>
      <c r="H2003" s="4">
        <v>0</v>
      </c>
      <c r="I2003" s="4">
        <v>0</v>
      </c>
      <c r="J2003" s="4">
        <v>0</v>
      </c>
      <c r="K2003" s="4">
        <v>0</v>
      </c>
      <c r="L2003" s="4" t="s">
        <v>7306</v>
      </c>
      <c r="M2003" s="4" t="s">
        <v>7307</v>
      </c>
      <c r="N2003" s="4" t="s">
        <v>2803</v>
      </c>
      <c r="O2003" s="4" t="s">
        <v>59</v>
      </c>
      <c r="P2003" s="4" t="s">
        <v>59</v>
      </c>
      <c r="Q2003" s="4" t="s">
        <v>100</v>
      </c>
    </row>
    <row r="2004" spans="1:17" hidden="1" x14ac:dyDescent="0.2">
      <c r="A2004" s="4">
        <v>1869</v>
      </c>
      <c r="B2004" s="2">
        <v>0</v>
      </c>
      <c r="C2004" s="2">
        <v>0</v>
      </c>
      <c r="D2004" s="4" t="s">
        <v>7311</v>
      </c>
      <c r="E2004" s="2">
        <v>0</v>
      </c>
      <c r="F2004" s="2">
        <v>0</v>
      </c>
      <c r="G2004" s="2">
        <v>0</v>
      </c>
      <c r="H2004" s="4">
        <v>0</v>
      </c>
      <c r="I2004" s="4">
        <v>0</v>
      </c>
      <c r="J2004" s="4">
        <v>0</v>
      </c>
      <c r="K2004" s="4">
        <v>0</v>
      </c>
      <c r="L2004" s="4" t="s">
        <v>7309</v>
      </c>
      <c r="M2004" s="4" t="s">
        <v>7310</v>
      </c>
      <c r="N2004" s="4" t="s">
        <v>20</v>
      </c>
      <c r="O2004" s="4" t="s">
        <v>76</v>
      </c>
      <c r="P2004" s="4" t="s">
        <v>76</v>
      </c>
      <c r="Q2004" s="4" t="s">
        <v>100</v>
      </c>
    </row>
    <row r="2005" spans="1:17" hidden="1" x14ac:dyDescent="0.2">
      <c r="A2005" s="4">
        <v>1873</v>
      </c>
      <c r="B2005" s="2">
        <v>0</v>
      </c>
      <c r="C2005" s="2">
        <v>0</v>
      </c>
      <c r="D2005" s="4" t="s">
        <v>4070</v>
      </c>
      <c r="E2005" s="2">
        <v>0</v>
      </c>
      <c r="F2005" s="2">
        <v>0</v>
      </c>
      <c r="G2005" s="2">
        <v>0</v>
      </c>
      <c r="H2005" s="4">
        <v>0</v>
      </c>
      <c r="I2005" s="4">
        <v>0</v>
      </c>
      <c r="J2005" s="4">
        <v>0</v>
      </c>
      <c r="K2005" s="4">
        <v>0</v>
      </c>
      <c r="L2005" s="4" t="s">
        <v>4068</v>
      </c>
      <c r="M2005" s="4" t="s">
        <v>4069</v>
      </c>
      <c r="N2005" s="4" t="s">
        <v>20</v>
      </c>
      <c r="O2005" s="4" t="s">
        <v>316</v>
      </c>
      <c r="P2005" s="4" t="s">
        <v>316</v>
      </c>
      <c r="Q2005" s="4" t="s">
        <v>100</v>
      </c>
    </row>
    <row r="2006" spans="1:17" hidden="1" x14ac:dyDescent="0.2">
      <c r="A2006" s="4">
        <v>1878</v>
      </c>
      <c r="B2006" s="2">
        <v>0</v>
      </c>
      <c r="C2006" s="2">
        <v>0</v>
      </c>
      <c r="D2006" s="4" t="s">
        <v>7314</v>
      </c>
      <c r="E2006" s="2">
        <v>0</v>
      </c>
      <c r="F2006" s="2">
        <v>0</v>
      </c>
      <c r="G2006" s="2">
        <v>0</v>
      </c>
      <c r="H2006" s="4">
        <v>0</v>
      </c>
      <c r="I2006" s="4">
        <v>0</v>
      </c>
      <c r="J2006" s="4">
        <v>0</v>
      </c>
      <c r="K2006" s="4">
        <v>0</v>
      </c>
      <c r="L2006" s="4" t="s">
        <v>7312</v>
      </c>
      <c r="M2006" s="4" t="s">
        <v>7313</v>
      </c>
      <c r="N2006" s="4" t="s">
        <v>20</v>
      </c>
      <c r="O2006" s="4" t="s">
        <v>76</v>
      </c>
      <c r="P2006" s="4" t="s">
        <v>76</v>
      </c>
      <c r="Q2006" s="4" t="s">
        <v>1378</v>
      </c>
    </row>
    <row r="2007" spans="1:17" hidden="1" x14ac:dyDescent="0.2">
      <c r="A2007" s="4">
        <v>1881</v>
      </c>
      <c r="B2007" s="2">
        <v>0</v>
      </c>
      <c r="C2007" s="2">
        <v>0</v>
      </c>
      <c r="D2007" s="4" t="s">
        <v>7317</v>
      </c>
      <c r="E2007" s="2">
        <v>0</v>
      </c>
      <c r="F2007" s="2">
        <v>0</v>
      </c>
      <c r="G2007" s="2">
        <v>0</v>
      </c>
      <c r="H2007" s="4">
        <v>0</v>
      </c>
      <c r="I2007" s="4">
        <v>0</v>
      </c>
      <c r="J2007" s="4">
        <v>0</v>
      </c>
      <c r="K2007" s="4">
        <v>0</v>
      </c>
      <c r="L2007" s="4" t="s">
        <v>7315</v>
      </c>
      <c r="M2007" s="4" t="s">
        <v>7316</v>
      </c>
      <c r="N2007" s="4" t="s">
        <v>2803</v>
      </c>
      <c r="O2007" s="4" t="s">
        <v>59</v>
      </c>
      <c r="P2007" s="4" t="s">
        <v>59</v>
      </c>
      <c r="Q2007" s="4" t="s">
        <v>100</v>
      </c>
    </row>
    <row r="2008" spans="1:17" hidden="1" x14ac:dyDescent="0.2">
      <c r="A2008" s="4">
        <v>1903</v>
      </c>
      <c r="B2008" s="2">
        <v>0</v>
      </c>
      <c r="C2008" s="2">
        <v>0</v>
      </c>
      <c r="D2008" s="4" t="s">
        <v>7320</v>
      </c>
      <c r="E2008" s="2">
        <v>0</v>
      </c>
      <c r="F2008" s="2">
        <v>0</v>
      </c>
      <c r="G2008" s="2">
        <v>0</v>
      </c>
      <c r="H2008" s="4">
        <v>0</v>
      </c>
      <c r="I2008" s="4">
        <v>0</v>
      </c>
      <c r="J2008" s="4">
        <v>0</v>
      </c>
      <c r="K2008" s="4">
        <v>0</v>
      </c>
      <c r="L2008" s="4" t="s">
        <v>7318</v>
      </c>
      <c r="M2008" s="4" t="s">
        <v>7319</v>
      </c>
      <c r="N2008" s="4" t="s">
        <v>20</v>
      </c>
      <c r="O2008" s="4" t="s">
        <v>386</v>
      </c>
      <c r="P2008" s="4" t="s">
        <v>386</v>
      </c>
      <c r="Q2008" s="4" t="s">
        <v>585</v>
      </c>
    </row>
    <row r="2009" spans="1:17" hidden="1" x14ac:dyDescent="0.2">
      <c r="A2009" s="4">
        <v>1913</v>
      </c>
      <c r="B2009" s="2">
        <v>0</v>
      </c>
      <c r="C2009" s="2">
        <v>0</v>
      </c>
      <c r="D2009" s="4" t="s">
        <v>7323</v>
      </c>
      <c r="E2009" s="2">
        <v>0</v>
      </c>
      <c r="F2009" s="2">
        <v>0</v>
      </c>
      <c r="G2009" s="2">
        <v>0</v>
      </c>
      <c r="H2009" s="4">
        <v>0</v>
      </c>
      <c r="I2009" s="4">
        <v>0</v>
      </c>
      <c r="J2009" s="4">
        <v>0</v>
      </c>
      <c r="K2009" s="4">
        <v>0</v>
      </c>
      <c r="L2009" s="4" t="s">
        <v>7321</v>
      </c>
      <c r="M2009" s="4" t="s">
        <v>7322</v>
      </c>
      <c r="N2009" s="4" t="s">
        <v>2832</v>
      </c>
      <c r="O2009" s="4" t="s">
        <v>89</v>
      </c>
      <c r="P2009" s="4" t="s">
        <v>89</v>
      </c>
      <c r="Q2009" s="4" t="s">
        <v>100</v>
      </c>
    </row>
    <row r="2010" spans="1:17" hidden="1" x14ac:dyDescent="0.2">
      <c r="A2010" s="4">
        <v>1915</v>
      </c>
      <c r="B2010" s="2">
        <v>0</v>
      </c>
      <c r="C2010" s="2">
        <v>0</v>
      </c>
      <c r="D2010" s="4" t="s">
        <v>7326</v>
      </c>
      <c r="E2010" s="2">
        <v>0</v>
      </c>
      <c r="F2010" s="2">
        <v>0</v>
      </c>
      <c r="G2010" s="2">
        <v>0</v>
      </c>
      <c r="H2010" s="4">
        <v>0</v>
      </c>
      <c r="I2010" s="4">
        <v>0</v>
      </c>
      <c r="J2010" s="4">
        <v>0</v>
      </c>
      <c r="K2010" s="4">
        <v>0</v>
      </c>
      <c r="L2010" s="4" t="s">
        <v>7324</v>
      </c>
      <c r="M2010" s="4" t="s">
        <v>7325</v>
      </c>
      <c r="N2010" s="4" t="s">
        <v>245</v>
      </c>
      <c r="O2010" s="4" t="s">
        <v>237</v>
      </c>
      <c r="P2010" s="4" t="s">
        <v>237</v>
      </c>
      <c r="Q2010" s="4" t="s">
        <v>28</v>
      </c>
    </row>
    <row r="2011" spans="1:17" hidden="1" x14ac:dyDescent="0.2">
      <c r="A2011" s="4">
        <v>1921</v>
      </c>
      <c r="B2011" s="2">
        <v>0</v>
      </c>
      <c r="C2011" s="2">
        <v>0</v>
      </c>
      <c r="D2011" s="4" t="s">
        <v>7329</v>
      </c>
      <c r="E2011" s="2">
        <v>0</v>
      </c>
      <c r="F2011" s="2">
        <v>0</v>
      </c>
      <c r="G2011" s="2">
        <v>0</v>
      </c>
      <c r="H2011" s="4">
        <v>0</v>
      </c>
      <c r="I2011" s="4">
        <v>0</v>
      </c>
      <c r="J2011" s="4">
        <v>0</v>
      </c>
      <c r="K2011" s="4">
        <v>0</v>
      </c>
      <c r="L2011" s="4" t="s">
        <v>7327</v>
      </c>
      <c r="M2011" s="4" t="s">
        <v>7328</v>
      </c>
      <c r="N2011" s="4" t="s">
        <v>1047</v>
      </c>
      <c r="O2011" s="4" t="s">
        <v>229</v>
      </c>
      <c r="P2011" s="4" t="s">
        <v>229</v>
      </c>
      <c r="Q2011" s="4" t="s">
        <v>100</v>
      </c>
    </row>
    <row r="2012" spans="1:17" hidden="1" x14ac:dyDescent="0.2">
      <c r="A2012" s="4">
        <v>1927</v>
      </c>
      <c r="B2012" s="2">
        <v>0</v>
      </c>
      <c r="C2012" s="2">
        <v>0</v>
      </c>
      <c r="D2012" s="4" t="s">
        <v>7332</v>
      </c>
      <c r="E2012" s="2">
        <v>0</v>
      </c>
      <c r="F2012" s="2">
        <v>0</v>
      </c>
      <c r="G2012" s="2">
        <v>0</v>
      </c>
      <c r="H2012" s="4">
        <v>0</v>
      </c>
      <c r="I2012" s="4">
        <v>0</v>
      </c>
      <c r="J2012" s="4">
        <v>0</v>
      </c>
      <c r="K2012" s="4">
        <v>0</v>
      </c>
      <c r="L2012" s="4" t="s">
        <v>7330</v>
      </c>
      <c r="M2012" s="4" t="s">
        <v>7331</v>
      </c>
      <c r="N2012" s="4" t="s">
        <v>674</v>
      </c>
      <c r="O2012" s="4" t="s">
        <v>89</v>
      </c>
      <c r="P2012" s="4" t="s">
        <v>89</v>
      </c>
      <c r="Q2012" s="4" t="s">
        <v>100</v>
      </c>
    </row>
    <row r="2013" spans="1:17" hidden="1" x14ac:dyDescent="0.2">
      <c r="A2013" s="4">
        <v>1929</v>
      </c>
      <c r="B2013" s="2">
        <v>0</v>
      </c>
      <c r="C2013" s="2">
        <v>0</v>
      </c>
      <c r="D2013" s="4" t="s">
        <v>7335</v>
      </c>
      <c r="E2013" s="2">
        <v>0</v>
      </c>
      <c r="F2013" s="2">
        <v>0</v>
      </c>
      <c r="G2013" s="2">
        <v>0</v>
      </c>
      <c r="H2013" s="4">
        <v>0</v>
      </c>
      <c r="I2013" s="4">
        <v>0</v>
      </c>
      <c r="J2013" s="4">
        <v>0</v>
      </c>
      <c r="K2013" s="4">
        <v>0</v>
      </c>
      <c r="L2013" s="4" t="s">
        <v>7333</v>
      </c>
      <c r="M2013" s="4" t="s">
        <v>7334</v>
      </c>
      <c r="N2013" s="4" t="s">
        <v>58</v>
      </c>
      <c r="O2013" s="4" t="s">
        <v>59</v>
      </c>
      <c r="P2013" s="4" t="s">
        <v>59</v>
      </c>
      <c r="Q2013" s="4" t="s">
        <v>100</v>
      </c>
    </row>
    <row r="2014" spans="1:17" hidden="1" x14ac:dyDescent="0.2">
      <c r="A2014" s="4">
        <v>1933</v>
      </c>
      <c r="B2014" s="2">
        <v>0</v>
      </c>
      <c r="C2014" s="2">
        <v>0</v>
      </c>
      <c r="D2014" s="4" t="s">
        <v>7338</v>
      </c>
      <c r="E2014" s="2">
        <v>0</v>
      </c>
      <c r="F2014" s="2">
        <v>0</v>
      </c>
      <c r="G2014" s="2">
        <v>0</v>
      </c>
      <c r="H2014" s="4">
        <v>0</v>
      </c>
      <c r="I2014" s="4">
        <v>0</v>
      </c>
      <c r="J2014" s="4">
        <v>0</v>
      </c>
      <c r="K2014" s="4">
        <v>0</v>
      </c>
      <c r="L2014" s="4" t="s">
        <v>7336</v>
      </c>
      <c r="M2014" s="4" t="s">
        <v>7337</v>
      </c>
      <c r="N2014" s="4" t="s">
        <v>32</v>
      </c>
      <c r="O2014" s="4" t="s">
        <v>33</v>
      </c>
      <c r="P2014" s="4" t="s">
        <v>33</v>
      </c>
      <c r="Q2014" s="4" t="s">
        <v>100</v>
      </c>
    </row>
    <row r="2015" spans="1:17" hidden="1" x14ac:dyDescent="0.2">
      <c r="A2015" s="4">
        <v>1936</v>
      </c>
      <c r="B2015" s="2">
        <v>0</v>
      </c>
      <c r="C2015" s="2">
        <v>0</v>
      </c>
      <c r="D2015" s="4" t="s">
        <v>7341</v>
      </c>
      <c r="E2015" s="2">
        <v>0</v>
      </c>
      <c r="F2015" s="2">
        <v>0</v>
      </c>
      <c r="G2015" s="2">
        <v>0</v>
      </c>
      <c r="H2015" s="4">
        <v>0</v>
      </c>
      <c r="I2015" s="4">
        <v>0</v>
      </c>
      <c r="J2015" s="4">
        <v>0</v>
      </c>
      <c r="K2015" s="4">
        <v>0</v>
      </c>
      <c r="L2015" s="4" t="s">
        <v>7339</v>
      </c>
      <c r="M2015" s="4" t="s">
        <v>7340</v>
      </c>
      <c r="N2015" s="4" t="s">
        <v>142</v>
      </c>
      <c r="O2015" s="4" t="s">
        <v>76</v>
      </c>
      <c r="P2015" s="4" t="s">
        <v>76</v>
      </c>
      <c r="Q2015" s="4" t="s">
        <v>1378</v>
      </c>
    </row>
    <row r="2016" spans="1:17" hidden="1" x14ac:dyDescent="0.2">
      <c r="A2016" s="4">
        <v>1937</v>
      </c>
      <c r="B2016" s="2">
        <v>0</v>
      </c>
      <c r="C2016" s="2">
        <v>0</v>
      </c>
      <c r="D2016" s="4" t="s">
        <v>7344</v>
      </c>
      <c r="E2016" s="2">
        <v>0</v>
      </c>
      <c r="F2016" s="2">
        <v>0</v>
      </c>
      <c r="G2016" s="2">
        <v>0</v>
      </c>
      <c r="H2016" s="4">
        <v>0</v>
      </c>
      <c r="I2016" s="4">
        <v>0</v>
      </c>
      <c r="J2016" s="4">
        <v>0</v>
      </c>
      <c r="K2016" s="4">
        <v>0</v>
      </c>
      <c r="L2016" s="4" t="s">
        <v>7342</v>
      </c>
      <c r="M2016" s="4" t="s">
        <v>7343</v>
      </c>
      <c r="N2016" s="4" t="s">
        <v>200</v>
      </c>
      <c r="O2016" s="4" t="s">
        <v>21</v>
      </c>
      <c r="P2016" s="4" t="s">
        <v>21</v>
      </c>
      <c r="Q2016" s="4" t="s">
        <v>28</v>
      </c>
    </row>
    <row r="2017" spans="1:17" hidden="1" x14ac:dyDescent="0.2">
      <c r="A2017" s="4">
        <v>1938</v>
      </c>
      <c r="B2017" s="2">
        <v>0</v>
      </c>
      <c r="C2017" s="2">
        <v>0</v>
      </c>
      <c r="D2017" s="4" t="s">
        <v>7346</v>
      </c>
      <c r="E2017" s="2">
        <v>0</v>
      </c>
      <c r="F2017" s="2">
        <v>0</v>
      </c>
      <c r="G2017" s="2">
        <v>0</v>
      </c>
      <c r="H2017" s="4">
        <v>0</v>
      </c>
      <c r="I2017" s="4">
        <v>0</v>
      </c>
      <c r="J2017" s="4">
        <v>0</v>
      </c>
      <c r="K2017" s="4">
        <v>0</v>
      </c>
      <c r="L2017" s="4" t="s">
        <v>7345</v>
      </c>
      <c r="M2017" s="4" t="s">
        <v>7343</v>
      </c>
      <c r="N2017" s="4" t="s">
        <v>293</v>
      </c>
      <c r="O2017" s="4" t="s">
        <v>21</v>
      </c>
      <c r="P2017" s="4" t="s">
        <v>21</v>
      </c>
      <c r="Q2017" s="4" t="s">
        <v>28</v>
      </c>
    </row>
    <row r="2018" spans="1:17" hidden="1" x14ac:dyDescent="0.2">
      <c r="A2018" s="4">
        <v>1941</v>
      </c>
      <c r="B2018" s="2">
        <v>0</v>
      </c>
      <c r="C2018" s="2">
        <v>0</v>
      </c>
      <c r="D2018" s="4" t="s">
        <v>7349</v>
      </c>
      <c r="E2018" s="2">
        <v>0</v>
      </c>
      <c r="F2018" s="2">
        <v>0</v>
      </c>
      <c r="G2018" s="2">
        <v>0</v>
      </c>
      <c r="H2018" s="4">
        <v>0</v>
      </c>
      <c r="I2018" s="4">
        <v>0</v>
      </c>
      <c r="J2018" s="4">
        <v>0</v>
      </c>
      <c r="K2018" s="4">
        <v>0</v>
      </c>
      <c r="L2018" s="4" t="s">
        <v>7347</v>
      </c>
      <c r="M2018" s="4" t="s">
        <v>7348</v>
      </c>
      <c r="N2018" s="4" t="s">
        <v>705</v>
      </c>
      <c r="O2018" s="4" t="s">
        <v>59</v>
      </c>
      <c r="P2018" s="4" t="s">
        <v>59</v>
      </c>
      <c r="Q2018" s="4" t="s">
        <v>100</v>
      </c>
    </row>
    <row r="2019" spans="1:17" hidden="1" x14ac:dyDescent="0.2">
      <c r="A2019" s="4">
        <v>1949</v>
      </c>
      <c r="B2019" s="2">
        <v>0</v>
      </c>
      <c r="C2019" s="2">
        <v>0</v>
      </c>
      <c r="D2019" s="4" t="s">
        <v>3027</v>
      </c>
      <c r="E2019" s="2">
        <v>0</v>
      </c>
      <c r="F2019" s="2">
        <v>0</v>
      </c>
      <c r="G2019" s="2">
        <v>0</v>
      </c>
      <c r="H2019" s="4">
        <v>0</v>
      </c>
      <c r="I2019" s="4">
        <v>0</v>
      </c>
      <c r="J2019" s="4">
        <v>0</v>
      </c>
      <c r="K2019" s="4">
        <v>0</v>
      </c>
      <c r="L2019" s="4" t="s">
        <v>3025</v>
      </c>
      <c r="M2019" s="4" t="s">
        <v>3026</v>
      </c>
      <c r="N2019" s="4" t="s">
        <v>20</v>
      </c>
      <c r="O2019" s="4" t="s">
        <v>71</v>
      </c>
      <c r="P2019" s="4" t="s">
        <v>71</v>
      </c>
      <c r="Q2019" s="4" t="s">
        <v>100</v>
      </c>
    </row>
    <row r="2020" spans="1:17" hidden="1" x14ac:dyDescent="0.2">
      <c r="A2020" s="4">
        <v>1953</v>
      </c>
      <c r="B2020" s="2">
        <v>0</v>
      </c>
      <c r="C2020" s="2">
        <v>0</v>
      </c>
      <c r="D2020" s="4" t="s">
        <v>7352</v>
      </c>
      <c r="E2020" s="2">
        <v>0</v>
      </c>
      <c r="F2020" s="2">
        <v>0</v>
      </c>
      <c r="G2020" s="2">
        <v>0</v>
      </c>
      <c r="H2020" s="4">
        <v>0</v>
      </c>
      <c r="I2020" s="4">
        <v>0</v>
      </c>
      <c r="J2020" s="4">
        <v>0</v>
      </c>
      <c r="K2020" s="4">
        <v>0</v>
      </c>
      <c r="L2020" s="4" t="s">
        <v>7350</v>
      </c>
      <c r="M2020" s="4" t="s">
        <v>7351</v>
      </c>
      <c r="N2020" s="4" t="s">
        <v>20</v>
      </c>
      <c r="O2020" s="4" t="s">
        <v>21</v>
      </c>
      <c r="P2020" s="4" t="s">
        <v>1039</v>
      </c>
      <c r="Q2020" s="4" t="s">
        <v>22</v>
      </c>
    </row>
    <row r="2021" spans="1:17" hidden="1" x14ac:dyDescent="0.2">
      <c r="A2021" s="4">
        <v>1957</v>
      </c>
      <c r="B2021" s="2">
        <v>0</v>
      </c>
      <c r="C2021" s="2">
        <v>0</v>
      </c>
      <c r="D2021" s="4" t="s">
        <v>7355</v>
      </c>
      <c r="E2021" s="2">
        <v>0</v>
      </c>
      <c r="F2021" s="2">
        <v>0</v>
      </c>
      <c r="G2021" s="2">
        <v>0</v>
      </c>
      <c r="H2021" s="4">
        <v>0</v>
      </c>
      <c r="I2021" s="4">
        <v>0</v>
      </c>
      <c r="J2021" s="4">
        <v>0</v>
      </c>
      <c r="K2021" s="4">
        <v>0</v>
      </c>
      <c r="L2021" s="4" t="s">
        <v>7353</v>
      </c>
      <c r="M2021" s="4" t="s">
        <v>7354</v>
      </c>
      <c r="N2021" s="4" t="s">
        <v>7356</v>
      </c>
      <c r="O2021" s="4" t="s">
        <v>196</v>
      </c>
      <c r="P2021" s="4" t="s">
        <v>196</v>
      </c>
      <c r="Q2021" s="4" t="s">
        <v>100</v>
      </c>
    </row>
    <row r="2022" spans="1:17" hidden="1" x14ac:dyDescent="0.2">
      <c r="A2022" s="4">
        <v>1966</v>
      </c>
      <c r="B2022" s="2">
        <v>0</v>
      </c>
      <c r="C2022" s="2">
        <v>0</v>
      </c>
      <c r="D2022" s="4" t="s">
        <v>7359</v>
      </c>
      <c r="E2022" s="2">
        <v>0</v>
      </c>
      <c r="F2022" s="2">
        <v>0</v>
      </c>
      <c r="G2022" s="2">
        <v>0</v>
      </c>
      <c r="H2022" s="4">
        <v>0</v>
      </c>
      <c r="I2022" s="4">
        <v>0</v>
      </c>
      <c r="J2022" s="4">
        <v>0</v>
      </c>
      <c r="K2022" s="4">
        <v>0</v>
      </c>
      <c r="L2022" s="4" t="s">
        <v>7357</v>
      </c>
      <c r="M2022" s="4" t="s">
        <v>7358</v>
      </c>
      <c r="N2022" s="4" t="s">
        <v>20</v>
      </c>
      <c r="O2022" s="4" t="s">
        <v>316</v>
      </c>
      <c r="P2022" s="4" t="s">
        <v>316</v>
      </c>
      <c r="Q2022" s="4" t="s">
        <v>100</v>
      </c>
    </row>
    <row r="2023" spans="1:17" hidden="1" x14ac:dyDescent="0.2">
      <c r="A2023" s="4">
        <v>1973</v>
      </c>
      <c r="B2023" s="2">
        <v>0</v>
      </c>
      <c r="C2023" s="2">
        <v>0</v>
      </c>
      <c r="D2023" s="4" t="s">
        <v>7362</v>
      </c>
      <c r="E2023" s="2">
        <v>0</v>
      </c>
      <c r="F2023" s="2">
        <v>0</v>
      </c>
      <c r="G2023" s="2">
        <v>0</v>
      </c>
      <c r="H2023" s="4">
        <v>0</v>
      </c>
      <c r="I2023" s="4">
        <v>0</v>
      </c>
      <c r="J2023" s="4">
        <v>0</v>
      </c>
      <c r="K2023" s="4">
        <v>0</v>
      </c>
      <c r="L2023" s="4" t="s">
        <v>7360</v>
      </c>
      <c r="M2023" s="4" t="s">
        <v>7361</v>
      </c>
      <c r="N2023" s="4" t="s">
        <v>104</v>
      </c>
      <c r="O2023" s="4" t="s">
        <v>105</v>
      </c>
      <c r="P2023" s="4" t="s">
        <v>105</v>
      </c>
      <c r="Q2023" s="4" t="s">
        <v>100</v>
      </c>
    </row>
    <row r="2024" spans="1:17" hidden="1" x14ac:dyDescent="0.2">
      <c r="A2024" s="4">
        <v>1977</v>
      </c>
      <c r="B2024" s="2">
        <v>0</v>
      </c>
      <c r="C2024" s="2">
        <v>0</v>
      </c>
      <c r="D2024" s="4" t="s">
        <v>7365</v>
      </c>
      <c r="E2024" s="2">
        <v>0</v>
      </c>
      <c r="F2024" s="2">
        <v>0</v>
      </c>
      <c r="G2024" s="2">
        <v>0</v>
      </c>
      <c r="H2024" s="4">
        <v>0</v>
      </c>
      <c r="I2024" s="4">
        <v>0</v>
      </c>
      <c r="J2024" s="4">
        <v>0</v>
      </c>
      <c r="K2024" s="4">
        <v>0</v>
      </c>
      <c r="L2024" s="4" t="s">
        <v>7363</v>
      </c>
      <c r="M2024" s="4" t="s">
        <v>7364</v>
      </c>
      <c r="N2024" s="4" t="s">
        <v>4269</v>
      </c>
      <c r="O2024" s="4" t="s">
        <v>76</v>
      </c>
      <c r="P2024" s="4" t="s">
        <v>76</v>
      </c>
      <c r="Q2024" s="4" t="s">
        <v>1378</v>
      </c>
    </row>
    <row r="2025" spans="1:17" hidden="1" x14ac:dyDescent="0.2">
      <c r="A2025" s="4">
        <v>1986</v>
      </c>
      <c r="B2025" s="2">
        <v>0</v>
      </c>
      <c r="C2025" s="2">
        <v>0</v>
      </c>
      <c r="D2025" s="4" t="s">
        <v>7368</v>
      </c>
      <c r="E2025" s="2">
        <v>0</v>
      </c>
      <c r="F2025" s="2">
        <v>0</v>
      </c>
      <c r="G2025" s="2">
        <v>0</v>
      </c>
      <c r="H2025" s="4">
        <v>0</v>
      </c>
      <c r="I2025" s="4">
        <v>0</v>
      </c>
      <c r="J2025" s="4">
        <v>0</v>
      </c>
      <c r="K2025" s="4">
        <v>0</v>
      </c>
      <c r="L2025" s="4" t="s">
        <v>7366</v>
      </c>
      <c r="M2025" s="4" t="s">
        <v>7367</v>
      </c>
      <c r="N2025" s="4" t="s">
        <v>2803</v>
      </c>
      <c r="O2025" s="4" t="s">
        <v>59</v>
      </c>
      <c r="P2025" s="4" t="s">
        <v>59</v>
      </c>
      <c r="Q2025" s="4" t="s">
        <v>100</v>
      </c>
    </row>
    <row r="2026" spans="1:17" hidden="1" x14ac:dyDescent="0.2">
      <c r="A2026" s="4">
        <v>2001</v>
      </c>
      <c r="B2026" s="2">
        <v>0</v>
      </c>
      <c r="C2026" s="2">
        <v>0</v>
      </c>
      <c r="D2026" s="4" t="s">
        <v>7371</v>
      </c>
      <c r="E2026" s="2">
        <v>0</v>
      </c>
      <c r="F2026" s="2">
        <v>0</v>
      </c>
      <c r="G2026" s="2">
        <v>0</v>
      </c>
      <c r="H2026" s="4">
        <v>0</v>
      </c>
      <c r="I2026" s="4">
        <v>0</v>
      </c>
      <c r="J2026" s="4">
        <v>0</v>
      </c>
      <c r="K2026" s="4">
        <v>0</v>
      </c>
      <c r="L2026" s="4" t="s">
        <v>7369</v>
      </c>
      <c r="M2026" s="4" t="s">
        <v>7370</v>
      </c>
      <c r="N2026" s="4" t="s">
        <v>20</v>
      </c>
      <c r="O2026" s="4" t="s">
        <v>900</v>
      </c>
      <c r="P2026" s="4" t="s">
        <v>900</v>
      </c>
      <c r="Q2026" s="4" t="s">
        <v>144</v>
      </c>
    </row>
    <row r="2027" spans="1:17" hidden="1" x14ac:dyDescent="0.2">
      <c r="A2027" s="4">
        <v>2002</v>
      </c>
      <c r="B2027" s="2">
        <v>0</v>
      </c>
      <c r="C2027" s="2">
        <v>0</v>
      </c>
      <c r="D2027" s="4" t="s">
        <v>7374</v>
      </c>
      <c r="E2027" s="2">
        <v>0</v>
      </c>
      <c r="F2027" s="2">
        <v>0</v>
      </c>
      <c r="G2027" s="2">
        <v>0</v>
      </c>
      <c r="H2027" s="4">
        <v>0</v>
      </c>
      <c r="I2027" s="4">
        <v>0</v>
      </c>
      <c r="J2027" s="4">
        <v>0</v>
      </c>
      <c r="K2027" s="4">
        <v>0</v>
      </c>
      <c r="L2027" s="4" t="s">
        <v>7372</v>
      </c>
      <c r="M2027" s="4" t="s">
        <v>7373</v>
      </c>
      <c r="N2027" s="4"/>
      <c r="O2027" s="4" t="s">
        <v>3938</v>
      </c>
      <c r="P2027" s="4" t="s">
        <v>3938</v>
      </c>
      <c r="Q2027" s="4" t="s">
        <v>1378</v>
      </c>
    </row>
    <row r="2028" spans="1:17" hidden="1" x14ac:dyDescent="0.2">
      <c r="A2028" s="4">
        <v>2011</v>
      </c>
      <c r="B2028" s="2">
        <v>0</v>
      </c>
      <c r="C2028" s="2">
        <v>0</v>
      </c>
      <c r="D2028" s="4" t="s">
        <v>7376</v>
      </c>
      <c r="E2028" s="2">
        <v>0</v>
      </c>
      <c r="F2028" s="2">
        <v>0</v>
      </c>
      <c r="G2028" s="2">
        <v>0</v>
      </c>
      <c r="H2028" s="4">
        <v>0</v>
      </c>
      <c r="I2028" s="4">
        <v>0</v>
      </c>
      <c r="J2028" s="4">
        <v>0</v>
      </c>
      <c r="K2028" s="4">
        <v>0</v>
      </c>
      <c r="L2028" s="4" t="s">
        <v>7375</v>
      </c>
      <c r="M2028" s="4" t="s">
        <v>7375</v>
      </c>
      <c r="N2028" s="4" t="s">
        <v>648</v>
      </c>
      <c r="O2028" s="4" t="s">
        <v>3938</v>
      </c>
      <c r="P2028" s="4" t="s">
        <v>3938</v>
      </c>
      <c r="Q2028" s="4" t="s">
        <v>1378</v>
      </c>
    </row>
    <row r="2029" spans="1:17" hidden="1" x14ac:dyDescent="0.2">
      <c r="A2029" s="4">
        <v>2013</v>
      </c>
      <c r="B2029" s="2">
        <v>0</v>
      </c>
      <c r="C2029" s="2">
        <v>0</v>
      </c>
      <c r="D2029" s="4" t="s">
        <v>7379</v>
      </c>
      <c r="E2029" s="2">
        <v>0</v>
      </c>
      <c r="F2029" s="2">
        <v>0</v>
      </c>
      <c r="G2029" s="2">
        <v>0</v>
      </c>
      <c r="H2029" s="4">
        <v>0</v>
      </c>
      <c r="I2029" s="4">
        <v>0</v>
      </c>
      <c r="J2029" s="4">
        <v>0</v>
      </c>
      <c r="K2029" s="4">
        <v>0</v>
      </c>
      <c r="L2029" s="4" t="s">
        <v>7377</v>
      </c>
      <c r="M2029" s="4" t="s">
        <v>7378</v>
      </c>
      <c r="N2029" s="4" t="s">
        <v>20</v>
      </c>
      <c r="O2029" s="4" t="s">
        <v>76</v>
      </c>
      <c r="P2029" s="4" t="s">
        <v>76</v>
      </c>
      <c r="Q2029" s="4" t="s">
        <v>585</v>
      </c>
    </row>
    <row r="2030" spans="1:17" hidden="1" x14ac:dyDescent="0.2">
      <c r="A2030" s="4">
        <v>2019</v>
      </c>
      <c r="B2030" s="2">
        <v>0</v>
      </c>
      <c r="C2030" s="2">
        <v>0</v>
      </c>
      <c r="D2030" s="4" t="s">
        <v>7382</v>
      </c>
      <c r="E2030" s="2">
        <v>0</v>
      </c>
      <c r="F2030" s="2">
        <v>0</v>
      </c>
      <c r="G2030" s="2">
        <v>0</v>
      </c>
      <c r="H2030" s="4">
        <v>0</v>
      </c>
      <c r="I2030" s="4">
        <v>0</v>
      </c>
      <c r="J2030" s="4">
        <v>0</v>
      </c>
      <c r="K2030" s="4">
        <v>0</v>
      </c>
      <c r="L2030" s="4" t="s">
        <v>7380</v>
      </c>
      <c r="M2030" s="4" t="s">
        <v>7381</v>
      </c>
      <c r="N2030" s="4" t="s">
        <v>7383</v>
      </c>
      <c r="O2030" s="4" t="s">
        <v>93</v>
      </c>
      <c r="P2030" s="4" t="s">
        <v>93</v>
      </c>
      <c r="Q2030" s="4" t="s">
        <v>100</v>
      </c>
    </row>
    <row r="2031" spans="1:17" hidden="1" x14ac:dyDescent="0.2">
      <c r="A2031" s="4">
        <v>2020</v>
      </c>
      <c r="B2031" s="2">
        <v>0</v>
      </c>
      <c r="C2031" s="2">
        <v>0</v>
      </c>
      <c r="D2031" s="4" t="s">
        <v>7386</v>
      </c>
      <c r="E2031" s="2">
        <v>0</v>
      </c>
      <c r="F2031" s="2">
        <v>0</v>
      </c>
      <c r="G2031" s="2">
        <v>0</v>
      </c>
      <c r="H2031" s="4">
        <v>0</v>
      </c>
      <c r="I2031" s="4">
        <v>0</v>
      </c>
      <c r="J2031" s="4">
        <v>0</v>
      </c>
      <c r="K2031" s="4">
        <v>0</v>
      </c>
      <c r="L2031" s="4" t="s">
        <v>7384</v>
      </c>
      <c r="M2031" s="4" t="s">
        <v>7385</v>
      </c>
      <c r="N2031" s="4" t="s">
        <v>7387</v>
      </c>
      <c r="O2031" s="4" t="s">
        <v>229</v>
      </c>
      <c r="P2031" s="4" t="s">
        <v>229</v>
      </c>
      <c r="Q2031" s="4" t="s">
        <v>100</v>
      </c>
    </row>
    <row r="2032" spans="1:17" hidden="1" x14ac:dyDescent="0.2">
      <c r="A2032" s="4">
        <v>1662</v>
      </c>
      <c r="B2032" s="2">
        <v>-40441</v>
      </c>
      <c r="C2032" s="2">
        <v>0</v>
      </c>
      <c r="D2032" s="4" t="s">
        <v>7390</v>
      </c>
      <c r="E2032" s="2">
        <v>-40441</v>
      </c>
      <c r="F2032" s="2">
        <v>-7683.79</v>
      </c>
      <c r="G2032" s="2">
        <v>0</v>
      </c>
      <c r="H2032" s="4">
        <v>0</v>
      </c>
      <c r="I2032" s="4">
        <v>0</v>
      </c>
      <c r="J2032" s="4">
        <v>0</v>
      </c>
      <c r="K2032" s="4">
        <v>-48124.79</v>
      </c>
      <c r="L2032" s="4" t="s">
        <v>7388</v>
      </c>
      <c r="M2032" s="4" t="s">
        <v>7389</v>
      </c>
      <c r="N2032" s="4" t="s">
        <v>7391</v>
      </c>
      <c r="O2032" s="4" t="s">
        <v>67</v>
      </c>
      <c r="P2032" s="4" t="s">
        <v>67</v>
      </c>
      <c r="Q2032" s="4" t="s">
        <v>100</v>
      </c>
    </row>
    <row r="2033" spans="1:17" hidden="1" x14ac:dyDescent="0.2">
      <c r="A2033" s="4">
        <v>311</v>
      </c>
      <c r="B2033" s="2">
        <v>-3505164</v>
      </c>
      <c r="C2033" s="2">
        <v>0</v>
      </c>
      <c r="D2033" s="4" t="s">
        <v>7394</v>
      </c>
      <c r="E2033" s="2">
        <v>-3505164</v>
      </c>
      <c r="F2033" s="2">
        <v>-665981.16</v>
      </c>
      <c r="G2033" s="2">
        <v>-45925.279999999999</v>
      </c>
      <c r="H2033" s="4">
        <v>0</v>
      </c>
      <c r="I2033" s="4">
        <v>0</v>
      </c>
      <c r="J2033" s="4">
        <v>-45925.279999999999</v>
      </c>
      <c r="K2033" s="4">
        <v>-4125219.88</v>
      </c>
      <c r="L2033" s="4" t="s">
        <v>7392</v>
      </c>
      <c r="M2033" s="4" t="s">
        <v>7393</v>
      </c>
      <c r="N2033" s="4" t="s">
        <v>1783</v>
      </c>
      <c r="O2033" s="4" t="s">
        <v>89</v>
      </c>
      <c r="P2033" s="4" t="s">
        <v>89</v>
      </c>
      <c r="Q2033" s="4" t="s">
        <v>28</v>
      </c>
    </row>
    <row r="2034" spans="1:17" hidden="1" x14ac:dyDescent="0.2">
      <c r="E2034" s="2">
        <f>SUM(E2:E2033)</f>
        <v>50200995707.990013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57"/>
  <sheetViews>
    <sheetView tabSelected="1" zoomScale="184" zoomScaleNormal="90" workbookViewId="0">
      <selection activeCell="D2" sqref="D2"/>
    </sheetView>
  </sheetViews>
  <sheetFormatPr baseColWidth="10" defaultRowHeight="15" x14ac:dyDescent="0.2"/>
  <cols>
    <col min="1" max="1" width="5.1640625" bestFit="1" customWidth="1"/>
    <col min="2" max="2" width="15" style="1" hidden="1" customWidth="1"/>
    <col min="3" max="3" width="13.5" style="1" hidden="1" customWidth="1"/>
    <col min="4" max="4" width="79.1640625" style="1" bestFit="1" customWidth="1"/>
    <col min="5" max="5" width="16" style="1" bestFit="1" customWidth="1"/>
    <col min="6" max="6" width="13.5" style="1" hidden="1" customWidth="1"/>
    <col min="7" max="7" width="12.5" style="1" hidden="1" customWidth="1"/>
    <col min="8" max="8" width="12.1640625" hidden="1" customWidth="1"/>
    <col min="9" max="9" width="11.1640625" hidden="1" customWidth="1"/>
    <col min="10" max="10" width="13.5" hidden="1" customWidth="1"/>
    <col min="11" max="11" width="14.33203125" hidden="1" customWidth="1"/>
    <col min="12" max="12" width="14.1640625" hidden="1" customWidth="1"/>
    <col min="13" max="13" width="14.1640625" bestFit="1" customWidth="1"/>
    <col min="14" max="14" width="29.83203125" bestFit="1" customWidth="1"/>
    <col min="15" max="16" width="44.6640625" bestFit="1" customWidth="1"/>
    <col min="17" max="17" width="19.33203125" bestFit="1" customWidth="1"/>
    <col min="18" max="18" width="25" bestFit="1" customWidth="1"/>
    <col min="19" max="19" width="15" bestFit="1" customWidth="1"/>
    <col min="20" max="20" width="12.5" bestFit="1" customWidth="1"/>
  </cols>
  <sheetData>
    <row r="1" spans="1:19" s="7" customFormat="1" x14ac:dyDescent="0.2">
      <c r="A1" s="47" t="s">
        <v>0</v>
      </c>
      <c r="B1" s="48" t="s">
        <v>1</v>
      </c>
      <c r="C1" s="48" t="s">
        <v>2</v>
      </c>
      <c r="D1" s="47" t="s">
        <v>12</v>
      </c>
      <c r="E1" s="48" t="s">
        <v>3</v>
      </c>
      <c r="F1" s="48" t="s">
        <v>4</v>
      </c>
      <c r="G1" s="48" t="s">
        <v>5</v>
      </c>
      <c r="H1" s="47" t="s">
        <v>6</v>
      </c>
      <c r="I1" s="47" t="s">
        <v>7</v>
      </c>
      <c r="J1" s="47" t="s">
        <v>8</v>
      </c>
      <c r="K1" s="47" t="s">
        <v>9</v>
      </c>
      <c r="L1" s="47" t="s">
        <v>10</v>
      </c>
      <c r="M1" s="47" t="s">
        <v>11</v>
      </c>
      <c r="N1" s="47" t="s">
        <v>13</v>
      </c>
      <c r="O1" s="47" t="s">
        <v>14</v>
      </c>
      <c r="P1" s="47" t="s">
        <v>15</v>
      </c>
      <c r="Q1" s="49" t="s">
        <v>16</v>
      </c>
      <c r="R1" s="47" t="s">
        <v>5340</v>
      </c>
      <c r="S1" s="56" t="s">
        <v>7447</v>
      </c>
    </row>
    <row r="2" spans="1:19" x14ac:dyDescent="0.2">
      <c r="A2" s="4">
        <v>1099</v>
      </c>
      <c r="B2" s="2">
        <v>3015219527</v>
      </c>
      <c r="C2" s="2">
        <v>121449830.59999999</v>
      </c>
      <c r="D2" s="4" t="s">
        <v>19</v>
      </c>
      <c r="E2" s="2">
        <v>2893769696.4000001</v>
      </c>
      <c r="F2" s="2">
        <v>549816242.30999994</v>
      </c>
      <c r="G2" s="2">
        <v>71436971.950000003</v>
      </c>
      <c r="H2" s="4">
        <v>0</v>
      </c>
      <c r="I2" s="4">
        <v>0</v>
      </c>
      <c r="J2" s="4">
        <v>71436971.950000003</v>
      </c>
      <c r="K2" s="4">
        <v>3372148966.7600002</v>
      </c>
      <c r="L2" s="4" t="s">
        <v>17</v>
      </c>
      <c r="M2" s="4" t="s">
        <v>18</v>
      </c>
      <c r="N2" s="4" t="s">
        <v>20</v>
      </c>
      <c r="O2" s="4" t="s">
        <v>21</v>
      </c>
      <c r="P2" s="4" t="s">
        <v>21</v>
      </c>
      <c r="Q2" s="8" t="s">
        <v>22</v>
      </c>
      <c r="R2" s="9">
        <f t="shared" ref="R2:R33" si="0">E2/$E$1757</f>
        <v>5.0767492796159899E-2</v>
      </c>
      <c r="S2" s="57">
        <f>Tabla3[[#This Row],[Subtotal]]/12</f>
        <v>241147474.70000002</v>
      </c>
    </row>
    <row r="3" spans="1:19" x14ac:dyDescent="0.2">
      <c r="A3" s="4">
        <v>275</v>
      </c>
      <c r="B3" s="2">
        <v>1843490842</v>
      </c>
      <c r="C3" s="2">
        <v>2339354.37</v>
      </c>
      <c r="D3" s="4" t="s">
        <v>25</v>
      </c>
      <c r="E3" s="2">
        <v>1841151487.6300001</v>
      </c>
      <c r="F3" s="2">
        <v>349818782.64999998</v>
      </c>
      <c r="G3" s="2">
        <v>45194875.829999998</v>
      </c>
      <c r="H3" s="4">
        <v>0</v>
      </c>
      <c r="I3" s="4">
        <v>0</v>
      </c>
      <c r="J3" s="4">
        <v>45194875.829999998</v>
      </c>
      <c r="K3" s="4">
        <v>2145775394.45</v>
      </c>
      <c r="L3" s="4" t="s">
        <v>23</v>
      </c>
      <c r="M3" s="4" t="s">
        <v>24</v>
      </c>
      <c r="N3" s="4" t="s">
        <v>26</v>
      </c>
      <c r="O3" s="4" t="s">
        <v>27</v>
      </c>
      <c r="P3" s="4" t="s">
        <v>27</v>
      </c>
      <c r="Q3" s="8" t="s">
        <v>28</v>
      </c>
      <c r="R3" s="9">
        <f t="shared" si="0"/>
        <v>3.2300650947163299E-2</v>
      </c>
      <c r="S3" s="55">
        <f>Tabla3[[#This Row],[Subtotal]]/12</f>
        <v>153429290.63583335</v>
      </c>
    </row>
    <row r="4" spans="1:19" x14ac:dyDescent="0.2">
      <c r="A4" s="4">
        <v>676</v>
      </c>
      <c r="B4" s="2">
        <v>1209088709</v>
      </c>
      <c r="C4" s="2">
        <v>0</v>
      </c>
      <c r="D4" s="4" t="s">
        <v>31</v>
      </c>
      <c r="E4" s="2">
        <v>1209088709</v>
      </c>
      <c r="F4" s="2">
        <v>229726854.71000001</v>
      </c>
      <c r="G4" s="2">
        <v>29330074.219999999</v>
      </c>
      <c r="H4" s="4">
        <v>2884477.13</v>
      </c>
      <c r="I4" s="4">
        <v>0</v>
      </c>
      <c r="J4" s="4">
        <v>32214551.350000001</v>
      </c>
      <c r="K4" s="4">
        <v>1406601012.3599999</v>
      </c>
      <c r="L4" s="4" t="s">
        <v>29</v>
      </c>
      <c r="M4" s="4" t="s">
        <v>30</v>
      </c>
      <c r="N4" s="4" t="s">
        <v>32</v>
      </c>
      <c r="O4" s="4" t="s">
        <v>33</v>
      </c>
      <c r="P4" s="4" t="s">
        <v>33</v>
      </c>
      <c r="Q4" s="8" t="s">
        <v>28</v>
      </c>
      <c r="R4" s="9">
        <f t="shared" si="0"/>
        <v>2.1211916898721647E-2</v>
      </c>
      <c r="S4" s="55">
        <f>Tabla3[[#This Row],[Subtotal]]/12</f>
        <v>100757392.41666667</v>
      </c>
    </row>
    <row r="5" spans="1:19" x14ac:dyDescent="0.2">
      <c r="A5" s="4">
        <v>554</v>
      </c>
      <c r="B5" s="2">
        <v>1090617249</v>
      </c>
      <c r="C5" s="2">
        <v>4447639.57</v>
      </c>
      <c r="D5" s="4" t="s">
        <v>36</v>
      </c>
      <c r="E5" s="2">
        <v>1086169609.4300001</v>
      </c>
      <c r="F5" s="2">
        <v>206372225.78</v>
      </c>
      <c r="G5" s="2">
        <v>26672949.34</v>
      </c>
      <c r="H5" s="4">
        <v>0</v>
      </c>
      <c r="I5" s="4">
        <v>0</v>
      </c>
      <c r="J5" s="4">
        <v>26672949.34</v>
      </c>
      <c r="K5" s="4">
        <v>1265868885.8699999</v>
      </c>
      <c r="L5" s="4" t="s">
        <v>34</v>
      </c>
      <c r="M5" s="4" t="s">
        <v>35</v>
      </c>
      <c r="N5" s="4" t="s">
        <v>37</v>
      </c>
      <c r="O5" s="4" t="s">
        <v>33</v>
      </c>
      <c r="P5" s="4" t="s">
        <v>33</v>
      </c>
      <c r="Q5" s="8" t="s">
        <v>28</v>
      </c>
      <c r="R5" s="9">
        <f t="shared" si="0"/>
        <v>1.9055458314718336E-2</v>
      </c>
      <c r="S5" s="55">
        <f>Tabla3[[#This Row],[Subtotal]]/12</f>
        <v>90514134.119166672</v>
      </c>
    </row>
    <row r="6" spans="1:19" x14ac:dyDescent="0.2">
      <c r="A6" s="4">
        <v>1143</v>
      </c>
      <c r="B6" s="2">
        <v>1055746502.36</v>
      </c>
      <c r="C6" s="2">
        <v>2149094.85</v>
      </c>
      <c r="D6" s="4" t="s">
        <v>40</v>
      </c>
      <c r="E6" s="2">
        <v>1053597407.51</v>
      </c>
      <c r="F6" s="2">
        <v>200183507.41999999</v>
      </c>
      <c r="G6" s="2">
        <v>25275755.940000001</v>
      </c>
      <c r="H6" s="4">
        <v>0</v>
      </c>
      <c r="I6" s="4">
        <v>0</v>
      </c>
      <c r="J6" s="4">
        <v>25275755.940000001</v>
      </c>
      <c r="K6" s="4">
        <v>1228505158.99</v>
      </c>
      <c r="L6" s="4" t="s">
        <v>38</v>
      </c>
      <c r="M6" s="4" t="s">
        <v>39</v>
      </c>
      <c r="N6" s="4" t="s">
        <v>41</v>
      </c>
      <c r="O6" s="4" t="s">
        <v>42</v>
      </c>
      <c r="P6" s="4" t="s">
        <v>42</v>
      </c>
      <c r="Q6" s="8" t="s">
        <v>22</v>
      </c>
      <c r="R6" s="9">
        <f t="shared" si="0"/>
        <v>1.8484020640052713E-2</v>
      </c>
      <c r="S6" s="55">
        <f>Tabla3[[#This Row],[Subtotal]]/12</f>
        <v>87799783.959166661</v>
      </c>
    </row>
    <row r="7" spans="1:19" x14ac:dyDescent="0.2">
      <c r="A7" s="4">
        <v>945</v>
      </c>
      <c r="B7" s="2">
        <v>974667488</v>
      </c>
      <c r="C7" s="2">
        <v>5068830.21</v>
      </c>
      <c r="D7" s="4" t="s">
        <v>45</v>
      </c>
      <c r="E7" s="2">
        <v>969598657.78999996</v>
      </c>
      <c r="F7" s="2">
        <v>184223744.99000001</v>
      </c>
      <c r="G7" s="2">
        <v>23659010.149999999</v>
      </c>
      <c r="H7" s="4">
        <v>0</v>
      </c>
      <c r="I7" s="4">
        <v>0</v>
      </c>
      <c r="J7" s="4">
        <v>23659010.149999999</v>
      </c>
      <c r="K7" s="4">
        <v>1130163392.6300001</v>
      </c>
      <c r="L7" s="4" t="s">
        <v>43</v>
      </c>
      <c r="M7" s="4" t="s">
        <v>44</v>
      </c>
      <c r="N7" s="4" t="s">
        <v>46</v>
      </c>
      <c r="O7" s="4" t="s">
        <v>27</v>
      </c>
      <c r="P7" s="4" t="s">
        <v>27</v>
      </c>
      <c r="Q7" s="8" t="s">
        <v>22</v>
      </c>
      <c r="R7" s="9">
        <f t="shared" si="0"/>
        <v>1.7010369876966181E-2</v>
      </c>
      <c r="S7" s="55">
        <f>Tabla3[[#This Row],[Subtotal]]/12</f>
        <v>80799888.149166659</v>
      </c>
    </row>
    <row r="8" spans="1:19" x14ac:dyDescent="0.2">
      <c r="A8" s="4">
        <v>1120</v>
      </c>
      <c r="B8" s="2">
        <v>958261454.48000002</v>
      </c>
      <c r="C8" s="2">
        <v>10098824.220000001</v>
      </c>
      <c r="D8" s="4" t="s">
        <v>49</v>
      </c>
      <c r="E8" s="2">
        <v>948162630.25999999</v>
      </c>
      <c r="F8" s="2">
        <v>180150899.75999999</v>
      </c>
      <c r="G8" s="2">
        <v>23606260.010000002</v>
      </c>
      <c r="H8" s="4">
        <v>0</v>
      </c>
      <c r="I8" s="4">
        <v>0</v>
      </c>
      <c r="J8" s="4">
        <v>23606260.010000002</v>
      </c>
      <c r="K8" s="4">
        <v>1104707270.01</v>
      </c>
      <c r="L8" s="4" t="s">
        <v>47</v>
      </c>
      <c r="M8" s="4" t="s">
        <v>48</v>
      </c>
      <c r="N8" s="4" t="s">
        <v>32</v>
      </c>
      <c r="O8" s="4" t="s">
        <v>33</v>
      </c>
      <c r="P8" s="4" t="s">
        <v>33</v>
      </c>
      <c r="Q8" s="8" t="s">
        <v>22</v>
      </c>
      <c r="R8" s="9">
        <f t="shared" si="0"/>
        <v>1.6634302156524776E-2</v>
      </c>
      <c r="S8" s="55">
        <f>Tabla3[[#This Row],[Subtotal]]/12</f>
        <v>79013552.521666661</v>
      </c>
    </row>
    <row r="9" spans="1:19" x14ac:dyDescent="0.2">
      <c r="A9" s="4">
        <v>929</v>
      </c>
      <c r="B9" s="2">
        <v>940692124</v>
      </c>
      <c r="C9" s="2">
        <v>0</v>
      </c>
      <c r="D9" s="4" t="s">
        <v>52</v>
      </c>
      <c r="E9" s="2">
        <v>940692124</v>
      </c>
      <c r="F9" s="2">
        <v>178731503.56</v>
      </c>
      <c r="G9" s="2">
        <v>22942086.329999998</v>
      </c>
      <c r="H9" s="4">
        <v>26153978.350000001</v>
      </c>
      <c r="I9" s="4">
        <v>0</v>
      </c>
      <c r="J9" s="4">
        <v>49096064.68</v>
      </c>
      <c r="K9" s="4">
        <v>1070327562.88</v>
      </c>
      <c r="L9" s="4" t="s">
        <v>50</v>
      </c>
      <c r="M9" s="4" t="s">
        <v>51</v>
      </c>
      <c r="N9" s="4" t="s">
        <v>20</v>
      </c>
      <c r="O9" s="4" t="s">
        <v>21</v>
      </c>
      <c r="P9" s="4" t="s">
        <v>21</v>
      </c>
      <c r="Q9" s="8" t="s">
        <v>22</v>
      </c>
      <c r="R9" s="9">
        <f t="shared" si="0"/>
        <v>1.6503241667084296E-2</v>
      </c>
      <c r="S9" s="55">
        <f>Tabla3[[#This Row],[Subtotal]]/12</f>
        <v>78391010.333333328</v>
      </c>
    </row>
    <row r="10" spans="1:19" x14ac:dyDescent="0.2">
      <c r="A10" s="4">
        <v>1098</v>
      </c>
      <c r="B10" s="2">
        <v>688456772</v>
      </c>
      <c r="C10" s="2">
        <v>26187382.469999999</v>
      </c>
      <c r="D10" s="4" t="s">
        <v>54</v>
      </c>
      <c r="E10" s="2">
        <v>662269389.52999997</v>
      </c>
      <c r="F10" s="2">
        <v>125831184.03</v>
      </c>
      <c r="G10" s="2">
        <v>16556734.789999999</v>
      </c>
      <c r="H10" s="4">
        <v>0</v>
      </c>
      <c r="I10" s="4">
        <v>0</v>
      </c>
      <c r="J10" s="4">
        <v>16556734.789999999</v>
      </c>
      <c r="K10" s="4">
        <v>771543838.76999998</v>
      </c>
      <c r="L10" s="4" t="s">
        <v>53</v>
      </c>
      <c r="M10" s="4" t="s">
        <v>18</v>
      </c>
      <c r="N10" s="4" t="s">
        <v>20</v>
      </c>
      <c r="O10" s="4" t="s">
        <v>21</v>
      </c>
      <c r="P10" s="4" t="s">
        <v>21</v>
      </c>
      <c r="Q10" s="8" t="s">
        <v>22</v>
      </c>
      <c r="R10" s="9">
        <f t="shared" si="0"/>
        <v>1.1618670450488406E-2</v>
      </c>
      <c r="S10" s="55">
        <f>Tabla3[[#This Row],[Subtotal]]/12</f>
        <v>55189115.794166662</v>
      </c>
    </row>
    <row r="11" spans="1:19" x14ac:dyDescent="0.2">
      <c r="A11" s="4">
        <v>1285</v>
      </c>
      <c r="B11" s="2">
        <v>604504509</v>
      </c>
      <c r="C11" s="2">
        <v>0</v>
      </c>
      <c r="D11" s="4" t="s">
        <v>57</v>
      </c>
      <c r="E11" s="2">
        <v>604504509</v>
      </c>
      <c r="F11" s="2">
        <v>114855856.70999999</v>
      </c>
      <c r="G11" s="2">
        <v>15082294.24</v>
      </c>
      <c r="H11" s="4">
        <v>0</v>
      </c>
      <c r="I11" s="4">
        <v>0</v>
      </c>
      <c r="J11" s="4">
        <v>15082294.24</v>
      </c>
      <c r="K11" s="4">
        <v>704278071.47000003</v>
      </c>
      <c r="L11" s="4" t="s">
        <v>55</v>
      </c>
      <c r="M11" s="4" t="s">
        <v>56</v>
      </c>
      <c r="N11" s="4" t="s">
        <v>58</v>
      </c>
      <c r="O11" s="4" t="s">
        <v>59</v>
      </c>
      <c r="P11" s="4" t="s">
        <v>59</v>
      </c>
      <c r="Q11" s="8" t="s">
        <v>28</v>
      </c>
      <c r="R11" s="9">
        <f t="shared" si="0"/>
        <v>1.060525941096232E-2</v>
      </c>
      <c r="S11" s="55">
        <f>Tabla3[[#This Row],[Subtotal]]/12</f>
        <v>50375375.75</v>
      </c>
    </row>
    <row r="12" spans="1:19" x14ac:dyDescent="0.2">
      <c r="A12" s="4">
        <v>1599</v>
      </c>
      <c r="B12" s="2">
        <v>583451906</v>
      </c>
      <c r="C12" s="2">
        <v>9140364.7799999993</v>
      </c>
      <c r="D12" s="4" t="s">
        <v>62</v>
      </c>
      <c r="E12" s="2">
        <v>574311541.22000003</v>
      </c>
      <c r="F12" s="2">
        <v>109119192.84999999</v>
      </c>
      <c r="G12" s="2">
        <v>14066874.82</v>
      </c>
      <c r="H12" s="4">
        <v>13504129.6</v>
      </c>
      <c r="I12" s="4">
        <v>0</v>
      </c>
      <c r="J12" s="4">
        <v>27571004.420000002</v>
      </c>
      <c r="K12" s="4">
        <v>655859729.64999998</v>
      </c>
      <c r="L12" s="4" t="s">
        <v>60</v>
      </c>
      <c r="M12" s="4" t="s">
        <v>61</v>
      </c>
      <c r="N12" s="4" t="s">
        <v>63</v>
      </c>
      <c r="O12" s="4" t="s">
        <v>33</v>
      </c>
      <c r="P12" s="4" t="s">
        <v>33</v>
      </c>
      <c r="Q12" s="8" t="s">
        <v>28</v>
      </c>
      <c r="R12" s="9">
        <f t="shared" si="0"/>
        <v>1.007556236002812E-2</v>
      </c>
      <c r="S12" s="55">
        <f>Tabla3[[#This Row],[Subtotal]]/12</f>
        <v>47859295.101666667</v>
      </c>
    </row>
    <row r="13" spans="1:19" x14ac:dyDescent="0.2">
      <c r="A13" s="4">
        <v>1601</v>
      </c>
      <c r="B13" s="2">
        <v>515763330</v>
      </c>
      <c r="C13" s="2">
        <v>8331660.5499999998</v>
      </c>
      <c r="D13" s="4" t="s">
        <v>65</v>
      </c>
      <c r="E13" s="2">
        <v>507431669.44999999</v>
      </c>
      <c r="F13" s="2">
        <v>96412017.209999993</v>
      </c>
      <c r="G13" s="2">
        <v>12414921.619999999</v>
      </c>
      <c r="H13" s="4">
        <v>13120699.869999999</v>
      </c>
      <c r="I13" s="4">
        <v>0</v>
      </c>
      <c r="J13" s="4">
        <v>25535621.489999998</v>
      </c>
      <c r="K13" s="4">
        <v>578308065.16999996</v>
      </c>
      <c r="L13" s="4" t="s">
        <v>64</v>
      </c>
      <c r="M13" s="4" t="s">
        <v>61</v>
      </c>
      <c r="N13" s="4" t="s">
        <v>66</v>
      </c>
      <c r="O13" s="4" t="s">
        <v>67</v>
      </c>
      <c r="P13" s="4" t="s">
        <v>67</v>
      </c>
      <c r="Q13" s="8" t="s">
        <v>28</v>
      </c>
      <c r="R13" s="9">
        <f t="shared" si="0"/>
        <v>8.9022404427672071E-3</v>
      </c>
      <c r="S13" s="55">
        <f>Tabla3[[#This Row],[Subtotal]]/12</f>
        <v>42285972.454166666</v>
      </c>
    </row>
    <row r="14" spans="1:19" x14ac:dyDescent="0.2">
      <c r="A14" s="4">
        <v>112</v>
      </c>
      <c r="B14" s="2">
        <v>503072873</v>
      </c>
      <c r="C14" s="2">
        <v>247053.36</v>
      </c>
      <c r="D14" s="4" t="s">
        <v>70</v>
      </c>
      <c r="E14" s="2">
        <v>502825819.63999999</v>
      </c>
      <c r="F14" s="2">
        <v>95536905.739999995</v>
      </c>
      <c r="G14" s="2">
        <v>12170913.73</v>
      </c>
      <c r="H14" s="4">
        <v>0</v>
      </c>
      <c r="I14" s="4">
        <v>0</v>
      </c>
      <c r="J14" s="4">
        <v>12170913.73</v>
      </c>
      <c r="K14" s="4">
        <v>586191811.64999998</v>
      </c>
      <c r="L14" s="4" t="s">
        <v>68</v>
      </c>
      <c r="M14" s="4" t="s">
        <v>69</v>
      </c>
      <c r="N14" s="4" t="s">
        <v>20</v>
      </c>
      <c r="O14" s="4" t="s">
        <v>71</v>
      </c>
      <c r="P14" s="4" t="s">
        <v>71</v>
      </c>
      <c r="Q14" s="8" t="s">
        <v>28</v>
      </c>
      <c r="R14" s="9">
        <f t="shared" si="0"/>
        <v>8.8214366914043177E-3</v>
      </c>
      <c r="S14" s="55">
        <f>Tabla3[[#This Row],[Subtotal]]/12</f>
        <v>41902151.636666663</v>
      </c>
    </row>
    <row r="15" spans="1:19" x14ac:dyDescent="0.2">
      <c r="A15" s="4">
        <v>347</v>
      </c>
      <c r="B15" s="2">
        <v>493018658</v>
      </c>
      <c r="C15" s="2">
        <v>0</v>
      </c>
      <c r="D15" s="4" t="s">
        <v>74</v>
      </c>
      <c r="E15" s="2">
        <v>493018658</v>
      </c>
      <c r="F15" s="2">
        <v>0</v>
      </c>
      <c r="G15" s="2">
        <v>11474986.140000001</v>
      </c>
      <c r="H15" s="4">
        <v>0</v>
      </c>
      <c r="I15" s="4">
        <v>0</v>
      </c>
      <c r="J15" s="4">
        <v>11474986.140000001</v>
      </c>
      <c r="K15" s="4">
        <v>481543671.86000001</v>
      </c>
      <c r="L15" s="4" t="s">
        <v>72</v>
      </c>
      <c r="M15" s="4" t="s">
        <v>73</v>
      </c>
      <c r="N15" s="4" t="s">
        <v>75</v>
      </c>
      <c r="O15" s="4" t="s">
        <v>76</v>
      </c>
      <c r="P15" s="4" t="s">
        <v>76</v>
      </c>
      <c r="Q15" s="8" t="s">
        <v>28</v>
      </c>
      <c r="R15" s="9">
        <f t="shared" si="0"/>
        <v>8.6493825681861272E-3</v>
      </c>
      <c r="S15" s="55">
        <f>Tabla3[[#This Row],[Subtotal]]/12</f>
        <v>41084888.166666664</v>
      </c>
    </row>
    <row r="16" spans="1:19" x14ac:dyDescent="0.2">
      <c r="A16" s="4">
        <v>1484</v>
      </c>
      <c r="B16" s="2">
        <v>513352004</v>
      </c>
      <c r="C16" s="2">
        <v>62794733.219999999</v>
      </c>
      <c r="D16" s="4" t="s">
        <v>79</v>
      </c>
      <c r="E16" s="2">
        <v>450557270.77999997</v>
      </c>
      <c r="F16" s="2">
        <v>85605881.459999993</v>
      </c>
      <c r="G16" s="2">
        <v>0</v>
      </c>
      <c r="H16" s="4">
        <v>0</v>
      </c>
      <c r="I16" s="4">
        <v>0</v>
      </c>
      <c r="J16" s="4">
        <v>0</v>
      </c>
      <c r="K16" s="4">
        <v>536163152.24000001</v>
      </c>
      <c r="L16" s="4" t="s">
        <v>77</v>
      </c>
      <c r="M16" s="4" t="s">
        <v>78</v>
      </c>
      <c r="N16" s="4" t="s">
        <v>20</v>
      </c>
      <c r="O16" s="4" t="s">
        <v>21</v>
      </c>
      <c r="P16" s="4" t="s">
        <v>21</v>
      </c>
      <c r="Q16" s="8" t="s">
        <v>22</v>
      </c>
      <c r="R16" s="9">
        <f t="shared" si="0"/>
        <v>7.9044517699653639E-3</v>
      </c>
      <c r="S16" s="55">
        <f>Tabla3[[#This Row],[Subtotal]]/12</f>
        <v>37546439.231666662</v>
      </c>
    </row>
    <row r="17" spans="1:20" x14ac:dyDescent="0.2">
      <c r="A17" s="4">
        <v>753</v>
      </c>
      <c r="B17" s="2">
        <v>444494502</v>
      </c>
      <c r="C17" s="2">
        <v>1581003.03</v>
      </c>
      <c r="D17" s="62" t="s">
        <v>82</v>
      </c>
      <c r="E17" s="2">
        <v>442913498.97000003</v>
      </c>
      <c r="F17" s="2">
        <v>84153564.799999997</v>
      </c>
      <c r="G17" s="2">
        <v>11061431.74</v>
      </c>
      <c r="H17" s="4">
        <v>12623034.73</v>
      </c>
      <c r="I17" s="4">
        <v>0</v>
      </c>
      <c r="J17" s="4">
        <v>23684466.469999999</v>
      </c>
      <c r="K17" s="4">
        <v>503382597.30000001</v>
      </c>
      <c r="L17" s="4" t="s">
        <v>80</v>
      </c>
      <c r="M17" s="4" t="s">
        <v>81</v>
      </c>
      <c r="N17" s="4" t="s">
        <v>83</v>
      </c>
      <c r="O17" s="4" t="s">
        <v>84</v>
      </c>
      <c r="P17" s="4" t="s">
        <v>84</v>
      </c>
      <c r="Q17" s="8" t="s">
        <v>28</v>
      </c>
      <c r="R17" s="9">
        <f t="shared" si="0"/>
        <v>7.7703515577810895E-3</v>
      </c>
      <c r="S17" s="55">
        <f>Tabla3[[#This Row],[Subtotal]]/12</f>
        <v>36909458.247500002</v>
      </c>
    </row>
    <row r="18" spans="1:20" x14ac:dyDescent="0.2">
      <c r="A18" s="4">
        <v>176</v>
      </c>
      <c r="B18" s="2">
        <v>440846891</v>
      </c>
      <c r="C18" s="2">
        <v>0</v>
      </c>
      <c r="D18" s="4" t="s">
        <v>87</v>
      </c>
      <c r="E18" s="2">
        <v>440846891</v>
      </c>
      <c r="F18" s="2">
        <v>83760909.290000007</v>
      </c>
      <c r="G18" s="2">
        <v>11007315.130000001</v>
      </c>
      <c r="H18" s="4">
        <v>0</v>
      </c>
      <c r="I18" s="4">
        <v>0</v>
      </c>
      <c r="J18" s="4">
        <v>11007315.130000001</v>
      </c>
      <c r="K18" s="4">
        <v>513600485.16000003</v>
      </c>
      <c r="L18" s="4" t="s">
        <v>85</v>
      </c>
      <c r="M18" s="4" t="s">
        <v>86</v>
      </c>
      <c r="N18" s="4" t="s">
        <v>88</v>
      </c>
      <c r="O18" s="4" t="s">
        <v>89</v>
      </c>
      <c r="P18" s="4" t="s">
        <v>89</v>
      </c>
      <c r="Q18" s="8" t="s">
        <v>28</v>
      </c>
      <c r="R18" s="9">
        <f t="shared" si="0"/>
        <v>7.7340955608508621E-3</v>
      </c>
      <c r="S18" s="55">
        <f>Tabla3[[#This Row],[Subtotal]]/12</f>
        <v>36737240.916666664</v>
      </c>
    </row>
    <row r="19" spans="1:20" x14ac:dyDescent="0.2">
      <c r="A19" s="4">
        <v>679</v>
      </c>
      <c r="B19" s="2">
        <v>439237123</v>
      </c>
      <c r="C19" s="2">
        <v>0</v>
      </c>
      <c r="D19" s="4" t="s">
        <v>91</v>
      </c>
      <c r="E19" s="2">
        <v>439237123</v>
      </c>
      <c r="F19" s="2">
        <v>83455053.370000005</v>
      </c>
      <c r="G19" s="2">
        <v>10897721.98</v>
      </c>
      <c r="H19" s="4">
        <v>1169777.18</v>
      </c>
      <c r="I19" s="4">
        <v>0</v>
      </c>
      <c r="J19" s="4">
        <v>12067499.16</v>
      </c>
      <c r="K19" s="4">
        <v>510624677.20999998</v>
      </c>
      <c r="L19" s="4" t="s">
        <v>90</v>
      </c>
      <c r="M19" s="4" t="s">
        <v>30</v>
      </c>
      <c r="N19" s="4" t="s">
        <v>92</v>
      </c>
      <c r="O19" s="4" t="s">
        <v>93</v>
      </c>
      <c r="P19" s="4" t="s">
        <v>93</v>
      </c>
      <c r="Q19" s="8" t="s">
        <v>28</v>
      </c>
      <c r="R19" s="9">
        <f t="shared" si="0"/>
        <v>7.7058542376228396E-3</v>
      </c>
      <c r="S19" s="55">
        <f>Tabla3[[#This Row],[Subtotal]]/12</f>
        <v>36603093.583333336</v>
      </c>
    </row>
    <row r="20" spans="1:20" x14ac:dyDescent="0.2">
      <c r="A20" s="4">
        <v>899</v>
      </c>
      <c r="B20" s="2">
        <v>437017716</v>
      </c>
      <c r="C20" s="2">
        <v>616574.81999999995</v>
      </c>
      <c r="D20" s="4" t="s">
        <v>96</v>
      </c>
      <c r="E20" s="2">
        <v>436401141.18000001</v>
      </c>
      <c r="F20" s="2">
        <v>82916216.829999998</v>
      </c>
      <c r="G20" s="2">
        <v>10910028.59</v>
      </c>
      <c r="H20" s="4">
        <v>12437432.52</v>
      </c>
      <c r="I20" s="4">
        <v>0</v>
      </c>
      <c r="J20" s="4">
        <v>23347461.109999999</v>
      </c>
      <c r="K20" s="4">
        <v>495969896.89999998</v>
      </c>
      <c r="L20" s="4" t="s">
        <v>94</v>
      </c>
      <c r="M20" s="4" t="s">
        <v>95</v>
      </c>
      <c r="N20" s="4" t="s">
        <v>66</v>
      </c>
      <c r="O20" s="4" t="s">
        <v>67</v>
      </c>
      <c r="P20" s="4" t="s">
        <v>67</v>
      </c>
      <c r="Q20" s="8" t="s">
        <v>28</v>
      </c>
      <c r="R20" s="9">
        <f t="shared" si="0"/>
        <v>7.6561005592993706E-3</v>
      </c>
      <c r="S20" s="55">
        <f>Tabla3[[#This Row],[Subtotal]]/12</f>
        <v>36366761.765000001</v>
      </c>
    </row>
    <row r="21" spans="1:20" x14ac:dyDescent="0.2">
      <c r="A21" s="4">
        <v>1278</v>
      </c>
      <c r="B21" s="2">
        <v>431118141</v>
      </c>
      <c r="C21" s="2">
        <v>0</v>
      </c>
      <c r="D21" s="4" t="s">
        <v>99</v>
      </c>
      <c r="E21" s="2">
        <v>431118141</v>
      </c>
      <c r="F21" s="2">
        <v>81912446.790000007</v>
      </c>
      <c r="G21" s="2">
        <v>10496214.539999999</v>
      </c>
      <c r="H21" s="4">
        <v>11965684.59</v>
      </c>
      <c r="I21" s="4">
        <v>545131.96</v>
      </c>
      <c r="J21" s="4">
        <v>23007031.09</v>
      </c>
      <c r="K21" s="4">
        <v>490023556.69999999</v>
      </c>
      <c r="L21" s="4" t="s">
        <v>97</v>
      </c>
      <c r="M21" s="4" t="s">
        <v>98</v>
      </c>
      <c r="N21" s="4" t="s">
        <v>20</v>
      </c>
      <c r="O21" s="4" t="s">
        <v>76</v>
      </c>
      <c r="P21" s="4" t="s">
        <v>76</v>
      </c>
      <c r="Q21" s="8" t="s">
        <v>100</v>
      </c>
      <c r="R21" s="9">
        <f t="shared" si="0"/>
        <v>7.5634170696927431E-3</v>
      </c>
      <c r="S21" s="55">
        <f>Tabla3[[#This Row],[Subtotal]]/12</f>
        <v>35926511.75</v>
      </c>
    </row>
    <row r="22" spans="1:20" x14ac:dyDescent="0.2">
      <c r="A22" s="4">
        <v>308</v>
      </c>
      <c r="B22" s="2">
        <v>415479408</v>
      </c>
      <c r="C22" s="2">
        <v>0</v>
      </c>
      <c r="D22" s="4" t="s">
        <v>103</v>
      </c>
      <c r="E22" s="2">
        <v>415479408</v>
      </c>
      <c r="F22" s="2">
        <v>78941087.519999996</v>
      </c>
      <c r="G22" s="2">
        <v>10172160.51</v>
      </c>
      <c r="H22" s="4">
        <v>0</v>
      </c>
      <c r="I22" s="4">
        <v>0</v>
      </c>
      <c r="J22" s="4">
        <v>10172160.51</v>
      </c>
      <c r="K22" s="4">
        <v>484248335.00999999</v>
      </c>
      <c r="L22" s="4" t="s">
        <v>101</v>
      </c>
      <c r="M22" s="4" t="s">
        <v>102</v>
      </c>
      <c r="N22" s="4" t="s">
        <v>104</v>
      </c>
      <c r="O22" s="4" t="s">
        <v>105</v>
      </c>
      <c r="P22" s="4" t="s">
        <v>105</v>
      </c>
      <c r="Q22" s="8" t="s">
        <v>28</v>
      </c>
      <c r="R22" s="9">
        <f t="shared" si="0"/>
        <v>7.2890554762645348E-3</v>
      </c>
      <c r="S22" s="55">
        <f>Tabla3[[#This Row],[Subtotal]]/12</f>
        <v>34623284</v>
      </c>
      <c r="T22" s="54"/>
    </row>
    <row r="23" spans="1:20" x14ac:dyDescent="0.2">
      <c r="A23" s="4">
        <v>324</v>
      </c>
      <c r="B23" s="2">
        <v>395299638.99000001</v>
      </c>
      <c r="C23" s="2">
        <v>0</v>
      </c>
      <c r="D23" s="4" t="s">
        <v>108</v>
      </c>
      <c r="E23" s="2">
        <v>395299638.99000001</v>
      </c>
      <c r="F23" s="2">
        <v>75092681.409999996</v>
      </c>
      <c r="G23" s="2">
        <v>6572158.0599999996</v>
      </c>
      <c r="H23" s="4">
        <v>0</v>
      </c>
      <c r="I23" s="4">
        <v>0</v>
      </c>
      <c r="J23" s="4">
        <v>6572158.0599999996</v>
      </c>
      <c r="K23" s="4">
        <v>463820162.33999997</v>
      </c>
      <c r="L23" s="4" t="s">
        <v>106</v>
      </c>
      <c r="M23" s="4" t="s">
        <v>107</v>
      </c>
      <c r="N23" s="4" t="s">
        <v>20</v>
      </c>
      <c r="O23" s="4" t="s">
        <v>21</v>
      </c>
      <c r="P23" s="4" t="s">
        <v>21</v>
      </c>
      <c r="Q23" s="8" t="s">
        <v>22</v>
      </c>
      <c r="R23" s="9">
        <f t="shared" si="0"/>
        <v>6.935027206800711E-3</v>
      </c>
      <c r="S23" s="55">
        <f>Tabla3[[#This Row],[Subtotal]]/12</f>
        <v>32941636.5825</v>
      </c>
    </row>
    <row r="24" spans="1:20" x14ac:dyDescent="0.2">
      <c r="A24" s="4">
        <v>267</v>
      </c>
      <c r="B24" s="2">
        <v>371324899.12</v>
      </c>
      <c r="C24" s="2">
        <v>0</v>
      </c>
      <c r="D24" s="4" t="s">
        <v>111</v>
      </c>
      <c r="E24" s="2">
        <v>371324899.12</v>
      </c>
      <c r="F24" s="2">
        <v>70551730.819999993</v>
      </c>
      <c r="G24" s="2">
        <v>9283122.5299999993</v>
      </c>
      <c r="H24" s="4">
        <v>10582759.630000001</v>
      </c>
      <c r="I24" s="4">
        <v>0</v>
      </c>
      <c r="J24" s="4">
        <v>19865882.16</v>
      </c>
      <c r="K24" s="4">
        <v>422010747.77999997</v>
      </c>
      <c r="L24" s="4" t="s">
        <v>109</v>
      </c>
      <c r="M24" s="4" t="s">
        <v>110</v>
      </c>
      <c r="N24" s="4" t="s">
        <v>112</v>
      </c>
      <c r="O24" s="4" t="s">
        <v>21</v>
      </c>
      <c r="P24" s="4" t="s">
        <v>21</v>
      </c>
      <c r="Q24" s="8" t="s">
        <v>22</v>
      </c>
      <c r="R24" s="9">
        <f t="shared" si="0"/>
        <v>6.5144210213277567E-3</v>
      </c>
      <c r="S24" s="55">
        <f>Tabla3[[#This Row],[Subtotal]]/12</f>
        <v>30943741.593333334</v>
      </c>
    </row>
    <row r="25" spans="1:20" x14ac:dyDescent="0.2">
      <c r="A25" s="4">
        <v>626</v>
      </c>
      <c r="B25" s="2">
        <v>365622463</v>
      </c>
      <c r="C25" s="2">
        <v>0</v>
      </c>
      <c r="D25" s="4" t="s">
        <v>116</v>
      </c>
      <c r="E25" s="2">
        <v>365622463</v>
      </c>
      <c r="F25" s="2">
        <v>69468267.969999999</v>
      </c>
      <c r="G25" s="2">
        <v>9059330.7699999996</v>
      </c>
      <c r="H25" s="4">
        <v>0</v>
      </c>
      <c r="I25" s="4">
        <v>0</v>
      </c>
      <c r="J25" s="4">
        <v>9059330.7699999996</v>
      </c>
      <c r="K25" s="4">
        <v>426031400.19999999</v>
      </c>
      <c r="L25" s="4" t="s">
        <v>114</v>
      </c>
      <c r="M25" s="4" t="s">
        <v>115</v>
      </c>
      <c r="N25" s="4" t="s">
        <v>117</v>
      </c>
      <c r="O25" s="4" t="s">
        <v>93</v>
      </c>
      <c r="P25" s="4" t="s">
        <v>93</v>
      </c>
      <c r="Q25" s="8" t="s">
        <v>28</v>
      </c>
      <c r="R25" s="9">
        <f t="shared" si="0"/>
        <v>6.4143790639450346E-3</v>
      </c>
      <c r="S25" s="55">
        <f>Tabla3[[#This Row],[Subtotal]]/12</f>
        <v>30468538.583333332</v>
      </c>
    </row>
    <row r="26" spans="1:20" x14ac:dyDescent="0.2">
      <c r="A26" s="4">
        <v>264</v>
      </c>
      <c r="B26" s="2">
        <v>340951298.99000001</v>
      </c>
      <c r="C26" s="2">
        <v>0</v>
      </c>
      <c r="D26" s="4" t="s">
        <v>119</v>
      </c>
      <c r="E26" s="2">
        <v>340951298.99000001</v>
      </c>
      <c r="F26" s="2">
        <v>64780746.810000002</v>
      </c>
      <c r="G26" s="2">
        <v>8496052.4499999993</v>
      </c>
      <c r="H26" s="4">
        <v>9685499.7699999996</v>
      </c>
      <c r="I26" s="4">
        <v>0</v>
      </c>
      <c r="J26" s="4">
        <v>18181552.219999999</v>
      </c>
      <c r="K26" s="4">
        <v>387550493.57999998</v>
      </c>
      <c r="L26" s="4" t="s">
        <v>118</v>
      </c>
      <c r="M26" s="4" t="s">
        <v>110</v>
      </c>
      <c r="N26" s="4" t="s">
        <v>20</v>
      </c>
      <c r="O26" s="4" t="s">
        <v>21</v>
      </c>
      <c r="P26" s="4" t="s">
        <v>21</v>
      </c>
      <c r="Q26" s="8" t="s">
        <v>22</v>
      </c>
      <c r="R26" s="9">
        <f t="shared" si="0"/>
        <v>5.9815550065541786E-3</v>
      </c>
      <c r="S26" s="55">
        <f>Tabla3[[#This Row],[Subtotal]]/12</f>
        <v>28412608.249166667</v>
      </c>
    </row>
    <row r="27" spans="1:20" x14ac:dyDescent="0.2">
      <c r="A27" s="4">
        <v>262</v>
      </c>
      <c r="B27" s="2">
        <v>298111145.79000002</v>
      </c>
      <c r="C27" s="2">
        <v>0</v>
      </c>
      <c r="D27" s="4" t="s">
        <v>121</v>
      </c>
      <c r="E27" s="2">
        <v>298111145.79000002</v>
      </c>
      <c r="F27" s="2">
        <v>56641117.689999998</v>
      </c>
      <c r="G27" s="2">
        <v>7452778.6799999997</v>
      </c>
      <c r="H27" s="4">
        <v>8496167.6300000008</v>
      </c>
      <c r="I27" s="4">
        <v>0</v>
      </c>
      <c r="J27" s="4">
        <v>15948946.310000001</v>
      </c>
      <c r="K27" s="4">
        <v>338803317.17000002</v>
      </c>
      <c r="L27" s="4" t="s">
        <v>120</v>
      </c>
      <c r="M27" s="4" t="s">
        <v>110</v>
      </c>
      <c r="N27" s="4" t="s">
        <v>20</v>
      </c>
      <c r="O27" s="4" t="s">
        <v>21</v>
      </c>
      <c r="P27" s="4" t="s">
        <v>21</v>
      </c>
      <c r="Q27" s="8" t="s">
        <v>22</v>
      </c>
      <c r="R27" s="9">
        <f t="shared" si="0"/>
        <v>5.2299792430533518E-3</v>
      </c>
      <c r="S27" s="55">
        <f>Tabla3[[#This Row],[Subtotal]]/12</f>
        <v>24842595.482500002</v>
      </c>
    </row>
    <row r="28" spans="1:20" x14ac:dyDescent="0.2">
      <c r="A28" s="4">
        <v>677</v>
      </c>
      <c r="B28" s="2">
        <v>288528979</v>
      </c>
      <c r="C28" s="2">
        <v>0</v>
      </c>
      <c r="D28" s="4" t="s">
        <v>123</v>
      </c>
      <c r="E28" s="2">
        <v>288528979</v>
      </c>
      <c r="F28" s="2">
        <v>54820506.009999998</v>
      </c>
      <c r="G28" s="2">
        <v>6741920.1500000004</v>
      </c>
      <c r="H28" s="4">
        <v>136469.4</v>
      </c>
      <c r="I28" s="4">
        <v>0</v>
      </c>
      <c r="J28" s="4">
        <v>6878389.5499999998</v>
      </c>
      <c r="K28" s="4">
        <v>336471095.45999998</v>
      </c>
      <c r="L28" s="4" t="s">
        <v>122</v>
      </c>
      <c r="M28" s="4" t="s">
        <v>30</v>
      </c>
      <c r="N28" s="4" t="s">
        <v>124</v>
      </c>
      <c r="O28" s="4" t="s">
        <v>33</v>
      </c>
      <c r="P28" s="4" t="s">
        <v>33</v>
      </c>
      <c r="Q28" s="8" t="s">
        <v>28</v>
      </c>
      <c r="R28" s="9">
        <f t="shared" si="0"/>
        <v>5.0618723670679848E-3</v>
      </c>
      <c r="S28" s="55">
        <f>Tabla3[[#This Row],[Subtotal]]/12</f>
        <v>24044081.583333332</v>
      </c>
    </row>
    <row r="29" spans="1:20" x14ac:dyDescent="0.2">
      <c r="A29" s="4">
        <v>896</v>
      </c>
      <c r="B29" s="2">
        <v>288404310</v>
      </c>
      <c r="C29" s="2">
        <v>677430.3</v>
      </c>
      <c r="D29" s="4" t="s">
        <v>126</v>
      </c>
      <c r="E29" s="2">
        <v>287726879.69999999</v>
      </c>
      <c r="F29" s="2">
        <v>54668107.140000001</v>
      </c>
      <c r="G29" s="2">
        <v>7193172.0199999996</v>
      </c>
      <c r="H29" s="4">
        <v>8200216.0800000001</v>
      </c>
      <c r="I29" s="4">
        <v>0</v>
      </c>
      <c r="J29" s="4">
        <v>15393388.1</v>
      </c>
      <c r="K29" s="4">
        <v>327001598.74000001</v>
      </c>
      <c r="L29" s="4" t="s">
        <v>125</v>
      </c>
      <c r="M29" s="4" t="s">
        <v>95</v>
      </c>
      <c r="N29" s="4" t="s">
        <v>127</v>
      </c>
      <c r="O29" s="4" t="s">
        <v>67</v>
      </c>
      <c r="P29" s="4" t="s">
        <v>67</v>
      </c>
      <c r="Q29" s="8" t="s">
        <v>28</v>
      </c>
      <c r="R29" s="9">
        <f t="shared" si="0"/>
        <v>5.0478005594582721E-3</v>
      </c>
      <c r="S29" s="55">
        <f>Tabla3[[#This Row],[Subtotal]]/12</f>
        <v>23977239.974999998</v>
      </c>
    </row>
    <row r="30" spans="1:20" x14ac:dyDescent="0.2">
      <c r="A30" s="4">
        <v>461</v>
      </c>
      <c r="B30" s="2">
        <v>279059881</v>
      </c>
      <c r="C30" s="2">
        <v>122489.79</v>
      </c>
      <c r="D30" s="4" t="s">
        <v>130</v>
      </c>
      <c r="E30" s="2">
        <v>278937391.20999998</v>
      </c>
      <c r="F30" s="2">
        <v>52998104.329999998</v>
      </c>
      <c r="G30" s="2">
        <v>6932537.04</v>
      </c>
      <c r="H30" s="4">
        <v>0</v>
      </c>
      <c r="I30" s="4">
        <v>0</v>
      </c>
      <c r="J30" s="4">
        <v>6932537.04</v>
      </c>
      <c r="K30" s="4">
        <v>325002958.5</v>
      </c>
      <c r="L30" s="4" t="s">
        <v>128</v>
      </c>
      <c r="M30" s="4" t="s">
        <v>129</v>
      </c>
      <c r="N30" s="4" t="s">
        <v>104</v>
      </c>
      <c r="O30" s="4" t="s">
        <v>105</v>
      </c>
      <c r="P30" s="4" t="s">
        <v>105</v>
      </c>
      <c r="Q30" s="8" t="s">
        <v>28</v>
      </c>
      <c r="R30" s="9">
        <f t="shared" si="0"/>
        <v>4.8936002116720867E-3</v>
      </c>
      <c r="S30" s="55">
        <f>Tabla3[[#This Row],[Subtotal]]/12</f>
        <v>23244782.60083333</v>
      </c>
      <c r="T30" s="54"/>
    </row>
    <row r="31" spans="1:20" x14ac:dyDescent="0.2">
      <c r="A31" s="4">
        <v>1020</v>
      </c>
      <c r="B31" s="2">
        <v>277670319</v>
      </c>
      <c r="C31" s="2">
        <v>0</v>
      </c>
      <c r="D31" s="4" t="s">
        <v>133</v>
      </c>
      <c r="E31" s="2">
        <v>277670319</v>
      </c>
      <c r="F31" s="2">
        <v>52757360.609999999</v>
      </c>
      <c r="G31" s="2">
        <v>6936905.9000000004</v>
      </c>
      <c r="H31" s="4">
        <v>0</v>
      </c>
      <c r="I31" s="4">
        <v>0</v>
      </c>
      <c r="J31" s="4">
        <v>6936905.9000000004</v>
      </c>
      <c r="K31" s="4">
        <v>323490773.70999998</v>
      </c>
      <c r="L31" s="4" t="s">
        <v>131</v>
      </c>
      <c r="M31" s="4" t="s">
        <v>132</v>
      </c>
      <c r="N31" s="4" t="s">
        <v>32</v>
      </c>
      <c r="O31" s="4" t="s">
        <v>33</v>
      </c>
      <c r="P31" s="4" t="s">
        <v>33</v>
      </c>
      <c r="Q31" s="8" t="s">
        <v>28</v>
      </c>
      <c r="R31" s="9">
        <f t="shared" si="0"/>
        <v>4.8713710483169609E-3</v>
      </c>
      <c r="S31" s="55">
        <f>Tabla3[[#This Row],[Subtotal]]/12</f>
        <v>23139193.25</v>
      </c>
      <c r="T31" s="54"/>
    </row>
    <row r="32" spans="1:20" x14ac:dyDescent="0.2">
      <c r="A32" s="4">
        <v>678</v>
      </c>
      <c r="B32" s="2">
        <v>272121022</v>
      </c>
      <c r="C32" s="2">
        <v>0</v>
      </c>
      <c r="D32" s="4" t="s">
        <v>135</v>
      </c>
      <c r="E32" s="2">
        <v>272121022</v>
      </c>
      <c r="F32" s="2">
        <v>51702994.18</v>
      </c>
      <c r="G32" s="2">
        <v>6803025.5800000001</v>
      </c>
      <c r="H32" s="4">
        <v>0</v>
      </c>
      <c r="I32" s="4">
        <v>0</v>
      </c>
      <c r="J32" s="4">
        <v>6803025.5800000001</v>
      </c>
      <c r="K32" s="4">
        <v>317020990.60000002</v>
      </c>
      <c r="L32" s="4" t="s">
        <v>134</v>
      </c>
      <c r="M32" s="4" t="s">
        <v>30</v>
      </c>
      <c r="N32" s="4" t="s">
        <v>83</v>
      </c>
      <c r="O32" s="4" t="s">
        <v>84</v>
      </c>
      <c r="P32" s="4" t="s">
        <v>84</v>
      </c>
      <c r="Q32" s="8" t="s">
        <v>28</v>
      </c>
      <c r="R32" s="9">
        <f t="shared" si="0"/>
        <v>4.7740157211733627E-3</v>
      </c>
      <c r="S32" s="55">
        <f>Tabla3[[#This Row],[Subtotal]]/12</f>
        <v>22676751.833333332</v>
      </c>
      <c r="T32" s="54"/>
    </row>
    <row r="33" spans="1:20" x14ac:dyDescent="0.2">
      <c r="A33" s="4">
        <v>389</v>
      </c>
      <c r="B33" s="2">
        <v>271818935</v>
      </c>
      <c r="C33" s="2">
        <v>0</v>
      </c>
      <c r="D33" s="4" t="s">
        <v>138</v>
      </c>
      <c r="E33" s="2">
        <v>271818935</v>
      </c>
      <c r="F33" s="2">
        <v>51645597.649999999</v>
      </c>
      <c r="G33" s="2">
        <v>6795473.3899999997</v>
      </c>
      <c r="H33" s="4">
        <v>7746839.6600000001</v>
      </c>
      <c r="I33" s="4">
        <v>0</v>
      </c>
      <c r="J33" s="4">
        <v>14542313.050000001</v>
      </c>
      <c r="K33" s="4">
        <v>308922219.60000002</v>
      </c>
      <c r="L33" s="4" t="s">
        <v>136</v>
      </c>
      <c r="M33" s="4" t="s">
        <v>137</v>
      </c>
      <c r="N33" s="4" t="s">
        <v>32</v>
      </c>
      <c r="O33" s="4" t="s">
        <v>33</v>
      </c>
      <c r="P33" s="4" t="s">
        <v>33</v>
      </c>
      <c r="Q33" s="8" t="s">
        <v>22</v>
      </c>
      <c r="R33" s="9">
        <f t="shared" si="0"/>
        <v>4.7687159906469869E-3</v>
      </c>
      <c r="S33" s="55">
        <f>Tabla3[[#This Row],[Subtotal]]/12</f>
        <v>22651577.916666668</v>
      </c>
      <c r="T33" s="54"/>
    </row>
    <row r="34" spans="1:20" x14ac:dyDescent="0.2">
      <c r="A34" s="4">
        <v>395</v>
      </c>
      <c r="B34" s="2">
        <v>264242555</v>
      </c>
      <c r="C34" s="2">
        <v>0</v>
      </c>
      <c r="D34" s="4" t="s">
        <v>141</v>
      </c>
      <c r="E34" s="2">
        <v>264242555</v>
      </c>
      <c r="F34" s="2">
        <v>50206085.450000003</v>
      </c>
      <c r="G34" s="2">
        <v>9248489.4299999997</v>
      </c>
      <c r="H34" s="4">
        <v>7530912.8099999996</v>
      </c>
      <c r="I34" s="4">
        <v>2340492.34</v>
      </c>
      <c r="J34" s="4">
        <v>19119894.579999998</v>
      </c>
      <c r="K34" s="4">
        <v>295328745.87</v>
      </c>
      <c r="L34" s="4" t="s">
        <v>139</v>
      </c>
      <c r="M34" s="4" t="s">
        <v>140</v>
      </c>
      <c r="N34" s="4" t="s">
        <v>142</v>
      </c>
      <c r="O34" s="4" t="s">
        <v>143</v>
      </c>
      <c r="P34" s="4" t="s">
        <v>143</v>
      </c>
      <c r="Q34" s="8" t="s">
        <v>144</v>
      </c>
      <c r="R34" s="9">
        <f t="shared" ref="R34:R66" si="1">E34/$E$1757</f>
        <v>4.6357980816822634E-3</v>
      </c>
      <c r="S34" s="55">
        <f>Tabla3[[#This Row],[Subtotal]]/12</f>
        <v>22020212.916666668</v>
      </c>
      <c r="T34" s="54"/>
    </row>
    <row r="35" spans="1:20" x14ac:dyDescent="0.2">
      <c r="A35" s="4">
        <v>30</v>
      </c>
      <c r="B35" s="2">
        <v>253138680</v>
      </c>
      <c r="C35" s="2">
        <v>0</v>
      </c>
      <c r="D35" s="4" t="s">
        <v>147</v>
      </c>
      <c r="E35" s="2">
        <v>253138680</v>
      </c>
      <c r="F35" s="2">
        <v>48096349.200000003</v>
      </c>
      <c r="G35" s="2">
        <v>6328467.0099999998</v>
      </c>
      <c r="H35" s="4">
        <v>7214452.3899999997</v>
      </c>
      <c r="I35" s="4">
        <v>0</v>
      </c>
      <c r="J35" s="4">
        <v>13542919.4</v>
      </c>
      <c r="K35" s="4">
        <v>287692109.80000001</v>
      </c>
      <c r="L35" s="4" t="s">
        <v>145</v>
      </c>
      <c r="M35" s="4" t="s">
        <v>146</v>
      </c>
      <c r="N35" s="4" t="s">
        <v>104</v>
      </c>
      <c r="O35" s="4" t="s">
        <v>105</v>
      </c>
      <c r="P35" s="4" t="s">
        <v>105</v>
      </c>
      <c r="Q35" s="8" t="s">
        <v>28</v>
      </c>
      <c r="R35" s="9">
        <f t="shared" si="1"/>
        <v>4.440994778996064E-3</v>
      </c>
      <c r="S35" s="55">
        <f>Tabla3[[#This Row],[Subtotal]]/12</f>
        <v>21094890</v>
      </c>
      <c r="T35" s="54"/>
    </row>
    <row r="36" spans="1:20" x14ac:dyDescent="0.2">
      <c r="A36" s="4">
        <v>597</v>
      </c>
      <c r="B36" s="2">
        <v>255570389.63999999</v>
      </c>
      <c r="C36" s="2">
        <v>2634473.19</v>
      </c>
      <c r="D36" s="4" t="s">
        <v>150</v>
      </c>
      <c r="E36" s="2">
        <v>252935916.44999999</v>
      </c>
      <c r="F36" s="2">
        <v>48057824.130000003</v>
      </c>
      <c r="G36" s="2">
        <v>5580234.9000000004</v>
      </c>
      <c r="H36" s="4">
        <v>0</v>
      </c>
      <c r="I36" s="4">
        <v>0</v>
      </c>
      <c r="J36" s="4">
        <v>5580234.9000000004</v>
      </c>
      <c r="K36" s="4">
        <v>295413505.68000001</v>
      </c>
      <c r="L36" s="4" t="s">
        <v>148</v>
      </c>
      <c r="M36" s="4" t="s">
        <v>149</v>
      </c>
      <c r="N36" s="4" t="s">
        <v>58</v>
      </c>
      <c r="O36" s="4" t="s">
        <v>59</v>
      </c>
      <c r="P36" s="4" t="s">
        <v>59</v>
      </c>
      <c r="Q36" s="8" t="s">
        <v>100</v>
      </c>
      <c r="R36" s="9">
        <f t="shared" si="1"/>
        <v>4.4374375515232782E-3</v>
      </c>
      <c r="S36" s="55">
        <f>Tabla3[[#This Row],[Subtotal]]/12</f>
        <v>21077993.037499998</v>
      </c>
      <c r="T36" s="54"/>
    </row>
    <row r="37" spans="1:20" x14ac:dyDescent="0.2">
      <c r="A37" s="4">
        <v>268</v>
      </c>
      <c r="B37" s="2">
        <v>251794417.93000001</v>
      </c>
      <c r="C37" s="2">
        <v>0</v>
      </c>
      <c r="D37" s="4" t="s">
        <v>152</v>
      </c>
      <c r="E37" s="2">
        <v>251794417.93000001</v>
      </c>
      <c r="F37" s="2">
        <v>47840939.380000003</v>
      </c>
      <c r="G37" s="2">
        <v>6294860.4699999997</v>
      </c>
      <c r="H37" s="4">
        <v>7176140.9199999999</v>
      </c>
      <c r="I37" s="4">
        <v>0</v>
      </c>
      <c r="J37" s="4">
        <v>13471001.390000001</v>
      </c>
      <c r="K37" s="4">
        <v>286164355.92000002</v>
      </c>
      <c r="L37" s="4" t="s">
        <v>151</v>
      </c>
      <c r="M37" s="4" t="s">
        <v>110</v>
      </c>
      <c r="N37" s="4" t="s">
        <v>20</v>
      </c>
      <c r="O37" s="4" t="s">
        <v>21</v>
      </c>
      <c r="P37" s="4" t="s">
        <v>21</v>
      </c>
      <c r="Q37" s="8" t="s">
        <v>22</v>
      </c>
      <c r="R37" s="9">
        <f t="shared" si="1"/>
        <v>4.4174114181502527E-3</v>
      </c>
      <c r="S37" s="55">
        <f>Tabla3[[#This Row],[Subtotal]]/12</f>
        <v>20982868.160833333</v>
      </c>
      <c r="T37" s="54"/>
    </row>
    <row r="38" spans="1:20" x14ac:dyDescent="0.2">
      <c r="A38" s="4">
        <v>1688</v>
      </c>
      <c r="B38" s="2">
        <v>245263276</v>
      </c>
      <c r="C38" s="2">
        <v>0</v>
      </c>
      <c r="D38" s="4" t="s">
        <v>155</v>
      </c>
      <c r="E38" s="2">
        <v>245263276</v>
      </c>
      <c r="F38" s="2">
        <v>46600022.439999998</v>
      </c>
      <c r="G38" s="2">
        <v>6127790.54</v>
      </c>
      <c r="H38" s="4">
        <v>0</v>
      </c>
      <c r="I38" s="4">
        <v>0</v>
      </c>
      <c r="J38" s="4">
        <v>6127790.54</v>
      </c>
      <c r="K38" s="4">
        <v>285735507.89999998</v>
      </c>
      <c r="L38" s="4" t="s">
        <v>153</v>
      </c>
      <c r="M38" s="4" t="s">
        <v>154</v>
      </c>
      <c r="N38" s="4" t="s">
        <v>156</v>
      </c>
      <c r="O38" s="4" t="s">
        <v>67</v>
      </c>
      <c r="P38" s="4" t="s">
        <v>67</v>
      </c>
      <c r="Q38" s="8" t="s">
        <v>28</v>
      </c>
      <c r="R38" s="9">
        <f t="shared" si="1"/>
        <v>4.302830875927261E-3</v>
      </c>
      <c r="S38" s="55">
        <f>Tabla3[[#This Row],[Subtotal]]/12</f>
        <v>20438606.333333332</v>
      </c>
      <c r="T38" s="54"/>
    </row>
    <row r="39" spans="1:20" x14ac:dyDescent="0.2">
      <c r="A39" s="4">
        <v>1693</v>
      </c>
      <c r="B39" s="2">
        <v>243725173.16</v>
      </c>
      <c r="C39" s="2">
        <v>9749006.9299999997</v>
      </c>
      <c r="D39" s="4" t="s">
        <v>158</v>
      </c>
      <c r="E39" s="2">
        <v>233976166.22999999</v>
      </c>
      <c r="F39" s="2">
        <v>0</v>
      </c>
      <c r="G39" s="2">
        <v>0</v>
      </c>
      <c r="H39" s="4">
        <v>0</v>
      </c>
      <c r="I39" s="4">
        <v>0</v>
      </c>
      <c r="J39" s="4">
        <v>0</v>
      </c>
      <c r="K39" s="4">
        <v>233976166.22999999</v>
      </c>
      <c r="L39" s="4" t="s">
        <v>157</v>
      </c>
      <c r="M39" s="4" t="s">
        <v>157</v>
      </c>
      <c r="N39" s="4" t="s">
        <v>159</v>
      </c>
      <c r="O39" s="4" t="s">
        <v>160</v>
      </c>
      <c r="P39" s="4" t="s">
        <v>160</v>
      </c>
      <c r="Q39" s="8" t="s">
        <v>100</v>
      </c>
      <c r="R39" s="9">
        <f t="shared" si="1"/>
        <v>4.1048129532671391E-3</v>
      </c>
      <c r="S39" s="55">
        <f>Tabla3[[#This Row],[Subtotal]]/12</f>
        <v>19498013.852499999</v>
      </c>
      <c r="T39" s="54"/>
    </row>
    <row r="40" spans="1:20" x14ac:dyDescent="0.2">
      <c r="A40" s="4">
        <v>323</v>
      </c>
      <c r="B40" s="2">
        <v>231266946</v>
      </c>
      <c r="C40" s="2">
        <v>132322.5</v>
      </c>
      <c r="D40" s="4" t="s">
        <v>162</v>
      </c>
      <c r="E40" s="2">
        <v>231134623.5</v>
      </c>
      <c r="F40" s="2">
        <v>43915578.469999999</v>
      </c>
      <c r="G40" s="2">
        <v>5182307.87</v>
      </c>
      <c r="H40" s="4">
        <v>0</v>
      </c>
      <c r="I40" s="4">
        <v>0</v>
      </c>
      <c r="J40" s="4">
        <v>5182307.87</v>
      </c>
      <c r="K40" s="4">
        <v>269867894.10000002</v>
      </c>
      <c r="L40" s="4" t="s">
        <v>161</v>
      </c>
      <c r="M40" s="4" t="s">
        <v>107</v>
      </c>
      <c r="N40" s="4" t="s">
        <v>20</v>
      </c>
      <c r="O40" s="4" t="s">
        <v>21</v>
      </c>
      <c r="P40" s="4" t="s">
        <v>21</v>
      </c>
      <c r="Q40" s="8" t="s">
        <v>28</v>
      </c>
      <c r="R40" s="9">
        <f t="shared" si="1"/>
        <v>4.0549617158812754E-3</v>
      </c>
      <c r="S40" s="55">
        <f>Tabla3[[#This Row],[Subtotal]]/12</f>
        <v>19261218.625</v>
      </c>
      <c r="T40" s="54"/>
    </row>
    <row r="41" spans="1:20" x14ac:dyDescent="0.2">
      <c r="A41" s="4">
        <v>1097</v>
      </c>
      <c r="B41" s="2">
        <v>239264929</v>
      </c>
      <c r="C41" s="2">
        <v>8505662.9800000004</v>
      </c>
      <c r="D41" s="4" t="s">
        <v>164</v>
      </c>
      <c r="E41" s="2">
        <v>230759266.02000001</v>
      </c>
      <c r="F41" s="2">
        <v>43844260.57</v>
      </c>
      <c r="G41" s="2">
        <v>5768981.6600000001</v>
      </c>
      <c r="H41" s="4">
        <v>0</v>
      </c>
      <c r="I41" s="4">
        <v>0</v>
      </c>
      <c r="J41" s="4">
        <v>5768981.6600000001</v>
      </c>
      <c r="K41" s="4">
        <v>268834544.93000001</v>
      </c>
      <c r="L41" s="4" t="s">
        <v>163</v>
      </c>
      <c r="M41" s="4" t="s">
        <v>18</v>
      </c>
      <c r="N41" s="4" t="s">
        <v>20</v>
      </c>
      <c r="O41" s="4" t="s">
        <v>21</v>
      </c>
      <c r="P41" s="4" t="s">
        <v>21</v>
      </c>
      <c r="Q41" s="8" t="s">
        <v>22</v>
      </c>
      <c r="R41" s="9">
        <f t="shared" si="1"/>
        <v>4.0483765483796622E-3</v>
      </c>
      <c r="S41" s="55">
        <f>Tabla3[[#This Row],[Subtotal]]/12</f>
        <v>19229938.835000001</v>
      </c>
      <c r="T41" s="54"/>
    </row>
    <row r="42" spans="1:20" x14ac:dyDescent="0.2">
      <c r="A42" s="4">
        <v>901</v>
      </c>
      <c r="B42" s="2">
        <v>226986247</v>
      </c>
      <c r="C42" s="2">
        <v>846767.73</v>
      </c>
      <c r="D42" s="4" t="s">
        <v>166</v>
      </c>
      <c r="E42" s="2">
        <v>226139479.27000001</v>
      </c>
      <c r="F42" s="2">
        <v>42966501.060000002</v>
      </c>
      <c r="G42" s="2">
        <v>5367566.55</v>
      </c>
      <c r="H42" s="4">
        <v>6119025.8300000001</v>
      </c>
      <c r="I42" s="4">
        <v>0</v>
      </c>
      <c r="J42" s="4">
        <v>11486592.380000001</v>
      </c>
      <c r="K42" s="4">
        <v>257619387.94999999</v>
      </c>
      <c r="L42" s="4" t="s">
        <v>165</v>
      </c>
      <c r="M42" s="4" t="s">
        <v>95</v>
      </c>
      <c r="N42" s="4" t="s">
        <v>104</v>
      </c>
      <c r="O42" s="4" t="s">
        <v>105</v>
      </c>
      <c r="P42" s="4" t="s">
        <v>105</v>
      </c>
      <c r="Q42" s="8" t="s">
        <v>28</v>
      </c>
      <c r="R42" s="9">
        <f t="shared" si="1"/>
        <v>3.9673282912076448E-3</v>
      </c>
      <c r="S42" s="55">
        <f>Tabla3[[#This Row],[Subtotal]]/12</f>
        <v>18844956.605833333</v>
      </c>
      <c r="T42" s="54"/>
    </row>
    <row r="43" spans="1:20" x14ac:dyDescent="0.2">
      <c r="A43" s="4">
        <v>1687</v>
      </c>
      <c r="B43" s="2">
        <v>221523626</v>
      </c>
      <c r="C43" s="2">
        <v>0</v>
      </c>
      <c r="D43" s="4" t="s">
        <v>168</v>
      </c>
      <c r="E43" s="2">
        <v>221523626</v>
      </c>
      <c r="F43" s="2">
        <v>42089488.939999998</v>
      </c>
      <c r="G43" s="2">
        <v>5538090.7000000002</v>
      </c>
      <c r="H43" s="4">
        <v>0</v>
      </c>
      <c r="I43" s="4">
        <v>0</v>
      </c>
      <c r="J43" s="4">
        <v>5538090.7000000002</v>
      </c>
      <c r="K43" s="4">
        <v>258075024.24000001</v>
      </c>
      <c r="L43" s="4" t="s">
        <v>167</v>
      </c>
      <c r="M43" s="4" t="s">
        <v>154</v>
      </c>
      <c r="N43" s="4" t="s">
        <v>66</v>
      </c>
      <c r="O43" s="4" t="s">
        <v>67</v>
      </c>
      <c r="P43" s="4" t="s">
        <v>67</v>
      </c>
      <c r="Q43" s="8" t="s">
        <v>28</v>
      </c>
      <c r="R43" s="9">
        <f t="shared" si="1"/>
        <v>3.8863490419175639E-3</v>
      </c>
      <c r="S43" s="55">
        <f>Tabla3[[#This Row],[Subtotal]]/12</f>
        <v>18460302.166666668</v>
      </c>
    </row>
    <row r="44" spans="1:20" x14ac:dyDescent="0.2">
      <c r="A44" s="4">
        <v>1384</v>
      </c>
      <c r="B44" s="2">
        <v>220983096</v>
      </c>
      <c r="C44" s="2">
        <v>1513753.17</v>
      </c>
      <c r="D44" s="4" t="s">
        <v>171</v>
      </c>
      <c r="E44" s="2">
        <v>219469342.83000001</v>
      </c>
      <c r="F44" s="2">
        <v>41699175.149999999</v>
      </c>
      <c r="G44" s="2">
        <v>5486733.6100000003</v>
      </c>
      <c r="H44" s="4">
        <v>0</v>
      </c>
      <c r="I44" s="4">
        <v>0</v>
      </c>
      <c r="J44" s="4">
        <v>5486733.6100000003</v>
      </c>
      <c r="K44" s="4">
        <v>255681784.37</v>
      </c>
      <c r="L44" s="4" t="s">
        <v>169</v>
      </c>
      <c r="M44" s="4" t="s">
        <v>170</v>
      </c>
      <c r="N44" s="4" t="s">
        <v>172</v>
      </c>
      <c r="O44" s="4" t="s">
        <v>173</v>
      </c>
      <c r="P44" s="4" t="s">
        <v>173</v>
      </c>
      <c r="Q44" s="8" t="s">
        <v>28</v>
      </c>
      <c r="R44" s="9">
        <f t="shared" si="1"/>
        <v>3.8503092678595281E-3</v>
      </c>
      <c r="S44" s="55">
        <f>Tabla3[[#This Row],[Subtotal]]/12</f>
        <v>18289111.9025</v>
      </c>
    </row>
    <row r="45" spans="1:20" x14ac:dyDescent="0.2">
      <c r="A45" s="4">
        <v>914</v>
      </c>
      <c r="B45" s="2">
        <v>212041048</v>
      </c>
      <c r="C45" s="2">
        <v>0</v>
      </c>
      <c r="D45" s="4" t="s">
        <v>176</v>
      </c>
      <c r="E45" s="2">
        <v>212041048</v>
      </c>
      <c r="F45" s="2">
        <v>40287799.119999997</v>
      </c>
      <c r="G45" s="2">
        <v>5301026.24</v>
      </c>
      <c r="H45" s="4">
        <v>6043169.8700000001</v>
      </c>
      <c r="I45" s="4">
        <v>0</v>
      </c>
      <c r="J45" s="4">
        <v>11344196.109999999</v>
      </c>
      <c r="K45" s="4">
        <v>240984651.00999999</v>
      </c>
      <c r="L45" s="4" t="s">
        <v>174</v>
      </c>
      <c r="M45" s="4" t="s">
        <v>175</v>
      </c>
      <c r="N45" s="4" t="s">
        <v>32</v>
      </c>
      <c r="O45" s="4" t="s">
        <v>33</v>
      </c>
      <c r="P45" s="4" t="s">
        <v>33</v>
      </c>
      <c r="Q45" s="8" t="s">
        <v>28</v>
      </c>
      <c r="R45" s="9">
        <f t="shared" si="1"/>
        <v>3.7199893240371399E-3</v>
      </c>
      <c r="S45" s="55">
        <f>Tabla3[[#This Row],[Subtotal]]/12</f>
        <v>17670087.333333332</v>
      </c>
    </row>
    <row r="46" spans="1:20" x14ac:dyDescent="0.2">
      <c r="A46" s="4">
        <v>1036</v>
      </c>
      <c r="B46" s="2">
        <v>211240256</v>
      </c>
      <c r="C46" s="2">
        <v>0</v>
      </c>
      <c r="D46" s="4" t="s">
        <v>179</v>
      </c>
      <c r="E46" s="2">
        <v>211240256</v>
      </c>
      <c r="F46" s="2">
        <v>40135648.640000001</v>
      </c>
      <c r="G46" s="2">
        <v>5281006.41</v>
      </c>
      <c r="H46" s="4">
        <v>6020347.29</v>
      </c>
      <c r="I46" s="4">
        <v>1267441.54</v>
      </c>
      <c r="J46" s="4">
        <v>12568795.24</v>
      </c>
      <c r="K46" s="4">
        <v>238807109.40000001</v>
      </c>
      <c r="L46" s="4" t="s">
        <v>177</v>
      </c>
      <c r="M46" s="4" t="s">
        <v>178</v>
      </c>
      <c r="N46" s="4" t="s">
        <v>58</v>
      </c>
      <c r="O46" s="4" t="s">
        <v>59</v>
      </c>
      <c r="P46" s="4" t="s">
        <v>59</v>
      </c>
      <c r="Q46" s="8" t="s">
        <v>28</v>
      </c>
      <c r="R46" s="9">
        <f t="shared" si="1"/>
        <v>3.7059404513359712E-3</v>
      </c>
      <c r="S46" s="55">
        <f>Tabla3[[#This Row],[Subtotal]]/12</f>
        <v>17603354.666666668</v>
      </c>
    </row>
    <row r="47" spans="1:20" x14ac:dyDescent="0.2">
      <c r="A47" s="4">
        <v>994</v>
      </c>
      <c r="B47" s="2">
        <v>210922700</v>
      </c>
      <c r="C47" s="2">
        <v>0</v>
      </c>
      <c r="D47" s="4" t="s">
        <v>182</v>
      </c>
      <c r="E47" s="2">
        <v>210922700</v>
      </c>
      <c r="F47" s="2">
        <v>40075313</v>
      </c>
      <c r="G47" s="2">
        <v>5262727.03</v>
      </c>
      <c r="H47" s="4">
        <v>0</v>
      </c>
      <c r="I47" s="4">
        <v>0</v>
      </c>
      <c r="J47" s="4">
        <v>5262727.03</v>
      </c>
      <c r="K47" s="4">
        <v>245735285.97</v>
      </c>
      <c r="L47" s="4" t="s">
        <v>180</v>
      </c>
      <c r="M47" s="4" t="s">
        <v>181</v>
      </c>
      <c r="N47" s="4" t="s">
        <v>41</v>
      </c>
      <c r="O47" s="4" t="s">
        <v>42</v>
      </c>
      <c r="P47" s="4" t="s">
        <v>42</v>
      </c>
      <c r="Q47" s="8" t="s">
        <v>22</v>
      </c>
      <c r="R47" s="9">
        <f t="shared" si="1"/>
        <v>3.7003693369648334E-3</v>
      </c>
      <c r="S47" s="55">
        <f>Tabla3[[#This Row],[Subtotal]]/12</f>
        <v>17576891.666666668</v>
      </c>
    </row>
    <row r="48" spans="1:20" x14ac:dyDescent="0.2">
      <c r="A48" s="4">
        <v>1699</v>
      </c>
      <c r="B48" s="2">
        <v>209359655</v>
      </c>
      <c r="C48" s="2">
        <v>0</v>
      </c>
      <c r="D48" s="4" t="s">
        <v>185</v>
      </c>
      <c r="E48" s="2">
        <v>209359655</v>
      </c>
      <c r="F48" s="2">
        <v>39778334.450000003</v>
      </c>
      <c r="G48" s="2">
        <v>5233991.45</v>
      </c>
      <c r="H48" s="4">
        <v>0</v>
      </c>
      <c r="I48" s="4">
        <v>0</v>
      </c>
      <c r="J48" s="4">
        <v>5233991.45</v>
      </c>
      <c r="K48" s="4">
        <v>243903998</v>
      </c>
      <c r="L48" s="4" t="s">
        <v>183</v>
      </c>
      <c r="M48" s="4" t="s">
        <v>184</v>
      </c>
      <c r="N48" s="4" t="s">
        <v>186</v>
      </c>
      <c r="O48" s="4" t="s">
        <v>59</v>
      </c>
      <c r="P48" s="4" t="s">
        <v>59</v>
      </c>
      <c r="Q48" s="8" t="s">
        <v>28</v>
      </c>
      <c r="R48" s="9">
        <f t="shared" si="1"/>
        <v>3.6729477090874348E-3</v>
      </c>
      <c r="S48" s="55">
        <f>Tabla3[[#This Row],[Subtotal]]/12</f>
        <v>17446637.916666668</v>
      </c>
    </row>
    <row r="49" spans="1:20" x14ac:dyDescent="0.2">
      <c r="A49" s="4">
        <v>924</v>
      </c>
      <c r="B49" s="2">
        <v>205167666</v>
      </c>
      <c r="C49" s="2">
        <v>0</v>
      </c>
      <c r="D49" s="4" t="s">
        <v>189</v>
      </c>
      <c r="E49" s="2">
        <v>205167666</v>
      </c>
      <c r="F49" s="2">
        <v>38981856.539999999</v>
      </c>
      <c r="G49" s="2">
        <v>5127202.45</v>
      </c>
      <c r="H49" s="4">
        <v>0</v>
      </c>
      <c r="I49" s="4">
        <v>0</v>
      </c>
      <c r="J49" s="4">
        <v>5127202.45</v>
      </c>
      <c r="K49" s="4">
        <v>239022320.09</v>
      </c>
      <c r="L49" s="4" t="s">
        <v>187</v>
      </c>
      <c r="M49" s="4" t="s">
        <v>188</v>
      </c>
      <c r="N49" s="4" t="s">
        <v>156</v>
      </c>
      <c r="O49" s="4" t="s">
        <v>67</v>
      </c>
      <c r="P49" s="4" t="s">
        <v>67</v>
      </c>
      <c r="Q49" s="8" t="s">
        <v>28</v>
      </c>
      <c r="R49" s="9">
        <f t="shared" si="1"/>
        <v>3.5994046169665114E-3</v>
      </c>
      <c r="S49" s="55">
        <f>Tabla3[[#This Row],[Subtotal]]/12</f>
        <v>17097305.5</v>
      </c>
    </row>
    <row r="50" spans="1:20" x14ac:dyDescent="0.2">
      <c r="A50" s="4">
        <v>902</v>
      </c>
      <c r="B50" s="2">
        <v>203665934</v>
      </c>
      <c r="C50" s="2">
        <v>707606.13</v>
      </c>
      <c r="D50" s="4" t="s">
        <v>191</v>
      </c>
      <c r="E50" s="2">
        <v>202958327.87</v>
      </c>
      <c r="F50" s="2">
        <v>38562082.299999997</v>
      </c>
      <c r="G50" s="2">
        <v>5073958.25</v>
      </c>
      <c r="H50" s="4">
        <v>5784312.3799999999</v>
      </c>
      <c r="I50" s="4">
        <v>0</v>
      </c>
      <c r="J50" s="4">
        <v>10858270.630000001</v>
      </c>
      <c r="K50" s="4">
        <v>230662139.53999999</v>
      </c>
      <c r="L50" s="4" t="s">
        <v>190</v>
      </c>
      <c r="M50" s="4" t="s">
        <v>95</v>
      </c>
      <c r="N50" s="4" t="s">
        <v>104</v>
      </c>
      <c r="O50" s="4" t="s">
        <v>105</v>
      </c>
      <c r="P50" s="4" t="s">
        <v>105</v>
      </c>
      <c r="Q50" s="8" t="s">
        <v>28</v>
      </c>
      <c r="R50" s="9">
        <f t="shared" si="1"/>
        <v>3.560644601703862E-3</v>
      </c>
      <c r="S50" s="55">
        <f>Tabla3[[#This Row],[Subtotal]]/12</f>
        <v>16913193.989166666</v>
      </c>
    </row>
    <row r="51" spans="1:20" x14ac:dyDescent="0.2">
      <c r="A51" s="4">
        <v>624</v>
      </c>
      <c r="B51" s="2">
        <v>194878466</v>
      </c>
      <c r="C51" s="2">
        <v>0</v>
      </c>
      <c r="D51" s="4" t="s">
        <v>194</v>
      </c>
      <c r="E51" s="2">
        <v>194878466</v>
      </c>
      <c r="F51" s="2">
        <v>37026908.539999999</v>
      </c>
      <c r="G51" s="2">
        <v>4871961.6900000004</v>
      </c>
      <c r="H51" s="4">
        <v>0</v>
      </c>
      <c r="I51" s="4">
        <v>0</v>
      </c>
      <c r="J51" s="4">
        <v>4871961.6900000004</v>
      </c>
      <c r="K51" s="4">
        <v>227033412.84999999</v>
      </c>
      <c r="L51" s="4" t="s">
        <v>192</v>
      </c>
      <c r="M51" s="4" t="s">
        <v>193</v>
      </c>
      <c r="N51" s="4" t="s">
        <v>195</v>
      </c>
      <c r="O51" s="4" t="s">
        <v>196</v>
      </c>
      <c r="P51" s="4" t="s">
        <v>196</v>
      </c>
      <c r="Q51" s="8" t="s">
        <v>22</v>
      </c>
      <c r="R51" s="9">
        <f t="shared" si="1"/>
        <v>3.418893746482213E-3</v>
      </c>
      <c r="S51" s="55">
        <f>Tabla3[[#This Row],[Subtotal]]/12</f>
        <v>16239872.166666666</v>
      </c>
    </row>
    <row r="52" spans="1:20" x14ac:dyDescent="0.2">
      <c r="A52" s="4">
        <v>1640</v>
      </c>
      <c r="B52" s="2">
        <v>199482504</v>
      </c>
      <c r="C52" s="2">
        <v>5733999.6799999997</v>
      </c>
      <c r="D52" s="4" t="s">
        <v>199</v>
      </c>
      <c r="E52" s="2">
        <v>193748504.31999999</v>
      </c>
      <c r="F52" s="2">
        <v>36812215.82</v>
      </c>
      <c r="G52" s="2">
        <v>4843712.5999999996</v>
      </c>
      <c r="H52" s="4">
        <v>0</v>
      </c>
      <c r="I52" s="4">
        <v>0</v>
      </c>
      <c r="J52" s="4">
        <v>4843712.5999999996</v>
      </c>
      <c r="K52" s="4">
        <v>225717007.53999999</v>
      </c>
      <c r="L52" s="4" t="s">
        <v>197</v>
      </c>
      <c r="M52" s="4" t="s">
        <v>198</v>
      </c>
      <c r="N52" s="4" t="s">
        <v>200</v>
      </c>
      <c r="O52" s="4" t="s">
        <v>201</v>
      </c>
      <c r="P52" s="4" t="s">
        <v>201</v>
      </c>
      <c r="Q52" s="8" t="s">
        <v>28</v>
      </c>
      <c r="R52" s="9">
        <f t="shared" si="1"/>
        <v>3.3990700122297247E-3</v>
      </c>
      <c r="S52" s="55">
        <f>Tabla3[[#This Row],[Subtotal]]/12</f>
        <v>16145708.693333333</v>
      </c>
    </row>
    <row r="53" spans="1:20" x14ac:dyDescent="0.2">
      <c r="A53" s="4">
        <v>6</v>
      </c>
      <c r="B53" s="2">
        <v>184959631</v>
      </c>
      <c r="C53" s="2">
        <v>0</v>
      </c>
      <c r="D53" s="4" t="s">
        <v>204</v>
      </c>
      <c r="E53" s="2">
        <v>184959631</v>
      </c>
      <c r="F53" s="2">
        <v>0</v>
      </c>
      <c r="G53" s="2">
        <v>4502993.1100000003</v>
      </c>
      <c r="H53" s="4">
        <v>0</v>
      </c>
      <c r="I53" s="4">
        <v>0</v>
      </c>
      <c r="J53" s="4">
        <v>4502993.1100000003</v>
      </c>
      <c r="K53" s="4">
        <v>180456637.88999999</v>
      </c>
      <c r="L53" s="4" t="s">
        <v>202</v>
      </c>
      <c r="M53" s="4" t="s">
        <v>203</v>
      </c>
      <c r="N53" s="4" t="s">
        <v>205</v>
      </c>
      <c r="O53" s="4" t="s">
        <v>206</v>
      </c>
      <c r="P53" s="4" t="s">
        <v>206</v>
      </c>
      <c r="Q53" s="8" t="s">
        <v>28</v>
      </c>
      <c r="R53" s="9">
        <f t="shared" si="1"/>
        <v>3.2448804568153654E-3</v>
      </c>
      <c r="S53" s="55">
        <f>Tabla3[[#This Row],[Subtotal]]/12</f>
        <v>15413302.583333334</v>
      </c>
    </row>
    <row r="54" spans="1:20" x14ac:dyDescent="0.2">
      <c r="A54" s="4">
        <v>1231</v>
      </c>
      <c r="B54" s="2">
        <v>183837321.40000001</v>
      </c>
      <c r="C54" s="2">
        <v>724400.4</v>
      </c>
      <c r="D54" s="4" t="s">
        <v>209</v>
      </c>
      <c r="E54" s="2">
        <v>183112921</v>
      </c>
      <c r="F54" s="2">
        <v>34791454.990000002</v>
      </c>
      <c r="G54" s="2">
        <v>0</v>
      </c>
      <c r="H54" s="4">
        <v>0</v>
      </c>
      <c r="I54" s="4">
        <v>0</v>
      </c>
      <c r="J54" s="4">
        <v>0</v>
      </c>
      <c r="K54" s="4">
        <v>217904375.99000001</v>
      </c>
      <c r="L54" s="4" t="s">
        <v>207</v>
      </c>
      <c r="M54" s="4" t="s">
        <v>208</v>
      </c>
      <c r="N54" s="4" t="s">
        <v>117</v>
      </c>
      <c r="O54" s="4" t="s">
        <v>93</v>
      </c>
      <c r="P54" s="4" t="s">
        <v>93</v>
      </c>
      <c r="Q54" s="8" t="s">
        <v>100</v>
      </c>
      <c r="R54" s="9">
        <f t="shared" si="1"/>
        <v>3.2124822888691634E-3</v>
      </c>
      <c r="S54" s="55">
        <f>Tabla3[[#This Row],[Subtotal]]/12</f>
        <v>15259410.083333334</v>
      </c>
    </row>
    <row r="55" spans="1:20" x14ac:dyDescent="0.2">
      <c r="A55" s="4">
        <v>898</v>
      </c>
      <c r="B55" s="2">
        <v>182487238</v>
      </c>
      <c r="C55" s="2">
        <v>981034.35</v>
      </c>
      <c r="D55" s="4" t="s">
        <v>211</v>
      </c>
      <c r="E55" s="2">
        <v>181506203.65000001</v>
      </c>
      <c r="F55" s="2">
        <v>34486178.700000003</v>
      </c>
      <c r="G55" s="2">
        <v>4537655.1500000004</v>
      </c>
      <c r="H55" s="4">
        <v>5172926.82</v>
      </c>
      <c r="I55" s="4">
        <v>0</v>
      </c>
      <c r="J55" s="4">
        <v>9710581.9700000007</v>
      </c>
      <c r="K55" s="4">
        <v>206281800.38</v>
      </c>
      <c r="L55" s="4" t="s">
        <v>210</v>
      </c>
      <c r="M55" s="4" t="s">
        <v>95</v>
      </c>
      <c r="N55" s="4" t="s">
        <v>212</v>
      </c>
      <c r="O55" s="4" t="s">
        <v>33</v>
      </c>
      <c r="P55" s="4" t="s">
        <v>33</v>
      </c>
      <c r="Q55" s="8" t="s">
        <v>28</v>
      </c>
      <c r="R55" s="9">
        <f t="shared" si="1"/>
        <v>3.1842944853984639E-3</v>
      </c>
      <c r="S55" s="55">
        <f>Tabla3[[#This Row],[Subtotal]]/12</f>
        <v>15125516.970833333</v>
      </c>
    </row>
    <row r="56" spans="1:20" x14ac:dyDescent="0.2">
      <c r="A56" s="4">
        <v>384</v>
      </c>
      <c r="B56" s="2">
        <v>181501748</v>
      </c>
      <c r="C56" s="2">
        <v>0</v>
      </c>
      <c r="D56" s="4" t="s">
        <v>214</v>
      </c>
      <c r="E56" s="2">
        <v>181501748</v>
      </c>
      <c r="F56" s="2">
        <v>34485332.119999997</v>
      </c>
      <c r="G56" s="2">
        <v>4487953.26</v>
      </c>
      <c r="H56" s="4">
        <v>5172799.84</v>
      </c>
      <c r="I56" s="4">
        <v>0</v>
      </c>
      <c r="J56" s="4">
        <v>9660753.0999999996</v>
      </c>
      <c r="K56" s="4">
        <v>206326327.02000001</v>
      </c>
      <c r="L56" s="4" t="s">
        <v>213</v>
      </c>
      <c r="M56" s="4" t="s">
        <v>137</v>
      </c>
      <c r="N56" s="4" t="s">
        <v>104</v>
      </c>
      <c r="O56" s="4" t="s">
        <v>105</v>
      </c>
      <c r="P56" s="4" t="s">
        <v>105</v>
      </c>
      <c r="Q56" s="8" t="s">
        <v>22</v>
      </c>
      <c r="R56" s="9">
        <f t="shared" si="1"/>
        <v>3.1842163167109007E-3</v>
      </c>
      <c r="S56" s="55">
        <f>Tabla3[[#This Row],[Subtotal]]/12</f>
        <v>15125145.666666666</v>
      </c>
      <c r="T56" s="54"/>
    </row>
    <row r="57" spans="1:20" x14ac:dyDescent="0.2">
      <c r="A57" s="4">
        <v>980</v>
      </c>
      <c r="B57" s="2">
        <v>178890587</v>
      </c>
      <c r="C57" s="2">
        <v>0</v>
      </c>
      <c r="D57" s="4" t="s">
        <v>217</v>
      </c>
      <c r="E57" s="2">
        <v>178890587</v>
      </c>
      <c r="F57" s="2">
        <v>33989211.530000001</v>
      </c>
      <c r="G57" s="2">
        <v>4472264.72</v>
      </c>
      <c r="H57" s="4">
        <v>0</v>
      </c>
      <c r="I57" s="4">
        <v>0</v>
      </c>
      <c r="J57" s="4">
        <v>4472264.72</v>
      </c>
      <c r="K57" s="4">
        <v>208407533.81</v>
      </c>
      <c r="L57" s="4" t="s">
        <v>215</v>
      </c>
      <c r="M57" s="4" t="s">
        <v>216</v>
      </c>
      <c r="N57" s="4" t="s">
        <v>218</v>
      </c>
      <c r="O57" s="4" t="s">
        <v>196</v>
      </c>
      <c r="P57" s="4" t="s">
        <v>196</v>
      </c>
      <c r="Q57" s="8" t="s">
        <v>22</v>
      </c>
      <c r="R57" s="9">
        <f t="shared" si="1"/>
        <v>3.1384068324862135E-3</v>
      </c>
      <c r="S57" s="55">
        <f>Tabla3[[#This Row],[Subtotal]]/12</f>
        <v>14907548.916666666</v>
      </c>
    </row>
    <row r="58" spans="1:20" x14ac:dyDescent="0.2">
      <c r="A58" s="4">
        <v>909</v>
      </c>
      <c r="B58" s="2">
        <v>178132981</v>
      </c>
      <c r="C58" s="2">
        <v>742820.88</v>
      </c>
      <c r="D58" s="4" t="s">
        <v>220</v>
      </c>
      <c r="E58" s="2">
        <v>177390160.12</v>
      </c>
      <c r="F58" s="2">
        <v>33704130.409999996</v>
      </c>
      <c r="G58" s="2">
        <v>4264937.97</v>
      </c>
      <c r="H58" s="4">
        <v>4862029.1900000004</v>
      </c>
      <c r="I58" s="4">
        <v>0</v>
      </c>
      <c r="J58" s="4">
        <v>9126967.1600000001</v>
      </c>
      <c r="K58" s="4">
        <v>201967323.37</v>
      </c>
      <c r="L58" s="4" t="s">
        <v>219</v>
      </c>
      <c r="M58" s="4" t="s">
        <v>95</v>
      </c>
      <c r="N58" s="4" t="s">
        <v>221</v>
      </c>
      <c r="O58" s="4" t="s">
        <v>33</v>
      </c>
      <c r="P58" s="4" t="s">
        <v>33</v>
      </c>
      <c r="Q58" s="8" t="s">
        <v>28</v>
      </c>
      <c r="R58" s="9">
        <f t="shared" si="1"/>
        <v>3.1120837595352709E-3</v>
      </c>
      <c r="S58" s="55">
        <f>Tabla3[[#This Row],[Subtotal]]/12</f>
        <v>14782513.343333334</v>
      </c>
    </row>
    <row r="59" spans="1:20" x14ac:dyDescent="0.2">
      <c r="A59" s="4">
        <v>1084</v>
      </c>
      <c r="B59" s="2">
        <v>175771556</v>
      </c>
      <c r="C59" s="2">
        <v>0</v>
      </c>
      <c r="D59" s="4" t="s">
        <v>224</v>
      </c>
      <c r="E59" s="2">
        <v>175771556</v>
      </c>
      <c r="F59" s="2">
        <v>33396595.640000001</v>
      </c>
      <c r="G59" s="2">
        <v>4107061.12</v>
      </c>
      <c r="H59" s="4">
        <v>0</v>
      </c>
      <c r="I59" s="4">
        <v>0</v>
      </c>
      <c r="J59" s="4">
        <v>4107061.12</v>
      </c>
      <c r="K59" s="4">
        <v>205061090.52000001</v>
      </c>
      <c r="L59" s="4" t="s">
        <v>222</v>
      </c>
      <c r="M59" s="4" t="s">
        <v>223</v>
      </c>
      <c r="N59" s="4" t="s">
        <v>117</v>
      </c>
      <c r="O59" s="4" t="s">
        <v>93</v>
      </c>
      <c r="P59" s="4" t="s">
        <v>93</v>
      </c>
      <c r="Q59" s="8" t="s">
        <v>100</v>
      </c>
      <c r="R59" s="9">
        <f t="shared" si="1"/>
        <v>3.0836874178691866E-3</v>
      </c>
      <c r="S59" s="55">
        <f>Tabla3[[#This Row],[Subtotal]]/12</f>
        <v>14647629.666666666</v>
      </c>
    </row>
    <row r="60" spans="1:20" x14ac:dyDescent="0.2">
      <c r="A60" s="4">
        <v>1586</v>
      </c>
      <c r="B60" s="2">
        <v>174834822</v>
      </c>
      <c r="C60" s="2">
        <v>0</v>
      </c>
      <c r="D60" s="4" t="s">
        <v>227</v>
      </c>
      <c r="E60" s="2">
        <v>174834822</v>
      </c>
      <c r="F60" s="2">
        <v>0</v>
      </c>
      <c r="G60" s="2">
        <v>4358512.37</v>
      </c>
      <c r="H60" s="4">
        <v>0</v>
      </c>
      <c r="I60" s="4">
        <v>0</v>
      </c>
      <c r="J60" s="4">
        <v>4358512.37</v>
      </c>
      <c r="K60" s="4">
        <v>170476309.63</v>
      </c>
      <c r="L60" s="4" t="s">
        <v>225</v>
      </c>
      <c r="M60" s="4" t="s">
        <v>226</v>
      </c>
      <c r="N60" s="4" t="s">
        <v>228</v>
      </c>
      <c r="O60" s="4" t="s">
        <v>229</v>
      </c>
      <c r="P60" s="4" t="s">
        <v>229</v>
      </c>
      <c r="Q60" s="8" t="s">
        <v>100</v>
      </c>
      <c r="R60" s="9">
        <f t="shared" si="1"/>
        <v>3.0672536164315393E-3</v>
      </c>
      <c r="S60" s="55">
        <f>Tabla3[[#This Row],[Subtotal]]/12</f>
        <v>14569568.5</v>
      </c>
    </row>
    <row r="61" spans="1:20" x14ac:dyDescent="0.2">
      <c r="A61" s="4">
        <v>1691</v>
      </c>
      <c r="B61" s="2">
        <v>175198030</v>
      </c>
      <c r="C61" s="2">
        <v>1006364.76</v>
      </c>
      <c r="D61" s="4" t="s">
        <v>232</v>
      </c>
      <c r="E61" s="2">
        <v>174191665.24000001</v>
      </c>
      <c r="F61" s="2">
        <v>33096416.399999999</v>
      </c>
      <c r="G61" s="2">
        <v>4354791.67</v>
      </c>
      <c r="H61" s="4">
        <v>0</v>
      </c>
      <c r="I61" s="4">
        <v>0</v>
      </c>
      <c r="J61" s="4">
        <v>4354791.67</v>
      </c>
      <c r="K61" s="4">
        <v>202933289.97</v>
      </c>
      <c r="L61" s="4" t="s">
        <v>230</v>
      </c>
      <c r="M61" s="4" t="s">
        <v>231</v>
      </c>
      <c r="N61" s="4" t="s">
        <v>233</v>
      </c>
      <c r="O61" s="4" t="s">
        <v>229</v>
      </c>
      <c r="P61" s="4" t="s">
        <v>229</v>
      </c>
      <c r="Q61" s="8" t="s">
        <v>28</v>
      </c>
      <c r="R61" s="9">
        <f t="shared" si="1"/>
        <v>3.055970252651512E-3</v>
      </c>
      <c r="S61" s="55">
        <f>Tabla3[[#This Row],[Subtotal]]/12</f>
        <v>14515972.103333334</v>
      </c>
    </row>
    <row r="62" spans="1:20" x14ac:dyDescent="0.2">
      <c r="A62" s="4">
        <v>28</v>
      </c>
      <c r="B62" s="2">
        <v>171440806</v>
      </c>
      <c r="C62" s="2">
        <v>0</v>
      </c>
      <c r="D62" s="4" t="s">
        <v>235</v>
      </c>
      <c r="E62" s="2">
        <v>171440806</v>
      </c>
      <c r="F62" s="2">
        <v>32573753.140000001</v>
      </c>
      <c r="G62" s="2">
        <v>4286020.16</v>
      </c>
      <c r="H62" s="4">
        <v>4886062.9800000004</v>
      </c>
      <c r="I62" s="4">
        <v>0</v>
      </c>
      <c r="J62" s="4">
        <v>9172083.1400000006</v>
      </c>
      <c r="K62" s="4">
        <v>194842476</v>
      </c>
      <c r="L62" s="4" t="s">
        <v>234</v>
      </c>
      <c r="M62" s="4" t="s">
        <v>146</v>
      </c>
      <c r="N62" s="4" t="s">
        <v>236</v>
      </c>
      <c r="O62" s="4" t="s">
        <v>237</v>
      </c>
      <c r="P62" s="4" t="s">
        <v>237</v>
      </c>
      <c r="Q62" s="8" t="s">
        <v>28</v>
      </c>
      <c r="R62" s="9">
        <f t="shared" si="1"/>
        <v>3.0077099412578003E-3</v>
      </c>
      <c r="S62" s="55">
        <f>Tabla3[[#This Row],[Subtotal]]/12</f>
        <v>14286733.833333334</v>
      </c>
    </row>
    <row r="63" spans="1:20" x14ac:dyDescent="0.2">
      <c r="A63" s="4">
        <v>265</v>
      </c>
      <c r="B63" s="2">
        <v>165200231</v>
      </c>
      <c r="C63" s="2">
        <v>0</v>
      </c>
      <c r="D63" s="4" t="s">
        <v>239</v>
      </c>
      <c r="E63" s="2">
        <v>165200231</v>
      </c>
      <c r="F63" s="2">
        <v>31388043.890000001</v>
      </c>
      <c r="G63" s="2">
        <v>4130005.8</v>
      </c>
      <c r="H63" s="4">
        <v>4708206.6100000003</v>
      </c>
      <c r="I63" s="4">
        <v>0</v>
      </c>
      <c r="J63" s="4">
        <v>8838212.4100000001</v>
      </c>
      <c r="K63" s="4">
        <v>187750062.47999999</v>
      </c>
      <c r="L63" s="4" t="s">
        <v>238</v>
      </c>
      <c r="M63" s="4" t="s">
        <v>110</v>
      </c>
      <c r="N63" s="4" t="s">
        <v>20</v>
      </c>
      <c r="O63" s="4" t="s">
        <v>21</v>
      </c>
      <c r="P63" s="4" t="s">
        <v>21</v>
      </c>
      <c r="Q63" s="8" t="s">
        <v>22</v>
      </c>
      <c r="R63" s="9">
        <f t="shared" si="1"/>
        <v>2.8982270246488751E-3</v>
      </c>
      <c r="S63" s="55">
        <f>Tabla3[[#This Row],[Subtotal]]/12</f>
        <v>13766685.916666666</v>
      </c>
    </row>
    <row r="64" spans="1:20" x14ac:dyDescent="0.2">
      <c r="A64" s="4">
        <v>928</v>
      </c>
      <c r="B64" s="2">
        <v>163010437</v>
      </c>
      <c r="C64" s="2">
        <v>0</v>
      </c>
      <c r="D64" s="4" t="s">
        <v>242</v>
      </c>
      <c r="E64" s="2">
        <v>163010437</v>
      </c>
      <c r="F64" s="2">
        <v>30971983.030000001</v>
      </c>
      <c r="G64" s="2">
        <v>4070063.75</v>
      </c>
      <c r="H64" s="4">
        <v>0</v>
      </c>
      <c r="I64" s="4">
        <v>0</v>
      </c>
      <c r="J64" s="4">
        <v>4070063.75</v>
      </c>
      <c r="K64" s="4">
        <v>189912356.28</v>
      </c>
      <c r="L64" s="4" t="s">
        <v>240</v>
      </c>
      <c r="M64" s="4" t="s">
        <v>241</v>
      </c>
      <c r="N64" s="4" t="s">
        <v>83</v>
      </c>
      <c r="O64" s="4" t="s">
        <v>84</v>
      </c>
      <c r="P64" s="4" t="s">
        <v>84</v>
      </c>
      <c r="Q64" s="8" t="s">
        <v>28</v>
      </c>
      <c r="R64" s="9">
        <f t="shared" si="1"/>
        <v>2.85980988618123E-3</v>
      </c>
      <c r="S64" s="55">
        <f>Tabla3[[#This Row],[Subtotal]]/12</f>
        <v>13584203.083333334</v>
      </c>
    </row>
    <row r="65" spans="1:20" x14ac:dyDescent="0.2">
      <c r="A65" s="4">
        <v>256</v>
      </c>
      <c r="B65" s="2">
        <v>162634787.25999999</v>
      </c>
      <c r="C65" s="2">
        <v>0</v>
      </c>
      <c r="D65" s="4" t="s">
        <v>244</v>
      </c>
      <c r="E65" s="2">
        <v>162634787.25999999</v>
      </c>
      <c r="F65" s="2">
        <v>30900609.579999998</v>
      </c>
      <c r="G65" s="2">
        <v>4065869.74</v>
      </c>
      <c r="H65" s="4">
        <v>4635091.45</v>
      </c>
      <c r="I65" s="4">
        <v>0</v>
      </c>
      <c r="J65" s="4">
        <v>8700961.1899999995</v>
      </c>
      <c r="K65" s="4">
        <v>184834435.65000001</v>
      </c>
      <c r="L65" s="4" t="s">
        <v>243</v>
      </c>
      <c r="M65" s="4" t="s">
        <v>110</v>
      </c>
      <c r="N65" s="4" t="s">
        <v>245</v>
      </c>
      <c r="O65" s="4" t="s">
        <v>237</v>
      </c>
      <c r="P65" s="4" t="s">
        <v>237</v>
      </c>
      <c r="Q65" s="8" t="s">
        <v>22</v>
      </c>
      <c r="R65" s="9">
        <f t="shared" si="1"/>
        <v>2.8532195913512528E-3</v>
      </c>
      <c r="S65" s="55">
        <f>Tabla3[[#This Row],[Subtotal]]/12</f>
        <v>13552898.938333333</v>
      </c>
    </row>
    <row r="66" spans="1:20" x14ac:dyDescent="0.2">
      <c r="A66" s="4">
        <v>7</v>
      </c>
      <c r="B66" s="2">
        <v>167480477</v>
      </c>
      <c r="C66" s="2">
        <v>4968137.79</v>
      </c>
      <c r="D66" s="4" t="s">
        <v>248</v>
      </c>
      <c r="E66" s="2">
        <v>162512339.21000001</v>
      </c>
      <c r="F66" s="2">
        <v>30877344.449999999</v>
      </c>
      <c r="G66" s="2">
        <v>4057950.25</v>
      </c>
      <c r="H66" s="4">
        <v>0</v>
      </c>
      <c r="I66" s="4">
        <v>0</v>
      </c>
      <c r="J66" s="4">
        <v>4057950.25</v>
      </c>
      <c r="K66" s="4">
        <v>189331733.41</v>
      </c>
      <c r="L66" s="4" t="s">
        <v>246</v>
      </c>
      <c r="M66" s="4" t="s">
        <v>247</v>
      </c>
      <c r="N66" s="4" t="s">
        <v>200</v>
      </c>
      <c r="O66" s="4" t="s">
        <v>201</v>
      </c>
      <c r="P66" s="4" t="s">
        <v>201</v>
      </c>
      <c r="Q66" s="8" t="s">
        <v>28</v>
      </c>
      <c r="R66" s="9">
        <f t="shared" si="1"/>
        <v>2.8510713967302326E-3</v>
      </c>
      <c r="S66" s="55">
        <f>Tabla3[[#This Row],[Subtotal]]/12</f>
        <v>13542694.934166668</v>
      </c>
    </row>
    <row r="67" spans="1:20" x14ac:dyDescent="0.2">
      <c r="A67" s="4">
        <v>1329</v>
      </c>
      <c r="B67" s="2">
        <v>159629689</v>
      </c>
      <c r="C67" s="2">
        <v>0</v>
      </c>
      <c r="D67" s="4" t="s">
        <v>250</v>
      </c>
      <c r="E67" s="2">
        <v>159629689</v>
      </c>
      <c r="F67" s="2">
        <v>30329640.91</v>
      </c>
      <c r="G67" s="2">
        <v>3701054.26</v>
      </c>
      <c r="H67" s="4">
        <v>0</v>
      </c>
      <c r="I67" s="4">
        <v>0</v>
      </c>
      <c r="J67" s="4">
        <v>3701054.26</v>
      </c>
      <c r="K67" s="4">
        <v>186258275.65000001</v>
      </c>
      <c r="L67" s="4" t="s">
        <v>249</v>
      </c>
      <c r="M67" s="4" t="s">
        <v>249</v>
      </c>
      <c r="N67" s="4" t="s">
        <v>251</v>
      </c>
      <c r="O67" s="4" t="s">
        <v>59</v>
      </c>
      <c r="P67" s="4" t="s">
        <v>59</v>
      </c>
      <c r="Q67" s="8" t="s">
        <v>100</v>
      </c>
      <c r="R67" s="9">
        <f t="shared" ref="R67:R130" si="2">E67/$E$1757</f>
        <v>2.8004989811188296E-3</v>
      </c>
      <c r="S67" s="55">
        <f>Tabla3[[#This Row],[Subtotal]]/12</f>
        <v>13302474.083333334</v>
      </c>
    </row>
    <row r="68" spans="1:20" x14ac:dyDescent="0.2">
      <c r="A68" s="4">
        <v>260</v>
      </c>
      <c r="B68" s="2">
        <v>158243728</v>
      </c>
      <c r="C68" s="2">
        <v>0</v>
      </c>
      <c r="D68" s="4" t="s">
        <v>253</v>
      </c>
      <c r="E68" s="2">
        <v>158243728</v>
      </c>
      <c r="F68" s="2">
        <v>30868668.82</v>
      </c>
      <c r="G68" s="2">
        <v>4061666.98</v>
      </c>
      <c r="H68" s="4">
        <v>4630300.29</v>
      </c>
      <c r="I68" s="4">
        <v>0</v>
      </c>
      <c r="J68" s="4">
        <v>8691967.2699999996</v>
      </c>
      <c r="K68" s="4">
        <v>180420429.55000001</v>
      </c>
      <c r="L68" s="4" t="s">
        <v>252</v>
      </c>
      <c r="M68" s="4" t="s">
        <v>110</v>
      </c>
      <c r="N68" s="4" t="s">
        <v>20</v>
      </c>
      <c r="O68" s="4" t="s">
        <v>21</v>
      </c>
      <c r="P68" s="4" t="s">
        <v>21</v>
      </c>
      <c r="Q68" s="8" t="s">
        <v>22</v>
      </c>
      <c r="R68" s="9">
        <f t="shared" si="2"/>
        <v>2.7761840658127525E-3</v>
      </c>
      <c r="S68" s="55">
        <f>Tabla3[[#This Row],[Subtotal]]/12</f>
        <v>13186977.333333334</v>
      </c>
    </row>
    <row r="69" spans="1:20" x14ac:dyDescent="0.2">
      <c r="A69" s="4">
        <v>399</v>
      </c>
      <c r="B69" s="2">
        <v>158448893.75</v>
      </c>
      <c r="C69" s="2">
        <v>218203.39</v>
      </c>
      <c r="D69" s="4" t="s">
        <v>256</v>
      </c>
      <c r="E69" s="2">
        <v>158230690.36000001</v>
      </c>
      <c r="F69" s="2">
        <v>30063831.170000002</v>
      </c>
      <c r="G69" s="2">
        <v>2984334.98</v>
      </c>
      <c r="H69" s="4">
        <v>0</v>
      </c>
      <c r="I69" s="4">
        <v>0</v>
      </c>
      <c r="J69" s="4">
        <v>2984334.98</v>
      </c>
      <c r="K69" s="4">
        <v>185310186.55000001</v>
      </c>
      <c r="L69" s="4" t="s">
        <v>254</v>
      </c>
      <c r="M69" s="4" t="s">
        <v>255</v>
      </c>
      <c r="N69" s="4" t="s">
        <v>20</v>
      </c>
      <c r="O69" s="4" t="s">
        <v>257</v>
      </c>
      <c r="P69" s="4" t="s">
        <v>257</v>
      </c>
      <c r="Q69" s="8" t="s">
        <v>28</v>
      </c>
      <c r="R69" s="9">
        <f t="shared" si="2"/>
        <v>2.7759553370733502E-3</v>
      </c>
      <c r="S69" s="55">
        <f>Tabla3[[#This Row],[Subtotal]]/12</f>
        <v>13185890.863333335</v>
      </c>
    </row>
    <row r="70" spans="1:20" x14ac:dyDescent="0.2">
      <c r="A70" s="4">
        <v>140</v>
      </c>
      <c r="B70" s="2">
        <v>158197305</v>
      </c>
      <c r="C70" s="2">
        <v>117809.4</v>
      </c>
      <c r="D70" s="4" t="s">
        <v>260</v>
      </c>
      <c r="E70" s="2">
        <v>158079495.59999999</v>
      </c>
      <c r="F70" s="2">
        <v>30035104.16</v>
      </c>
      <c r="G70" s="2">
        <v>3363826.09</v>
      </c>
      <c r="H70" s="4">
        <v>0</v>
      </c>
      <c r="I70" s="4">
        <v>0</v>
      </c>
      <c r="J70" s="4">
        <v>3363826.09</v>
      </c>
      <c r="K70" s="4">
        <v>184750773.66999999</v>
      </c>
      <c r="L70" s="4" t="s">
        <v>258</v>
      </c>
      <c r="M70" s="4" t="s">
        <v>259</v>
      </c>
      <c r="N70" s="4" t="s">
        <v>20</v>
      </c>
      <c r="O70" s="4" t="s">
        <v>261</v>
      </c>
      <c r="P70" s="4" t="s">
        <v>261</v>
      </c>
      <c r="Q70" s="8" t="s">
        <v>28</v>
      </c>
      <c r="R70" s="9">
        <f t="shared" si="2"/>
        <v>2.7733028181466824E-3</v>
      </c>
      <c r="S70" s="55">
        <f>Tabla3[[#This Row],[Subtotal]]/12</f>
        <v>13173291.299999999</v>
      </c>
    </row>
    <row r="71" spans="1:20" x14ac:dyDescent="0.2">
      <c r="A71" s="4">
        <v>385</v>
      </c>
      <c r="B71" s="2">
        <v>155463949</v>
      </c>
      <c r="C71" s="2">
        <v>0</v>
      </c>
      <c r="D71" s="4" t="s">
        <v>263</v>
      </c>
      <c r="E71" s="2">
        <v>155463949</v>
      </c>
      <c r="F71" s="2">
        <v>29538150.309999999</v>
      </c>
      <c r="G71" s="2">
        <v>3863690.13</v>
      </c>
      <c r="H71" s="4">
        <v>4430722.55</v>
      </c>
      <c r="I71" s="4">
        <v>0</v>
      </c>
      <c r="J71" s="4">
        <v>8294412.6799999997</v>
      </c>
      <c r="K71" s="4">
        <v>176707686.63</v>
      </c>
      <c r="L71" s="4" t="s">
        <v>262</v>
      </c>
      <c r="M71" s="4" t="s">
        <v>137</v>
      </c>
      <c r="N71" s="4" t="s">
        <v>58</v>
      </c>
      <c r="O71" s="4" t="s">
        <v>59</v>
      </c>
      <c r="P71" s="4" t="s">
        <v>59</v>
      </c>
      <c r="Q71" s="8" t="s">
        <v>22</v>
      </c>
      <c r="R71" s="9">
        <f t="shared" si="2"/>
        <v>2.7274163941722E-3</v>
      </c>
      <c r="S71" s="55">
        <f>Tabla3[[#This Row],[Subtotal]]/12</f>
        <v>12955329.083333334</v>
      </c>
    </row>
    <row r="72" spans="1:20" x14ac:dyDescent="0.2">
      <c r="A72" s="4">
        <v>362</v>
      </c>
      <c r="B72" s="2">
        <v>154679830</v>
      </c>
      <c r="C72" s="2">
        <v>1246613.52</v>
      </c>
      <c r="D72" s="4" t="s">
        <v>266</v>
      </c>
      <c r="E72" s="2">
        <v>153433216.47999999</v>
      </c>
      <c r="F72" s="2">
        <v>29152311.129999999</v>
      </c>
      <c r="G72" s="2">
        <v>3825120.28</v>
      </c>
      <c r="H72" s="4">
        <v>0</v>
      </c>
      <c r="I72" s="4">
        <v>0</v>
      </c>
      <c r="J72" s="4">
        <v>3825120.28</v>
      </c>
      <c r="K72" s="4">
        <v>178760407.33000001</v>
      </c>
      <c r="L72" s="4" t="s">
        <v>264</v>
      </c>
      <c r="M72" s="4" t="s">
        <v>265</v>
      </c>
      <c r="N72" s="4" t="s">
        <v>186</v>
      </c>
      <c r="O72" s="4" t="s">
        <v>59</v>
      </c>
      <c r="P72" s="4" t="s">
        <v>59</v>
      </c>
      <c r="Q72" s="8" t="s">
        <v>100</v>
      </c>
      <c r="R72" s="9">
        <f t="shared" si="2"/>
        <v>2.6917897861846035E-3</v>
      </c>
      <c r="S72" s="55">
        <f>Tabla3[[#This Row],[Subtotal]]/12</f>
        <v>12786101.373333333</v>
      </c>
    </row>
    <row r="73" spans="1:20" x14ac:dyDescent="0.2">
      <c r="A73" s="4">
        <v>39</v>
      </c>
      <c r="B73" s="2">
        <v>150217921</v>
      </c>
      <c r="C73" s="2">
        <v>0</v>
      </c>
      <c r="D73" s="4" t="s">
        <v>268</v>
      </c>
      <c r="E73" s="2">
        <v>150217921</v>
      </c>
      <c r="F73" s="2">
        <v>28541404.989999998</v>
      </c>
      <c r="G73" s="2">
        <v>3755448.04</v>
      </c>
      <c r="H73" s="4">
        <v>0</v>
      </c>
      <c r="I73" s="4">
        <v>0</v>
      </c>
      <c r="J73" s="4">
        <v>3755448.04</v>
      </c>
      <c r="K73" s="4">
        <v>175003877.94999999</v>
      </c>
      <c r="L73" s="4" t="s">
        <v>267</v>
      </c>
      <c r="M73" s="4" t="s">
        <v>146</v>
      </c>
      <c r="N73" s="4" t="s">
        <v>63</v>
      </c>
      <c r="O73" s="4" t="s">
        <v>33</v>
      </c>
      <c r="P73" s="4" t="s">
        <v>33</v>
      </c>
      <c r="Q73" s="8" t="s">
        <v>28</v>
      </c>
      <c r="R73" s="9">
        <f t="shared" si="2"/>
        <v>2.6353815342350811E-3</v>
      </c>
      <c r="S73" s="55">
        <f>Tabla3[[#This Row],[Subtotal]]/12</f>
        <v>12518160.083333334</v>
      </c>
    </row>
    <row r="74" spans="1:20" x14ac:dyDescent="0.2">
      <c r="A74" s="4">
        <v>1592</v>
      </c>
      <c r="B74" s="2">
        <v>150135717</v>
      </c>
      <c r="C74" s="2">
        <v>0</v>
      </c>
      <c r="D74" s="4" t="s">
        <v>271</v>
      </c>
      <c r="E74" s="2">
        <v>150135717</v>
      </c>
      <c r="F74" s="2">
        <v>28525786.23</v>
      </c>
      <c r="G74" s="2">
        <v>3621652.29</v>
      </c>
      <c r="H74" s="4">
        <v>0</v>
      </c>
      <c r="I74" s="4">
        <v>0</v>
      </c>
      <c r="J74" s="4">
        <v>3621652.29</v>
      </c>
      <c r="K74" s="4">
        <v>175039850.94</v>
      </c>
      <c r="L74" s="4" t="s">
        <v>269</v>
      </c>
      <c r="M74" s="4" t="s">
        <v>270</v>
      </c>
      <c r="N74" s="4" t="s">
        <v>272</v>
      </c>
      <c r="O74" s="4" t="s">
        <v>89</v>
      </c>
      <c r="P74" s="4" t="s">
        <v>89</v>
      </c>
      <c r="Q74" s="8" t="s">
        <v>28</v>
      </c>
      <c r="R74" s="9">
        <f t="shared" si="2"/>
        <v>2.6339393700632028E-3</v>
      </c>
      <c r="S74" s="55">
        <f>Tabla3[[#This Row],[Subtotal]]/12</f>
        <v>12511309.75</v>
      </c>
    </row>
    <row r="75" spans="1:20" x14ac:dyDescent="0.2">
      <c r="A75" s="4">
        <v>332</v>
      </c>
      <c r="B75" s="2">
        <v>148289578</v>
      </c>
      <c r="C75" s="2">
        <v>0</v>
      </c>
      <c r="D75" s="4" t="s">
        <v>275</v>
      </c>
      <c r="E75" s="2">
        <v>148289578</v>
      </c>
      <c r="F75" s="2">
        <v>28175019.82</v>
      </c>
      <c r="G75" s="2">
        <v>3693105.48</v>
      </c>
      <c r="H75" s="4">
        <v>0</v>
      </c>
      <c r="I75" s="4">
        <v>0</v>
      </c>
      <c r="J75" s="4">
        <v>3693105.48</v>
      </c>
      <c r="K75" s="4">
        <v>172771492.34</v>
      </c>
      <c r="L75" s="4" t="s">
        <v>273</v>
      </c>
      <c r="M75" s="4" t="s">
        <v>274</v>
      </c>
      <c r="N75" s="4" t="s">
        <v>276</v>
      </c>
      <c r="O75" s="4" t="s">
        <v>105</v>
      </c>
      <c r="P75" s="4" t="s">
        <v>105</v>
      </c>
      <c r="Q75" s="8" t="s">
        <v>28</v>
      </c>
      <c r="R75" s="9">
        <f t="shared" si="2"/>
        <v>2.6015512195826005E-3</v>
      </c>
      <c r="S75" s="55">
        <f>Tabla3[[#This Row],[Subtotal]]/12</f>
        <v>12357464.833333334</v>
      </c>
      <c r="T75" s="54"/>
    </row>
    <row r="76" spans="1:20" x14ac:dyDescent="0.2">
      <c r="A76" s="4">
        <v>25</v>
      </c>
      <c r="B76" s="2">
        <v>148736365</v>
      </c>
      <c r="C76" s="2">
        <v>725513.16</v>
      </c>
      <c r="D76" s="4" t="s">
        <v>278</v>
      </c>
      <c r="E76" s="2">
        <v>148010851.84</v>
      </c>
      <c r="F76" s="2">
        <v>28122061.859999999</v>
      </c>
      <c r="G76" s="2">
        <v>3700271.3</v>
      </c>
      <c r="H76" s="4">
        <v>4218309.2699999996</v>
      </c>
      <c r="I76" s="4">
        <v>0</v>
      </c>
      <c r="J76" s="4">
        <v>7918580.5700000003</v>
      </c>
      <c r="K76" s="4">
        <v>168214333.13</v>
      </c>
      <c r="L76" s="4" t="s">
        <v>277</v>
      </c>
      <c r="M76" s="4" t="s">
        <v>146</v>
      </c>
      <c r="N76" s="4" t="s">
        <v>37</v>
      </c>
      <c r="O76" s="4" t="s">
        <v>33</v>
      </c>
      <c r="P76" s="4" t="s">
        <v>33</v>
      </c>
      <c r="Q76" s="8" t="s">
        <v>28</v>
      </c>
      <c r="R76" s="9">
        <f t="shared" si="2"/>
        <v>2.5966613251526792E-3</v>
      </c>
      <c r="S76" s="55">
        <f>Tabla3[[#This Row],[Subtotal]]/12</f>
        <v>12334237.653333334</v>
      </c>
    </row>
    <row r="77" spans="1:20" x14ac:dyDescent="0.2">
      <c r="A77" s="4">
        <v>457</v>
      </c>
      <c r="B77" s="2">
        <v>155499137</v>
      </c>
      <c r="C77" s="2">
        <v>7774956.8499999996</v>
      </c>
      <c r="D77" s="4" t="s">
        <v>281</v>
      </c>
      <c r="E77" s="2">
        <v>147724180.15000001</v>
      </c>
      <c r="F77" s="2">
        <v>28067594.25</v>
      </c>
      <c r="G77" s="2">
        <v>3693104.51</v>
      </c>
      <c r="H77" s="4">
        <v>0</v>
      </c>
      <c r="I77" s="4">
        <v>0</v>
      </c>
      <c r="J77" s="4">
        <v>3693104.51</v>
      </c>
      <c r="K77" s="4">
        <v>172098669.88999999</v>
      </c>
      <c r="L77" s="4" t="s">
        <v>279</v>
      </c>
      <c r="M77" s="4" t="s">
        <v>280</v>
      </c>
      <c r="N77" s="4" t="s">
        <v>200</v>
      </c>
      <c r="O77" s="4" t="s">
        <v>201</v>
      </c>
      <c r="P77" s="4" t="s">
        <v>201</v>
      </c>
      <c r="Q77" s="8" t="s">
        <v>28</v>
      </c>
      <c r="R77" s="9">
        <f t="shared" si="2"/>
        <v>2.5916320365485987E-3</v>
      </c>
      <c r="S77" s="55">
        <f>Tabla3[[#This Row],[Subtotal]]/12</f>
        <v>12310348.345833333</v>
      </c>
    </row>
    <row r="78" spans="1:20" x14ac:dyDescent="0.2">
      <c r="A78" s="4">
        <v>1312</v>
      </c>
      <c r="B78" s="2">
        <v>145050452</v>
      </c>
      <c r="C78" s="2">
        <v>210293.2</v>
      </c>
      <c r="D78" s="4" t="s">
        <v>284</v>
      </c>
      <c r="E78" s="2">
        <v>144840158.80000001</v>
      </c>
      <c r="F78" s="2">
        <v>27519630.170000002</v>
      </c>
      <c r="G78" s="2">
        <v>3506461.85</v>
      </c>
      <c r="H78" s="4">
        <v>0</v>
      </c>
      <c r="I78" s="4">
        <v>0</v>
      </c>
      <c r="J78" s="4">
        <v>3506461.85</v>
      </c>
      <c r="K78" s="4">
        <v>168853327.12</v>
      </c>
      <c r="L78" s="4" t="s">
        <v>282</v>
      </c>
      <c r="M78" s="4" t="s">
        <v>283</v>
      </c>
      <c r="N78" s="4" t="s">
        <v>186</v>
      </c>
      <c r="O78" s="4" t="s">
        <v>59</v>
      </c>
      <c r="P78" s="4" t="s">
        <v>59</v>
      </c>
      <c r="Q78" s="8" t="s">
        <v>100</v>
      </c>
      <c r="R78" s="9">
        <f t="shared" si="2"/>
        <v>2.5410355660374024E-3</v>
      </c>
      <c r="S78" s="55">
        <f>Tabla3[[#This Row],[Subtotal]]/12</f>
        <v>12070013.233333334</v>
      </c>
    </row>
    <row r="79" spans="1:20" x14ac:dyDescent="0.2">
      <c r="A79" s="4">
        <v>388</v>
      </c>
      <c r="B79" s="2">
        <v>140256126</v>
      </c>
      <c r="C79" s="2">
        <v>0</v>
      </c>
      <c r="D79" s="4" t="s">
        <v>286</v>
      </c>
      <c r="E79" s="2">
        <v>140256126</v>
      </c>
      <c r="F79" s="2">
        <v>26648663.940000001</v>
      </c>
      <c r="G79" s="2">
        <v>3102439.95</v>
      </c>
      <c r="H79" s="4">
        <v>3536781.55</v>
      </c>
      <c r="I79" s="4">
        <v>0</v>
      </c>
      <c r="J79" s="4">
        <v>6639221.5</v>
      </c>
      <c r="K79" s="4">
        <v>160265568.44</v>
      </c>
      <c r="L79" s="4" t="s">
        <v>285</v>
      </c>
      <c r="M79" s="4" t="s">
        <v>137</v>
      </c>
      <c r="N79" s="4" t="s">
        <v>41</v>
      </c>
      <c r="O79" s="4" t="s">
        <v>42</v>
      </c>
      <c r="P79" s="4" t="s">
        <v>42</v>
      </c>
      <c r="Q79" s="8" t="s">
        <v>22</v>
      </c>
      <c r="R79" s="9">
        <f t="shared" si="2"/>
        <v>2.4606145662457199E-3</v>
      </c>
      <c r="S79" s="55">
        <f>Tabla3[[#This Row],[Subtotal]]/12</f>
        <v>11688010.5</v>
      </c>
    </row>
    <row r="80" spans="1:20" x14ac:dyDescent="0.2">
      <c r="A80" s="4">
        <v>188</v>
      </c>
      <c r="B80" s="2">
        <v>136663139</v>
      </c>
      <c r="C80" s="2">
        <v>229228.62</v>
      </c>
      <c r="D80" s="4" t="s">
        <v>289</v>
      </c>
      <c r="E80" s="2">
        <v>136433910.38</v>
      </c>
      <c r="F80" s="2">
        <v>25922442.969999999</v>
      </c>
      <c r="G80" s="2">
        <v>3410847.76</v>
      </c>
      <c r="H80" s="4">
        <v>0</v>
      </c>
      <c r="I80" s="4">
        <v>0</v>
      </c>
      <c r="J80" s="4">
        <v>3410847.76</v>
      </c>
      <c r="K80" s="4">
        <v>158945505.59</v>
      </c>
      <c r="L80" s="4" t="s">
        <v>287</v>
      </c>
      <c r="M80" s="4" t="s">
        <v>288</v>
      </c>
      <c r="N80" s="4" t="s">
        <v>92</v>
      </c>
      <c r="O80" s="4" t="s">
        <v>93</v>
      </c>
      <c r="P80" s="4" t="s">
        <v>93</v>
      </c>
      <c r="Q80" s="8" t="s">
        <v>100</v>
      </c>
      <c r="R80" s="9">
        <f t="shared" si="2"/>
        <v>2.3935586757250884E-3</v>
      </c>
      <c r="S80" s="55">
        <f>Tabla3[[#This Row],[Subtotal]]/12</f>
        <v>11369492.531666666</v>
      </c>
    </row>
    <row r="81" spans="1:19" x14ac:dyDescent="0.2">
      <c r="A81" s="4">
        <v>96</v>
      </c>
      <c r="B81" s="2">
        <v>136091193</v>
      </c>
      <c r="C81" s="2">
        <v>973258.2</v>
      </c>
      <c r="D81" s="4" t="s">
        <v>292</v>
      </c>
      <c r="E81" s="2">
        <v>135117934.80000001</v>
      </c>
      <c r="F81" s="2">
        <v>25672407.609999999</v>
      </c>
      <c r="G81" s="2">
        <v>3350831.4</v>
      </c>
      <c r="H81" s="4">
        <v>0</v>
      </c>
      <c r="I81" s="4">
        <v>0</v>
      </c>
      <c r="J81" s="4">
        <v>3350831.4</v>
      </c>
      <c r="K81" s="4">
        <v>157439511.00999999</v>
      </c>
      <c r="L81" s="4" t="s">
        <v>290</v>
      </c>
      <c r="M81" s="4" t="s">
        <v>291</v>
      </c>
      <c r="N81" s="4" t="s">
        <v>293</v>
      </c>
      <c r="O81" s="4" t="s">
        <v>229</v>
      </c>
      <c r="P81" s="4" t="s">
        <v>229</v>
      </c>
      <c r="Q81" s="8" t="s">
        <v>28</v>
      </c>
      <c r="R81" s="9">
        <f t="shared" si="2"/>
        <v>2.3704715652129128E-3</v>
      </c>
      <c r="S81" s="55">
        <f>Tabla3[[#This Row],[Subtotal]]/12</f>
        <v>11259827.9</v>
      </c>
    </row>
    <row r="82" spans="1:19" x14ac:dyDescent="0.2">
      <c r="A82" s="4">
        <v>257</v>
      </c>
      <c r="B82" s="2">
        <v>132768775.40000001</v>
      </c>
      <c r="C82" s="2">
        <v>0</v>
      </c>
      <c r="D82" s="4" t="s">
        <v>295</v>
      </c>
      <c r="E82" s="2">
        <v>132768775.40000001</v>
      </c>
      <c r="F82" s="2">
        <v>25226067.32</v>
      </c>
      <c r="G82" s="2">
        <v>3319219.41</v>
      </c>
      <c r="H82" s="4">
        <v>3783910.1</v>
      </c>
      <c r="I82" s="4">
        <v>0</v>
      </c>
      <c r="J82" s="4">
        <v>7103129.5099999998</v>
      </c>
      <c r="K82" s="4">
        <v>150891713.21000001</v>
      </c>
      <c r="L82" s="4" t="s">
        <v>294</v>
      </c>
      <c r="M82" s="4" t="s">
        <v>110</v>
      </c>
      <c r="N82" s="4" t="s">
        <v>20</v>
      </c>
      <c r="O82" s="4" t="s">
        <v>21</v>
      </c>
      <c r="P82" s="4" t="s">
        <v>21</v>
      </c>
      <c r="Q82" s="8" t="s">
        <v>22</v>
      </c>
      <c r="R82" s="9">
        <f t="shared" si="2"/>
        <v>2.3292585643770484E-3</v>
      </c>
      <c r="S82" s="55">
        <f>Tabla3[[#This Row],[Subtotal]]/12</f>
        <v>11064064.616666667</v>
      </c>
    </row>
    <row r="83" spans="1:19" x14ac:dyDescent="0.2">
      <c r="A83" s="4">
        <v>279</v>
      </c>
      <c r="B83" s="2">
        <v>131035786</v>
      </c>
      <c r="C83" s="2">
        <v>0</v>
      </c>
      <c r="D83" s="4" t="s">
        <v>298</v>
      </c>
      <c r="E83" s="2">
        <v>131035786</v>
      </c>
      <c r="F83" s="2">
        <v>24896799.34</v>
      </c>
      <c r="G83" s="2">
        <v>3275894.69</v>
      </c>
      <c r="H83" s="4">
        <v>3734519.9</v>
      </c>
      <c r="I83" s="4">
        <v>0</v>
      </c>
      <c r="J83" s="4">
        <v>7010414.5899999999</v>
      </c>
      <c r="K83" s="4">
        <v>148922170.75</v>
      </c>
      <c r="L83" s="4" t="s">
        <v>296</v>
      </c>
      <c r="M83" s="4" t="s">
        <v>297</v>
      </c>
      <c r="N83" s="4" t="s">
        <v>63</v>
      </c>
      <c r="O83" s="4" t="s">
        <v>76</v>
      </c>
      <c r="P83" s="4" t="s">
        <v>76</v>
      </c>
      <c r="Q83" s="8" t="s">
        <v>100</v>
      </c>
      <c r="R83" s="9">
        <f t="shared" si="2"/>
        <v>2.2988554790901398E-3</v>
      </c>
      <c r="S83" s="55">
        <f>Tabla3[[#This Row],[Subtotal]]/12</f>
        <v>10919648.833333334</v>
      </c>
    </row>
    <row r="84" spans="1:19" x14ac:dyDescent="0.2">
      <c r="A84" s="4">
        <v>608</v>
      </c>
      <c r="B84" s="2">
        <v>133845730</v>
      </c>
      <c r="C84" s="2">
        <v>3983294.28</v>
      </c>
      <c r="D84" s="4" t="s">
        <v>301</v>
      </c>
      <c r="E84" s="2">
        <v>129862435.72</v>
      </c>
      <c r="F84" s="2">
        <v>24673862.789999999</v>
      </c>
      <c r="G84" s="2">
        <v>3246560.92</v>
      </c>
      <c r="H84" s="4">
        <v>0</v>
      </c>
      <c r="I84" s="4">
        <v>0</v>
      </c>
      <c r="J84" s="4">
        <v>3246560.92</v>
      </c>
      <c r="K84" s="4">
        <v>151289737.59</v>
      </c>
      <c r="L84" s="4" t="s">
        <v>299</v>
      </c>
      <c r="M84" s="4" t="s">
        <v>300</v>
      </c>
      <c r="N84" s="4" t="s">
        <v>302</v>
      </c>
      <c r="O84" s="4" t="s">
        <v>27</v>
      </c>
      <c r="P84" s="4" t="s">
        <v>27</v>
      </c>
      <c r="Q84" s="8" t="s">
        <v>28</v>
      </c>
      <c r="R84" s="9">
        <f t="shared" si="2"/>
        <v>2.2782705472756356E-3</v>
      </c>
      <c r="S84" s="55">
        <f>Tabla3[[#This Row],[Subtotal]]/12</f>
        <v>10821869.643333333</v>
      </c>
    </row>
    <row r="85" spans="1:19" x14ac:dyDescent="0.2">
      <c r="A85" s="4">
        <v>639</v>
      </c>
      <c r="B85" s="2">
        <v>129064999</v>
      </c>
      <c r="C85" s="2">
        <v>0</v>
      </c>
      <c r="D85" s="4" t="s">
        <v>305</v>
      </c>
      <c r="E85" s="2">
        <v>129064999</v>
      </c>
      <c r="F85" s="2">
        <v>24522349.809999999</v>
      </c>
      <c r="G85" s="2">
        <v>3133420.89</v>
      </c>
      <c r="H85" s="4">
        <v>0</v>
      </c>
      <c r="I85" s="4">
        <v>0</v>
      </c>
      <c r="J85" s="4">
        <v>3133420.89</v>
      </c>
      <c r="K85" s="4">
        <v>150453927.91999999</v>
      </c>
      <c r="L85" s="4" t="s">
        <v>303</v>
      </c>
      <c r="M85" s="4" t="s">
        <v>304</v>
      </c>
      <c r="N85" s="4" t="s">
        <v>306</v>
      </c>
      <c r="O85" s="4" t="s">
        <v>42</v>
      </c>
      <c r="P85" s="4" t="s">
        <v>42</v>
      </c>
      <c r="Q85" s="8" t="s">
        <v>28</v>
      </c>
      <c r="R85" s="9">
        <f t="shared" si="2"/>
        <v>2.2642805386760027E-3</v>
      </c>
      <c r="S85" s="55">
        <f>Tabla3[[#This Row],[Subtotal]]/12</f>
        <v>10755416.583333334</v>
      </c>
    </row>
    <row r="86" spans="1:19" x14ac:dyDescent="0.2">
      <c r="A86" s="4">
        <v>1650</v>
      </c>
      <c r="B86" s="2">
        <v>127727230</v>
      </c>
      <c r="C86" s="2">
        <v>0</v>
      </c>
      <c r="D86" s="4" t="s">
        <v>309</v>
      </c>
      <c r="E86" s="2">
        <v>127727230</v>
      </c>
      <c r="F86" s="2">
        <v>24268173.699999999</v>
      </c>
      <c r="G86" s="2">
        <v>0</v>
      </c>
      <c r="H86" s="4">
        <v>0</v>
      </c>
      <c r="I86" s="4">
        <v>0</v>
      </c>
      <c r="J86" s="4">
        <v>0</v>
      </c>
      <c r="K86" s="4">
        <v>151995403.69999999</v>
      </c>
      <c r="L86" s="4" t="s">
        <v>307</v>
      </c>
      <c r="M86" s="4" t="s">
        <v>308</v>
      </c>
      <c r="N86" s="4" t="s">
        <v>112</v>
      </c>
      <c r="O86" s="4" t="s">
        <v>113</v>
      </c>
      <c r="P86" s="4" t="s">
        <v>113</v>
      </c>
      <c r="Q86" s="8" t="s">
        <v>28</v>
      </c>
      <c r="R86" s="9">
        <f t="shared" si="2"/>
        <v>2.2408110904490355E-3</v>
      </c>
      <c r="S86" s="55">
        <f>Tabla3[[#This Row],[Subtotal]]/12</f>
        <v>10643935.833333334</v>
      </c>
    </row>
    <row r="87" spans="1:19" x14ac:dyDescent="0.2">
      <c r="A87" s="4">
        <v>1102</v>
      </c>
      <c r="B87" s="2">
        <v>127711166</v>
      </c>
      <c r="C87" s="2">
        <v>0</v>
      </c>
      <c r="D87" s="4" t="s">
        <v>312</v>
      </c>
      <c r="E87" s="2">
        <v>127711166</v>
      </c>
      <c r="F87" s="2">
        <v>24265121.539999999</v>
      </c>
      <c r="G87" s="2">
        <v>0</v>
      </c>
      <c r="H87" s="4">
        <v>0</v>
      </c>
      <c r="I87" s="4">
        <v>0</v>
      </c>
      <c r="J87" s="4">
        <v>0</v>
      </c>
      <c r="K87" s="4">
        <v>151976287.53999999</v>
      </c>
      <c r="L87" s="4" t="s">
        <v>310</v>
      </c>
      <c r="M87" s="4" t="s">
        <v>311</v>
      </c>
      <c r="N87" s="4" t="s">
        <v>212</v>
      </c>
      <c r="O87" s="4" t="s">
        <v>33</v>
      </c>
      <c r="P87" s="4" t="s">
        <v>33</v>
      </c>
      <c r="Q87" s="8" t="s">
        <v>28</v>
      </c>
      <c r="R87" s="9">
        <f t="shared" si="2"/>
        <v>2.2405292680893322E-3</v>
      </c>
      <c r="S87" s="55">
        <f>Tabla3[[#This Row],[Subtotal]]/12</f>
        <v>10642597.166666666</v>
      </c>
    </row>
    <row r="88" spans="1:19" x14ac:dyDescent="0.2">
      <c r="A88" s="4">
        <v>1631</v>
      </c>
      <c r="B88" s="2">
        <v>128124914</v>
      </c>
      <c r="C88" s="2">
        <v>1657679.58</v>
      </c>
      <c r="D88" s="4" t="s">
        <v>315</v>
      </c>
      <c r="E88" s="2">
        <v>126467234.42</v>
      </c>
      <c r="F88" s="2">
        <v>24028774.530000001</v>
      </c>
      <c r="G88" s="2">
        <v>3135048.05</v>
      </c>
      <c r="H88" s="4">
        <v>0</v>
      </c>
      <c r="I88" s="4">
        <v>0</v>
      </c>
      <c r="J88" s="4">
        <v>3135048.05</v>
      </c>
      <c r="K88" s="4">
        <v>147360960.90000001</v>
      </c>
      <c r="L88" s="4" t="s">
        <v>313</v>
      </c>
      <c r="M88" s="4" t="s">
        <v>314</v>
      </c>
      <c r="N88" s="4" t="s">
        <v>20</v>
      </c>
      <c r="O88" s="4" t="s">
        <v>316</v>
      </c>
      <c r="P88" s="4" t="s">
        <v>316</v>
      </c>
      <c r="Q88" s="8" t="s">
        <v>28</v>
      </c>
      <c r="R88" s="9">
        <f t="shared" si="2"/>
        <v>2.2187060775275091E-3</v>
      </c>
      <c r="S88" s="55">
        <f>Tabla3[[#This Row],[Subtotal]]/12</f>
        <v>10538936.201666666</v>
      </c>
    </row>
    <row r="89" spans="1:19" x14ac:dyDescent="0.2">
      <c r="A89" s="4">
        <v>744</v>
      </c>
      <c r="B89" s="2">
        <v>124239468</v>
      </c>
      <c r="C89" s="2">
        <v>500629.92</v>
      </c>
      <c r="D89" s="4" t="s">
        <v>318</v>
      </c>
      <c r="E89" s="2">
        <v>123738838.08</v>
      </c>
      <c r="F89" s="2">
        <v>23510379.239999998</v>
      </c>
      <c r="G89" s="2">
        <v>3062331.87</v>
      </c>
      <c r="H89" s="4">
        <v>3526556.9</v>
      </c>
      <c r="I89" s="4">
        <v>0</v>
      </c>
      <c r="J89" s="4">
        <v>6588888.7699999996</v>
      </c>
      <c r="K89" s="4">
        <v>140660328.55000001</v>
      </c>
      <c r="L89" s="4" t="s">
        <v>317</v>
      </c>
      <c r="M89" s="4" t="s">
        <v>81</v>
      </c>
      <c r="N89" s="4" t="s">
        <v>26</v>
      </c>
      <c r="O89" s="4" t="s">
        <v>27</v>
      </c>
      <c r="P89" s="4" t="s">
        <v>27</v>
      </c>
      <c r="Q89" s="8" t="s">
        <v>28</v>
      </c>
      <c r="R89" s="9">
        <f t="shared" si="2"/>
        <v>2.1708398490199892E-3</v>
      </c>
      <c r="S89" s="55">
        <f>Tabla3[[#This Row],[Subtotal]]/12</f>
        <v>10311569.84</v>
      </c>
    </row>
    <row r="90" spans="1:19" x14ac:dyDescent="0.2">
      <c r="A90" s="4">
        <v>1207</v>
      </c>
      <c r="B90" s="2">
        <v>123220831</v>
      </c>
      <c r="C90" s="2">
        <v>0</v>
      </c>
      <c r="D90" s="4" t="s">
        <v>321</v>
      </c>
      <c r="E90" s="2">
        <v>123220831</v>
      </c>
      <c r="F90" s="2">
        <v>23411957.890000001</v>
      </c>
      <c r="G90" s="2">
        <v>3073476.14</v>
      </c>
      <c r="H90" s="4">
        <v>0</v>
      </c>
      <c r="I90" s="4">
        <v>0</v>
      </c>
      <c r="J90" s="4">
        <v>3073476.14</v>
      </c>
      <c r="K90" s="4">
        <v>143559312.75</v>
      </c>
      <c r="L90" s="4" t="s">
        <v>319</v>
      </c>
      <c r="M90" s="4" t="s">
        <v>320</v>
      </c>
      <c r="N90" s="4" t="s">
        <v>322</v>
      </c>
      <c r="O90" s="4" t="s">
        <v>229</v>
      </c>
      <c r="P90" s="4" t="s">
        <v>229</v>
      </c>
      <c r="Q90" s="8" t="s">
        <v>28</v>
      </c>
      <c r="R90" s="9">
        <f t="shared" si="2"/>
        <v>2.1617520765082458E-3</v>
      </c>
      <c r="S90" s="55">
        <f>Tabla3[[#This Row],[Subtotal]]/12</f>
        <v>10268402.583333334</v>
      </c>
    </row>
    <row r="91" spans="1:19" x14ac:dyDescent="0.2">
      <c r="A91" s="4">
        <v>473</v>
      </c>
      <c r="B91" s="2">
        <v>120411901</v>
      </c>
      <c r="C91" s="2">
        <v>0</v>
      </c>
      <c r="D91" s="4" t="s">
        <v>325</v>
      </c>
      <c r="E91" s="2">
        <v>120411901</v>
      </c>
      <c r="F91" s="2">
        <v>22878261.190000001</v>
      </c>
      <c r="G91" s="2">
        <v>2778550.31</v>
      </c>
      <c r="H91" s="4">
        <v>0</v>
      </c>
      <c r="I91" s="4">
        <v>0</v>
      </c>
      <c r="J91" s="4">
        <v>2778550.31</v>
      </c>
      <c r="K91" s="4">
        <v>140511611.88</v>
      </c>
      <c r="L91" s="4" t="s">
        <v>323</v>
      </c>
      <c r="M91" s="4" t="s">
        <v>324</v>
      </c>
      <c r="N91" s="4" t="s">
        <v>46</v>
      </c>
      <c r="O91" s="4" t="s">
        <v>27</v>
      </c>
      <c r="P91" s="4" t="s">
        <v>27</v>
      </c>
      <c r="Q91" s="8" t="s">
        <v>28</v>
      </c>
      <c r="R91" s="9">
        <f t="shared" si="2"/>
        <v>2.1124729878104404E-3</v>
      </c>
      <c r="S91" s="55">
        <f>Tabla3[[#This Row],[Subtotal]]/12</f>
        <v>10034325.083333334</v>
      </c>
    </row>
    <row r="92" spans="1:19" x14ac:dyDescent="0.2">
      <c r="A92" s="4">
        <v>166</v>
      </c>
      <c r="B92" s="2">
        <v>120314376</v>
      </c>
      <c r="C92" s="2">
        <v>0</v>
      </c>
      <c r="D92" s="4" t="s">
        <v>328</v>
      </c>
      <c r="E92" s="2">
        <v>120314376</v>
      </c>
      <c r="F92" s="2">
        <v>22859731.440000001</v>
      </c>
      <c r="G92" s="2">
        <v>2736933.7</v>
      </c>
      <c r="H92" s="4">
        <v>0</v>
      </c>
      <c r="I92" s="4">
        <v>0</v>
      </c>
      <c r="J92" s="4">
        <v>2736933.7</v>
      </c>
      <c r="K92" s="4">
        <v>140437173.74000001</v>
      </c>
      <c r="L92" s="4" t="s">
        <v>326</v>
      </c>
      <c r="M92" s="4" t="s">
        <v>327</v>
      </c>
      <c r="N92" s="4" t="s">
        <v>329</v>
      </c>
      <c r="O92" s="4" t="s">
        <v>89</v>
      </c>
      <c r="P92" s="4" t="s">
        <v>89</v>
      </c>
      <c r="Q92" s="8" t="s">
        <v>28</v>
      </c>
      <c r="R92" s="9">
        <f t="shared" si="2"/>
        <v>2.1107620362647438E-3</v>
      </c>
      <c r="S92" s="55">
        <f>Tabla3[[#This Row],[Subtotal]]/12</f>
        <v>10026198</v>
      </c>
    </row>
    <row r="93" spans="1:19" x14ac:dyDescent="0.2">
      <c r="A93" s="4">
        <v>270</v>
      </c>
      <c r="B93" s="2">
        <v>118779085.76000001</v>
      </c>
      <c r="C93" s="2">
        <v>0</v>
      </c>
      <c r="D93" s="4" t="s">
        <v>331</v>
      </c>
      <c r="E93" s="2">
        <v>118779085.76000001</v>
      </c>
      <c r="F93" s="2">
        <v>22568026.289999999</v>
      </c>
      <c r="G93" s="2">
        <v>2969477.18</v>
      </c>
      <c r="H93" s="4">
        <v>3385203.97</v>
      </c>
      <c r="I93" s="4">
        <v>0</v>
      </c>
      <c r="J93" s="4">
        <v>6354681.1500000004</v>
      </c>
      <c r="K93" s="4">
        <v>134992430.90000001</v>
      </c>
      <c r="L93" s="4" t="s">
        <v>330</v>
      </c>
      <c r="M93" s="4" t="s">
        <v>110</v>
      </c>
      <c r="N93" s="4" t="s">
        <v>332</v>
      </c>
      <c r="O93" s="4" t="s">
        <v>21</v>
      </c>
      <c r="P93" s="4" t="s">
        <v>21</v>
      </c>
      <c r="Q93" s="8" t="s">
        <v>22</v>
      </c>
      <c r="R93" s="9">
        <f t="shared" si="2"/>
        <v>2.0838273301973676E-3</v>
      </c>
      <c r="S93" s="55">
        <f>Tabla3[[#This Row],[Subtotal]]/12</f>
        <v>9898257.1466666665</v>
      </c>
    </row>
    <row r="94" spans="1:19" x14ac:dyDescent="0.2">
      <c r="A94" s="4">
        <v>1680</v>
      </c>
      <c r="B94" s="2">
        <v>118084928</v>
      </c>
      <c r="C94" s="2">
        <v>0</v>
      </c>
      <c r="D94" s="4" t="s">
        <v>335</v>
      </c>
      <c r="E94" s="2">
        <v>118084928</v>
      </c>
      <c r="F94" s="2">
        <v>0</v>
      </c>
      <c r="G94" s="2">
        <v>0</v>
      </c>
      <c r="H94" s="4">
        <v>0</v>
      </c>
      <c r="I94" s="4">
        <v>0</v>
      </c>
      <c r="J94" s="4">
        <v>0</v>
      </c>
      <c r="K94" s="4">
        <v>118084928</v>
      </c>
      <c r="L94" s="4" t="s">
        <v>333</v>
      </c>
      <c r="M94" s="4" t="s">
        <v>334</v>
      </c>
      <c r="N94" s="4" t="s">
        <v>336</v>
      </c>
      <c r="O94" s="4" t="s">
        <v>76</v>
      </c>
      <c r="P94" s="4" t="s">
        <v>76</v>
      </c>
      <c r="Q94" s="8" t="s">
        <v>28</v>
      </c>
      <c r="R94" s="9">
        <f t="shared" si="2"/>
        <v>2.0716492190214712E-3</v>
      </c>
      <c r="S94" s="55">
        <f>Tabla3[[#This Row],[Subtotal]]/12</f>
        <v>9840410.666666666</v>
      </c>
    </row>
    <row r="95" spans="1:19" x14ac:dyDescent="0.2">
      <c r="A95" s="4">
        <v>1380</v>
      </c>
      <c r="B95" s="2">
        <v>116569820</v>
      </c>
      <c r="C95" s="2">
        <v>0</v>
      </c>
      <c r="D95" s="4" t="s">
        <v>339</v>
      </c>
      <c r="E95" s="2">
        <v>116569820</v>
      </c>
      <c r="F95" s="2">
        <v>22148265.800000001</v>
      </c>
      <c r="G95" s="2">
        <v>2404568.96</v>
      </c>
      <c r="H95" s="4">
        <v>0</v>
      </c>
      <c r="I95" s="4">
        <v>0</v>
      </c>
      <c r="J95" s="4">
        <v>2404568.96</v>
      </c>
      <c r="K95" s="4">
        <v>136313516.84</v>
      </c>
      <c r="L95" s="4" t="s">
        <v>337</v>
      </c>
      <c r="M95" s="4" t="s">
        <v>338</v>
      </c>
      <c r="N95" s="4" t="s">
        <v>142</v>
      </c>
      <c r="O95" s="4" t="s">
        <v>340</v>
      </c>
      <c r="P95" s="4" t="s">
        <v>340</v>
      </c>
      <c r="Q95" s="8" t="s">
        <v>28</v>
      </c>
      <c r="R95" s="9">
        <f t="shared" si="2"/>
        <v>2.045068584573922E-3</v>
      </c>
      <c r="S95" s="55">
        <f>Tabla3[[#This Row],[Subtotal]]/12</f>
        <v>9714151.666666666</v>
      </c>
    </row>
    <row r="96" spans="1:19" x14ac:dyDescent="0.2">
      <c r="A96" s="4">
        <v>259</v>
      </c>
      <c r="B96" s="2">
        <v>115951503.18000001</v>
      </c>
      <c r="C96" s="2">
        <v>0</v>
      </c>
      <c r="D96" s="4" t="s">
        <v>342</v>
      </c>
      <c r="E96" s="2">
        <v>115951503.18000001</v>
      </c>
      <c r="F96" s="2">
        <v>22030785.600000001</v>
      </c>
      <c r="G96" s="2">
        <v>2898787.62</v>
      </c>
      <c r="H96" s="4">
        <v>3304617.86</v>
      </c>
      <c r="I96" s="4">
        <v>0</v>
      </c>
      <c r="J96" s="4">
        <v>6203405.4800000004</v>
      </c>
      <c r="K96" s="4">
        <v>131778883.3</v>
      </c>
      <c r="L96" s="4" t="s">
        <v>341</v>
      </c>
      <c r="M96" s="4" t="s">
        <v>110</v>
      </c>
      <c r="N96" s="4" t="s">
        <v>20</v>
      </c>
      <c r="O96" s="4" t="s">
        <v>21</v>
      </c>
      <c r="P96" s="4" t="s">
        <v>21</v>
      </c>
      <c r="Q96" s="8" t="s">
        <v>22</v>
      </c>
      <c r="R96" s="9">
        <f t="shared" si="2"/>
        <v>2.0342210058104339E-3</v>
      </c>
      <c r="S96" s="55">
        <f>Tabla3[[#This Row],[Subtotal]]/12</f>
        <v>9662625.2650000006</v>
      </c>
    </row>
    <row r="97" spans="1:19" x14ac:dyDescent="0.2">
      <c r="A97" s="4">
        <v>274</v>
      </c>
      <c r="B97" s="2">
        <v>115476226</v>
      </c>
      <c r="C97" s="2">
        <v>1017811.11</v>
      </c>
      <c r="D97" s="4" t="s">
        <v>345</v>
      </c>
      <c r="E97" s="2">
        <v>114458414.89</v>
      </c>
      <c r="F97" s="2">
        <v>21747098.829999998</v>
      </c>
      <c r="G97" s="2">
        <v>2747083.58</v>
      </c>
      <c r="H97" s="4">
        <v>0</v>
      </c>
      <c r="I97" s="4">
        <v>0</v>
      </c>
      <c r="J97" s="4">
        <v>2747083.58</v>
      </c>
      <c r="K97" s="4">
        <v>133458430.14</v>
      </c>
      <c r="L97" s="4" t="s">
        <v>343</v>
      </c>
      <c r="M97" s="4" t="s">
        <v>344</v>
      </c>
      <c r="N97" s="4" t="s">
        <v>20</v>
      </c>
      <c r="O97" s="4" t="s">
        <v>71</v>
      </c>
      <c r="P97" s="4" t="s">
        <v>71</v>
      </c>
      <c r="Q97" s="8" t="s">
        <v>100</v>
      </c>
      <c r="R97" s="9">
        <f t="shared" si="2"/>
        <v>2.0080266790466609E-3</v>
      </c>
      <c r="S97" s="55">
        <f>Tabla3[[#This Row],[Subtotal]]/12</f>
        <v>9538201.2408333328</v>
      </c>
    </row>
    <row r="98" spans="1:19" x14ac:dyDescent="0.2">
      <c r="A98" s="4">
        <v>1166</v>
      </c>
      <c r="B98" s="2">
        <v>113867057</v>
      </c>
      <c r="C98" s="2">
        <v>194116.8</v>
      </c>
      <c r="D98" s="4" t="s">
        <v>348</v>
      </c>
      <c r="E98" s="2">
        <v>113672940.2</v>
      </c>
      <c r="F98" s="2">
        <v>21597858.640000001</v>
      </c>
      <c r="G98" s="2">
        <v>2833371.5</v>
      </c>
      <c r="H98" s="4">
        <v>0</v>
      </c>
      <c r="I98" s="4">
        <v>0</v>
      </c>
      <c r="J98" s="4">
        <v>2833371.5</v>
      </c>
      <c r="K98" s="4">
        <v>132437427.34</v>
      </c>
      <c r="L98" s="4" t="s">
        <v>346</v>
      </c>
      <c r="M98" s="4" t="s">
        <v>347</v>
      </c>
      <c r="N98" s="4" t="s">
        <v>349</v>
      </c>
      <c r="O98" s="4" t="s">
        <v>93</v>
      </c>
      <c r="P98" s="4" t="s">
        <v>93</v>
      </c>
      <c r="Q98" s="8" t="s">
        <v>100</v>
      </c>
      <c r="R98" s="9">
        <f t="shared" si="2"/>
        <v>1.994246528982974E-3</v>
      </c>
      <c r="S98" s="55">
        <f>Tabla3[[#This Row],[Subtotal]]/12</f>
        <v>9472745.0166666675</v>
      </c>
    </row>
    <row r="99" spans="1:19" x14ac:dyDescent="0.2">
      <c r="A99" s="4">
        <v>1689</v>
      </c>
      <c r="B99" s="2">
        <v>113547211</v>
      </c>
      <c r="C99" s="2">
        <v>0</v>
      </c>
      <c r="D99" s="4" t="s">
        <v>352</v>
      </c>
      <c r="E99" s="2">
        <v>113547211</v>
      </c>
      <c r="F99" s="2">
        <v>21573970.09</v>
      </c>
      <c r="G99" s="2">
        <v>2825892.42</v>
      </c>
      <c r="H99" s="4">
        <v>0</v>
      </c>
      <c r="I99" s="4">
        <v>0</v>
      </c>
      <c r="J99" s="4">
        <v>2825892.42</v>
      </c>
      <c r="K99" s="4">
        <v>132295288.67</v>
      </c>
      <c r="L99" s="4" t="s">
        <v>350</v>
      </c>
      <c r="M99" s="4" t="s">
        <v>351</v>
      </c>
      <c r="N99" s="4" t="s">
        <v>46</v>
      </c>
      <c r="O99" s="4" t="s">
        <v>27</v>
      </c>
      <c r="P99" s="4" t="s">
        <v>27</v>
      </c>
      <c r="Q99" s="8" t="s">
        <v>28</v>
      </c>
      <c r="R99" s="9">
        <f t="shared" si="2"/>
        <v>1.9920407707765737E-3</v>
      </c>
      <c r="S99" s="55">
        <f>Tabla3[[#This Row],[Subtotal]]/12</f>
        <v>9462267.583333334</v>
      </c>
    </row>
    <row r="100" spans="1:19" x14ac:dyDescent="0.2">
      <c r="A100" s="4">
        <v>403</v>
      </c>
      <c r="B100" s="2">
        <v>113319552</v>
      </c>
      <c r="C100" s="2">
        <v>0</v>
      </c>
      <c r="D100" s="4" t="s">
        <v>355</v>
      </c>
      <c r="E100" s="2">
        <v>113319552</v>
      </c>
      <c r="F100" s="2">
        <v>21530714.879999999</v>
      </c>
      <c r="G100" s="2">
        <v>2750318.75</v>
      </c>
      <c r="H100" s="4">
        <v>0</v>
      </c>
      <c r="I100" s="4">
        <v>0</v>
      </c>
      <c r="J100" s="4">
        <v>2750318.75</v>
      </c>
      <c r="K100" s="4">
        <v>132099948.13</v>
      </c>
      <c r="L100" s="4" t="s">
        <v>353</v>
      </c>
      <c r="M100" s="4" t="s">
        <v>354</v>
      </c>
      <c r="N100" s="4" t="s">
        <v>221</v>
      </c>
      <c r="O100" s="4" t="s">
        <v>33</v>
      </c>
      <c r="P100" s="4" t="s">
        <v>33</v>
      </c>
      <c r="Q100" s="8" t="s">
        <v>100</v>
      </c>
      <c r="R100" s="9">
        <f t="shared" si="2"/>
        <v>1.9880467844352076E-3</v>
      </c>
      <c r="S100" s="55">
        <f>Tabla3[[#This Row],[Subtotal]]/12</f>
        <v>9443296</v>
      </c>
    </row>
    <row r="101" spans="1:19" x14ac:dyDescent="0.2">
      <c r="A101" s="4">
        <v>522</v>
      </c>
      <c r="B101" s="2">
        <v>114698161</v>
      </c>
      <c r="C101" s="2">
        <v>2506072.92</v>
      </c>
      <c r="D101" s="4" t="s">
        <v>358</v>
      </c>
      <c r="E101" s="2">
        <v>112192088.08</v>
      </c>
      <c r="F101" s="2">
        <v>21316496.75</v>
      </c>
      <c r="G101" s="2">
        <v>2652826.16</v>
      </c>
      <c r="H101" s="4">
        <v>0</v>
      </c>
      <c r="I101" s="4">
        <v>0</v>
      </c>
      <c r="J101" s="4">
        <v>2652826.16</v>
      </c>
      <c r="K101" s="4">
        <v>130855758.67</v>
      </c>
      <c r="L101" s="4" t="s">
        <v>356</v>
      </c>
      <c r="M101" s="4" t="s">
        <v>357</v>
      </c>
      <c r="N101" s="4" t="s">
        <v>20</v>
      </c>
      <c r="O101" s="4" t="s">
        <v>359</v>
      </c>
      <c r="P101" s="4" t="s">
        <v>359</v>
      </c>
      <c r="Q101" s="8" t="s">
        <v>100</v>
      </c>
      <c r="R101" s="9">
        <f t="shared" si="2"/>
        <v>1.9682668701912587E-3</v>
      </c>
      <c r="S101" s="55">
        <f>Tabla3[[#This Row],[Subtotal]]/12</f>
        <v>9349340.6733333338</v>
      </c>
    </row>
    <row r="102" spans="1:19" x14ac:dyDescent="0.2">
      <c r="A102" s="4">
        <v>1039</v>
      </c>
      <c r="B102" s="2">
        <v>111701404</v>
      </c>
      <c r="C102" s="2">
        <v>524537.52</v>
      </c>
      <c r="D102" s="4" t="s">
        <v>362</v>
      </c>
      <c r="E102" s="2">
        <v>111176866.48</v>
      </c>
      <c r="F102" s="2">
        <v>21123604.640000001</v>
      </c>
      <c r="G102" s="2">
        <v>2779421.7</v>
      </c>
      <c r="H102" s="4">
        <v>0</v>
      </c>
      <c r="I102" s="4">
        <v>0</v>
      </c>
      <c r="J102" s="4">
        <v>2779421.7</v>
      </c>
      <c r="K102" s="4">
        <v>129521049.42</v>
      </c>
      <c r="L102" s="4" t="s">
        <v>360</v>
      </c>
      <c r="M102" s="4" t="s">
        <v>361</v>
      </c>
      <c r="N102" s="4" t="s">
        <v>20</v>
      </c>
      <c r="O102" s="4" t="s">
        <v>71</v>
      </c>
      <c r="P102" s="4" t="s">
        <v>71</v>
      </c>
      <c r="Q102" s="8" t="s">
        <v>28</v>
      </c>
      <c r="R102" s="9">
        <f t="shared" si="2"/>
        <v>1.9504561040723707E-3</v>
      </c>
      <c r="S102" s="55">
        <f>Tabla3[[#This Row],[Subtotal]]/12</f>
        <v>9264738.8733333331</v>
      </c>
    </row>
    <row r="103" spans="1:19" x14ac:dyDescent="0.2">
      <c r="A103" s="4">
        <v>1048</v>
      </c>
      <c r="B103" s="2">
        <v>114463986</v>
      </c>
      <c r="C103" s="2">
        <v>3394850.1</v>
      </c>
      <c r="D103" s="4" t="s">
        <v>365</v>
      </c>
      <c r="E103" s="2">
        <v>111069135.90000001</v>
      </c>
      <c r="F103" s="2">
        <v>21103135.829999998</v>
      </c>
      <c r="G103" s="2">
        <v>2744170.51</v>
      </c>
      <c r="H103" s="4">
        <v>0</v>
      </c>
      <c r="I103" s="4">
        <v>0</v>
      </c>
      <c r="J103" s="4">
        <v>2744170.51</v>
      </c>
      <c r="K103" s="4">
        <v>129428101.22</v>
      </c>
      <c r="L103" s="4" t="s">
        <v>363</v>
      </c>
      <c r="M103" s="4" t="s">
        <v>364</v>
      </c>
      <c r="N103" s="4" t="s">
        <v>200</v>
      </c>
      <c r="O103" s="4" t="s">
        <v>201</v>
      </c>
      <c r="P103" s="4" t="s">
        <v>201</v>
      </c>
      <c r="Q103" s="8" t="s">
        <v>28</v>
      </c>
      <c r="R103" s="9">
        <f t="shared" si="2"/>
        <v>1.9485661086622729E-3</v>
      </c>
      <c r="S103" s="55">
        <f>Tabla3[[#This Row],[Subtotal]]/12</f>
        <v>9255761.3250000011</v>
      </c>
    </row>
    <row r="104" spans="1:19" x14ac:dyDescent="0.2">
      <c r="A104" s="4">
        <v>1028</v>
      </c>
      <c r="B104" s="2">
        <v>110674417</v>
      </c>
      <c r="C104" s="2">
        <v>0</v>
      </c>
      <c r="D104" s="4" t="s">
        <v>367</v>
      </c>
      <c r="E104" s="2">
        <v>110674417</v>
      </c>
      <c r="F104" s="2">
        <v>21028139.23</v>
      </c>
      <c r="G104" s="2">
        <v>2592545.25</v>
      </c>
      <c r="H104" s="4">
        <v>3024551.33</v>
      </c>
      <c r="I104" s="4">
        <v>605513.16</v>
      </c>
      <c r="J104" s="4">
        <v>6222609.7400000002</v>
      </c>
      <c r="K104" s="4">
        <v>125479946.48999999</v>
      </c>
      <c r="L104" s="4" t="s">
        <v>366</v>
      </c>
      <c r="M104" s="4" t="s">
        <v>178</v>
      </c>
      <c r="N104" s="4" t="s">
        <v>368</v>
      </c>
      <c r="O104" s="4" t="s">
        <v>89</v>
      </c>
      <c r="P104" s="4" t="s">
        <v>89</v>
      </c>
      <c r="Q104" s="8" t="s">
        <v>28</v>
      </c>
      <c r="R104" s="9">
        <f t="shared" si="2"/>
        <v>1.9416412697792105E-3</v>
      </c>
      <c r="S104" s="55">
        <f>Tabla3[[#This Row],[Subtotal]]/12</f>
        <v>9222868.083333334</v>
      </c>
    </row>
    <row r="105" spans="1:19" x14ac:dyDescent="0.2">
      <c r="A105" s="4">
        <v>315</v>
      </c>
      <c r="B105" s="2">
        <v>111983234</v>
      </c>
      <c r="C105" s="2">
        <v>1362146.64</v>
      </c>
      <c r="D105" s="4" t="s">
        <v>371</v>
      </c>
      <c r="E105" s="2">
        <v>110621087.36</v>
      </c>
      <c r="F105" s="2">
        <v>21018006.629999999</v>
      </c>
      <c r="G105" s="2">
        <v>2579585.25</v>
      </c>
      <c r="H105" s="4">
        <v>0</v>
      </c>
      <c r="I105" s="4">
        <v>0</v>
      </c>
      <c r="J105" s="4">
        <v>2579585.25</v>
      </c>
      <c r="K105" s="4">
        <v>129059508.73999999</v>
      </c>
      <c r="L105" s="4" t="s">
        <v>369</v>
      </c>
      <c r="M105" s="4" t="s">
        <v>370</v>
      </c>
      <c r="N105" s="4" t="s">
        <v>20</v>
      </c>
      <c r="O105" s="4" t="s">
        <v>372</v>
      </c>
      <c r="P105" s="4" t="s">
        <v>372</v>
      </c>
      <c r="Q105" s="8" t="s">
        <v>28</v>
      </c>
      <c r="R105" s="9">
        <f t="shared" si="2"/>
        <v>1.9407056693691676E-3</v>
      </c>
      <c r="S105" s="55">
        <f>Tabla3[[#This Row],[Subtotal]]/12</f>
        <v>9218423.9466666672</v>
      </c>
    </row>
    <row r="106" spans="1:19" x14ac:dyDescent="0.2">
      <c r="A106" s="4">
        <v>761</v>
      </c>
      <c r="B106" s="2">
        <v>109183335</v>
      </c>
      <c r="C106" s="2">
        <v>0</v>
      </c>
      <c r="D106" s="4" t="s">
        <v>374</v>
      </c>
      <c r="E106" s="2">
        <v>109183335</v>
      </c>
      <c r="F106" s="2">
        <v>20744833.649999999</v>
      </c>
      <c r="G106" s="2">
        <v>2719231.28</v>
      </c>
      <c r="H106" s="4">
        <v>3111725.04</v>
      </c>
      <c r="I106" s="4">
        <v>0</v>
      </c>
      <c r="J106" s="4">
        <v>5830956.3200000003</v>
      </c>
      <c r="K106" s="4">
        <v>124097212.33</v>
      </c>
      <c r="L106" s="4" t="s">
        <v>373</v>
      </c>
      <c r="M106" s="4" t="s">
        <v>81</v>
      </c>
      <c r="N106" s="4" t="s">
        <v>112</v>
      </c>
      <c r="O106" s="4" t="s">
        <v>113</v>
      </c>
      <c r="P106" s="4" t="s">
        <v>113</v>
      </c>
      <c r="Q106" s="8" t="s">
        <v>28</v>
      </c>
      <c r="R106" s="9">
        <f t="shared" si="2"/>
        <v>1.9154821408106349E-3</v>
      </c>
      <c r="S106" s="55">
        <f>Tabla3[[#This Row],[Subtotal]]/12</f>
        <v>9098611.25</v>
      </c>
    </row>
    <row r="107" spans="1:19" x14ac:dyDescent="0.2">
      <c r="A107" s="4">
        <v>910</v>
      </c>
      <c r="B107" s="2">
        <v>109122935</v>
      </c>
      <c r="C107" s="2">
        <v>203430.81</v>
      </c>
      <c r="D107" s="4" t="s">
        <v>376</v>
      </c>
      <c r="E107" s="2">
        <v>108919504.19</v>
      </c>
      <c r="F107" s="2">
        <v>20694705.800000001</v>
      </c>
      <c r="G107" s="2">
        <v>2722987.62</v>
      </c>
      <c r="H107" s="4">
        <v>3104205.85</v>
      </c>
      <c r="I107" s="4">
        <v>0</v>
      </c>
      <c r="J107" s="4">
        <v>5827193.4699999997</v>
      </c>
      <c r="K107" s="4">
        <v>123787016.52</v>
      </c>
      <c r="L107" s="4" t="s">
        <v>375</v>
      </c>
      <c r="M107" s="4" t="s">
        <v>95</v>
      </c>
      <c r="N107" s="4" t="s">
        <v>377</v>
      </c>
      <c r="O107" s="4" t="s">
        <v>67</v>
      </c>
      <c r="P107" s="4" t="s">
        <v>67</v>
      </c>
      <c r="Q107" s="8" t="s">
        <v>28</v>
      </c>
      <c r="R107" s="9">
        <f t="shared" si="2"/>
        <v>1.9108535662690107E-3</v>
      </c>
      <c r="S107" s="55">
        <f>Tabla3[[#This Row],[Subtotal]]/12</f>
        <v>9076625.3491666671</v>
      </c>
    </row>
    <row r="108" spans="1:19" x14ac:dyDescent="0.2">
      <c r="A108" s="4">
        <v>604</v>
      </c>
      <c r="B108" s="2">
        <v>108550587</v>
      </c>
      <c r="C108" s="2">
        <v>150756.51</v>
      </c>
      <c r="D108" s="4" t="s">
        <v>380</v>
      </c>
      <c r="E108" s="2">
        <v>108399830.48999999</v>
      </c>
      <c r="F108" s="2">
        <v>20595967.789999999</v>
      </c>
      <c r="G108" s="2">
        <v>2709995.81</v>
      </c>
      <c r="H108" s="4">
        <v>0</v>
      </c>
      <c r="I108" s="4">
        <v>0</v>
      </c>
      <c r="J108" s="4">
        <v>2709995.81</v>
      </c>
      <c r="K108" s="4">
        <v>126285802.47</v>
      </c>
      <c r="L108" s="4" t="s">
        <v>378</v>
      </c>
      <c r="M108" s="4" t="s">
        <v>379</v>
      </c>
      <c r="N108" s="4" t="s">
        <v>381</v>
      </c>
      <c r="O108" s="4" t="s">
        <v>382</v>
      </c>
      <c r="P108" s="4" t="s">
        <v>382</v>
      </c>
      <c r="Q108" s="8" t="s">
        <v>100</v>
      </c>
      <c r="R108" s="9">
        <f t="shared" si="2"/>
        <v>1.9017365550383226E-3</v>
      </c>
      <c r="S108" s="55">
        <f>Tabla3[[#This Row],[Subtotal]]/12</f>
        <v>9033319.2074999996</v>
      </c>
    </row>
    <row r="109" spans="1:19" x14ac:dyDescent="0.2">
      <c r="A109" s="4">
        <v>309</v>
      </c>
      <c r="B109" s="2">
        <v>108297873</v>
      </c>
      <c r="C109" s="2">
        <v>0</v>
      </c>
      <c r="D109" s="4" t="s">
        <v>385</v>
      </c>
      <c r="E109" s="2">
        <v>108297873</v>
      </c>
      <c r="F109" s="2">
        <v>0</v>
      </c>
      <c r="G109" s="2">
        <v>2698665.84</v>
      </c>
      <c r="H109" s="4">
        <v>0</v>
      </c>
      <c r="I109" s="4">
        <v>0</v>
      </c>
      <c r="J109" s="4">
        <v>2698665.84</v>
      </c>
      <c r="K109" s="4">
        <v>105599207.16</v>
      </c>
      <c r="L109" s="4" t="s">
        <v>383</v>
      </c>
      <c r="M109" s="4" t="s">
        <v>384</v>
      </c>
      <c r="N109" s="4" t="s">
        <v>336</v>
      </c>
      <c r="O109" s="4" t="s">
        <v>386</v>
      </c>
      <c r="P109" s="4" t="s">
        <v>386</v>
      </c>
      <c r="Q109" s="8" t="s">
        <v>100</v>
      </c>
      <c r="R109" s="9">
        <f t="shared" si="2"/>
        <v>1.8999478411176782E-3</v>
      </c>
      <c r="S109" s="55">
        <f>Tabla3[[#This Row],[Subtotal]]/12</f>
        <v>9024822.75</v>
      </c>
    </row>
    <row r="110" spans="1:19" x14ac:dyDescent="0.2">
      <c r="A110" s="4">
        <v>634</v>
      </c>
      <c r="B110" s="2">
        <v>105923337</v>
      </c>
      <c r="C110" s="2">
        <v>0</v>
      </c>
      <c r="D110" s="4" t="s">
        <v>388</v>
      </c>
      <c r="E110" s="2">
        <v>105923337</v>
      </c>
      <c r="F110" s="2">
        <v>20125434.030000001</v>
      </c>
      <c r="G110" s="2">
        <v>2503606</v>
      </c>
      <c r="H110" s="4">
        <v>0</v>
      </c>
      <c r="I110" s="4">
        <v>0</v>
      </c>
      <c r="J110" s="4">
        <v>2503606</v>
      </c>
      <c r="K110" s="4">
        <v>123545165.03</v>
      </c>
      <c r="L110" s="4" t="s">
        <v>387</v>
      </c>
      <c r="M110" s="4" t="s">
        <v>304</v>
      </c>
      <c r="N110" s="4" t="s">
        <v>389</v>
      </c>
      <c r="O110" s="4" t="s">
        <v>42</v>
      </c>
      <c r="P110" s="4" t="s">
        <v>42</v>
      </c>
      <c r="Q110" s="8" t="s">
        <v>28</v>
      </c>
      <c r="R110" s="9">
        <f t="shared" si="2"/>
        <v>1.858289640251109E-3</v>
      </c>
      <c r="S110" s="55">
        <f>Tabla3[[#This Row],[Subtotal]]/12</f>
        <v>8826944.75</v>
      </c>
    </row>
    <row r="111" spans="1:19" x14ac:dyDescent="0.2">
      <c r="A111" s="4">
        <v>1753</v>
      </c>
      <c r="B111" s="2">
        <v>105415798</v>
      </c>
      <c r="C111" s="2">
        <v>0</v>
      </c>
      <c r="D111" s="4" t="s">
        <v>392</v>
      </c>
      <c r="E111" s="2">
        <v>105415798</v>
      </c>
      <c r="F111" s="2">
        <v>20029001.620000001</v>
      </c>
      <c r="G111" s="2">
        <v>2635395</v>
      </c>
      <c r="H111" s="4">
        <v>0</v>
      </c>
      <c r="I111" s="4">
        <v>0</v>
      </c>
      <c r="J111" s="4">
        <v>2635395</v>
      </c>
      <c r="K111" s="4">
        <v>122809404.62</v>
      </c>
      <c r="L111" s="4" t="s">
        <v>390</v>
      </c>
      <c r="M111" s="4" t="s">
        <v>391</v>
      </c>
      <c r="N111" s="4" t="s">
        <v>393</v>
      </c>
      <c r="O111" s="4" t="s">
        <v>196</v>
      </c>
      <c r="P111" s="4" t="s">
        <v>196</v>
      </c>
      <c r="Q111" s="8" t="s">
        <v>22</v>
      </c>
      <c r="R111" s="9">
        <f t="shared" si="2"/>
        <v>1.8493855168309472E-3</v>
      </c>
      <c r="S111" s="55">
        <f>Tabla3[[#This Row],[Subtotal]]/12</f>
        <v>8784649.833333334</v>
      </c>
    </row>
    <row r="112" spans="1:19" x14ac:dyDescent="0.2">
      <c r="A112" s="4">
        <v>724</v>
      </c>
      <c r="B112" s="2">
        <v>103778025</v>
      </c>
      <c r="C112" s="2">
        <v>0</v>
      </c>
      <c r="D112" s="4" t="s">
        <v>396</v>
      </c>
      <c r="E112" s="2">
        <v>103778025</v>
      </c>
      <c r="F112" s="2">
        <v>19717824.75</v>
      </c>
      <c r="G112" s="2">
        <v>2579624.7400000002</v>
      </c>
      <c r="H112" s="4">
        <v>0</v>
      </c>
      <c r="I112" s="4">
        <v>0</v>
      </c>
      <c r="J112" s="4">
        <v>2579624.7400000002</v>
      </c>
      <c r="K112" s="4">
        <v>120916225.01000001</v>
      </c>
      <c r="L112" s="4" t="s">
        <v>394</v>
      </c>
      <c r="M112" s="4" t="s">
        <v>395</v>
      </c>
      <c r="N112" s="4" t="s">
        <v>397</v>
      </c>
      <c r="O112" s="4" t="s">
        <v>89</v>
      </c>
      <c r="P112" s="4" t="s">
        <v>89</v>
      </c>
      <c r="Q112" s="8" t="s">
        <v>28</v>
      </c>
      <c r="R112" s="9">
        <f t="shared" si="2"/>
        <v>1.820652881651761E-3</v>
      </c>
      <c r="S112" s="55">
        <f>Tabla3[[#This Row],[Subtotal]]/12</f>
        <v>8648168.75</v>
      </c>
    </row>
    <row r="113" spans="1:19" x14ac:dyDescent="0.2">
      <c r="A113" s="4">
        <v>1422</v>
      </c>
      <c r="B113" s="2">
        <v>103311664</v>
      </c>
      <c r="C113" s="2">
        <v>0</v>
      </c>
      <c r="D113" s="4" t="s">
        <v>400</v>
      </c>
      <c r="E113" s="2">
        <v>103311664</v>
      </c>
      <c r="F113" s="2">
        <v>19629216.16</v>
      </c>
      <c r="G113" s="2">
        <v>2582791.64</v>
      </c>
      <c r="H113" s="4">
        <v>0</v>
      </c>
      <c r="I113" s="4">
        <v>0</v>
      </c>
      <c r="J113" s="4">
        <v>2582791.64</v>
      </c>
      <c r="K113" s="4">
        <v>120358088.52</v>
      </c>
      <c r="L113" s="4" t="s">
        <v>398</v>
      </c>
      <c r="M113" s="4" t="s">
        <v>399</v>
      </c>
      <c r="N113" s="4" t="s">
        <v>401</v>
      </c>
      <c r="O113" s="4" t="s">
        <v>27</v>
      </c>
      <c r="P113" s="4" t="s">
        <v>27</v>
      </c>
      <c r="Q113" s="8" t="s">
        <v>28</v>
      </c>
      <c r="R113" s="9">
        <f t="shared" si="2"/>
        <v>1.8124711736404553E-3</v>
      </c>
      <c r="S113" s="55">
        <f>Tabla3[[#This Row],[Subtotal]]/12</f>
        <v>8609305.333333334</v>
      </c>
    </row>
    <row r="114" spans="1:19" x14ac:dyDescent="0.2">
      <c r="A114" s="4">
        <v>646</v>
      </c>
      <c r="B114" s="2">
        <v>103200350</v>
      </c>
      <c r="C114" s="2">
        <v>0</v>
      </c>
      <c r="D114" s="4" t="s">
        <v>403</v>
      </c>
      <c r="E114" s="2">
        <v>103200350</v>
      </c>
      <c r="F114" s="2">
        <v>19608066.5</v>
      </c>
      <c r="G114" s="2">
        <v>2461490.25</v>
      </c>
      <c r="H114" s="4">
        <v>0</v>
      </c>
      <c r="I114" s="4">
        <v>0</v>
      </c>
      <c r="J114" s="4">
        <v>2461490.25</v>
      </c>
      <c r="K114" s="4">
        <v>120346926.25</v>
      </c>
      <c r="L114" s="4" t="s">
        <v>402</v>
      </c>
      <c r="M114" s="4" t="s">
        <v>304</v>
      </c>
      <c r="N114" s="4" t="s">
        <v>404</v>
      </c>
      <c r="O114" s="4" t="s">
        <v>42</v>
      </c>
      <c r="P114" s="4" t="s">
        <v>42</v>
      </c>
      <c r="Q114" s="8" t="s">
        <v>28</v>
      </c>
      <c r="R114" s="9">
        <f t="shared" si="2"/>
        <v>1.8105183117039501E-3</v>
      </c>
      <c r="S114" s="55">
        <f>Tabla3[[#This Row],[Subtotal]]/12</f>
        <v>8600029.166666666</v>
      </c>
    </row>
    <row r="115" spans="1:19" x14ac:dyDescent="0.2">
      <c r="A115" s="4">
        <v>1590</v>
      </c>
      <c r="B115" s="2">
        <v>103058856</v>
      </c>
      <c r="C115" s="2">
        <v>0</v>
      </c>
      <c r="D115" s="4" t="s">
        <v>407</v>
      </c>
      <c r="E115" s="2">
        <v>103058856</v>
      </c>
      <c r="F115" s="2">
        <v>19581182.640000001</v>
      </c>
      <c r="G115" s="2">
        <v>2534757</v>
      </c>
      <c r="H115" s="4">
        <v>0</v>
      </c>
      <c r="I115" s="4">
        <v>0</v>
      </c>
      <c r="J115" s="4">
        <v>2534757</v>
      </c>
      <c r="K115" s="4">
        <v>120105281.64</v>
      </c>
      <c r="L115" s="4" t="s">
        <v>405</v>
      </c>
      <c r="M115" s="4" t="s">
        <v>406</v>
      </c>
      <c r="N115" s="4" t="s">
        <v>20</v>
      </c>
      <c r="O115" s="4" t="s">
        <v>76</v>
      </c>
      <c r="P115" s="4" t="s">
        <v>76</v>
      </c>
      <c r="Q115" s="8" t="s">
        <v>408</v>
      </c>
      <c r="R115" s="9">
        <f t="shared" si="2"/>
        <v>1.8080359802196456E-3</v>
      </c>
      <c r="S115" s="55">
        <f>Tabla3[[#This Row],[Subtotal]]/12</f>
        <v>8588238</v>
      </c>
    </row>
    <row r="116" spans="1:19" x14ac:dyDescent="0.2">
      <c r="A116" s="4">
        <v>292</v>
      </c>
      <c r="B116" s="2">
        <v>102446908</v>
      </c>
      <c r="C116" s="2">
        <v>0</v>
      </c>
      <c r="D116" s="4" t="s">
        <v>411</v>
      </c>
      <c r="E116" s="2">
        <v>102446908</v>
      </c>
      <c r="F116" s="2">
        <v>19464912.52</v>
      </c>
      <c r="G116" s="2">
        <v>2510439.4</v>
      </c>
      <c r="H116" s="4">
        <v>0</v>
      </c>
      <c r="I116" s="4">
        <v>0</v>
      </c>
      <c r="J116" s="4">
        <v>2510439.4</v>
      </c>
      <c r="K116" s="4">
        <v>119401381.12</v>
      </c>
      <c r="L116" s="4" t="s">
        <v>409</v>
      </c>
      <c r="M116" s="4" t="s">
        <v>410</v>
      </c>
      <c r="N116" s="4" t="s">
        <v>104</v>
      </c>
      <c r="O116" s="4" t="s">
        <v>105</v>
      </c>
      <c r="P116" s="4" t="s">
        <v>105</v>
      </c>
      <c r="Q116" s="8" t="s">
        <v>100</v>
      </c>
      <c r="R116" s="9">
        <f t="shared" si="2"/>
        <v>1.7973001342674699E-3</v>
      </c>
      <c r="S116" s="55">
        <f>Tabla3[[#This Row],[Subtotal]]/12</f>
        <v>8537242.333333334</v>
      </c>
    </row>
    <row r="117" spans="1:19" x14ac:dyDescent="0.2">
      <c r="A117" s="4">
        <v>1506</v>
      </c>
      <c r="B117" s="2">
        <v>102300131</v>
      </c>
      <c r="C117" s="2">
        <v>0</v>
      </c>
      <c r="D117" s="4" t="s">
        <v>414</v>
      </c>
      <c r="E117" s="2">
        <v>102300131</v>
      </c>
      <c r="F117" s="2">
        <v>19437024.890000001</v>
      </c>
      <c r="G117" s="2">
        <v>2541720.66</v>
      </c>
      <c r="H117" s="4">
        <v>0</v>
      </c>
      <c r="I117" s="4">
        <v>0</v>
      </c>
      <c r="J117" s="4">
        <v>2541720.66</v>
      </c>
      <c r="K117" s="4">
        <v>119195435.23</v>
      </c>
      <c r="L117" s="4" t="s">
        <v>412</v>
      </c>
      <c r="M117" s="4" t="s">
        <v>413</v>
      </c>
      <c r="N117" s="4" t="s">
        <v>415</v>
      </c>
      <c r="O117" s="4" t="s">
        <v>382</v>
      </c>
      <c r="P117" s="4" t="s">
        <v>382</v>
      </c>
      <c r="Q117" s="8" t="s">
        <v>100</v>
      </c>
      <c r="R117" s="9">
        <f t="shared" si="2"/>
        <v>1.7947251192967167E-3</v>
      </c>
      <c r="S117" s="55">
        <f>Tabla3[[#This Row],[Subtotal]]/12</f>
        <v>8525010.916666666</v>
      </c>
    </row>
    <row r="118" spans="1:19" x14ac:dyDescent="0.2">
      <c r="A118" s="4">
        <v>1249</v>
      </c>
      <c r="B118" s="2">
        <v>103211868</v>
      </c>
      <c r="C118" s="2">
        <v>1154314.17</v>
      </c>
      <c r="D118" s="4" t="s">
        <v>418</v>
      </c>
      <c r="E118" s="2">
        <v>102057553.83</v>
      </c>
      <c r="F118" s="2">
        <v>19390935.23</v>
      </c>
      <c r="G118" s="2">
        <v>2220641.7000000002</v>
      </c>
      <c r="H118" s="4">
        <v>0</v>
      </c>
      <c r="I118" s="4">
        <v>0</v>
      </c>
      <c r="J118" s="4">
        <v>2220641.7000000002</v>
      </c>
      <c r="K118" s="4">
        <v>119227847.36</v>
      </c>
      <c r="L118" s="4" t="s">
        <v>416</v>
      </c>
      <c r="M118" s="4" t="s">
        <v>417</v>
      </c>
      <c r="N118" s="4" t="s">
        <v>20</v>
      </c>
      <c r="O118" s="4" t="s">
        <v>257</v>
      </c>
      <c r="P118" s="4" t="s">
        <v>257</v>
      </c>
      <c r="Q118" s="8" t="s">
        <v>28</v>
      </c>
      <c r="R118" s="9">
        <f t="shared" si="2"/>
        <v>1.7904694127193037E-3</v>
      </c>
      <c r="S118" s="55">
        <f>Tabla3[[#This Row],[Subtotal]]/12</f>
        <v>8504796.1524999999</v>
      </c>
    </row>
    <row r="119" spans="1:19" x14ac:dyDescent="0.2">
      <c r="A119" s="4">
        <v>463</v>
      </c>
      <c r="B119" s="2">
        <v>100822736</v>
      </c>
      <c r="C119" s="2">
        <v>0</v>
      </c>
      <c r="D119" s="4" t="s">
        <v>421</v>
      </c>
      <c r="E119" s="2">
        <v>100822736</v>
      </c>
      <c r="F119" s="2">
        <v>19156319.84</v>
      </c>
      <c r="G119" s="2">
        <v>2286597.5499999998</v>
      </c>
      <c r="H119" s="4">
        <v>0</v>
      </c>
      <c r="I119" s="4">
        <v>0</v>
      </c>
      <c r="J119" s="4">
        <v>2286597.5499999998</v>
      </c>
      <c r="K119" s="4">
        <v>117692458.29000001</v>
      </c>
      <c r="L119" s="4" t="s">
        <v>419</v>
      </c>
      <c r="M119" s="4" t="s">
        <v>420</v>
      </c>
      <c r="N119" s="4" t="s">
        <v>20</v>
      </c>
      <c r="O119" s="4" t="s">
        <v>71</v>
      </c>
      <c r="P119" s="4" t="s">
        <v>71</v>
      </c>
      <c r="Q119" s="8" t="s">
        <v>100</v>
      </c>
      <c r="R119" s="9">
        <f t="shared" si="2"/>
        <v>1.7688061112592455E-3</v>
      </c>
      <c r="S119" s="55">
        <f>Tabla3[[#This Row],[Subtotal]]/12</f>
        <v>8401894.666666666</v>
      </c>
    </row>
    <row r="120" spans="1:19" x14ac:dyDescent="0.2">
      <c r="A120" s="4">
        <v>386</v>
      </c>
      <c r="B120" s="2">
        <v>99985442</v>
      </c>
      <c r="C120" s="2">
        <v>0</v>
      </c>
      <c r="D120" s="4" t="s">
        <v>423</v>
      </c>
      <c r="E120" s="2">
        <v>99985442</v>
      </c>
      <c r="F120" s="2">
        <v>18997233.98</v>
      </c>
      <c r="G120" s="2">
        <v>2481540.0499999998</v>
      </c>
      <c r="H120" s="4">
        <v>2849585.09</v>
      </c>
      <c r="I120" s="4">
        <v>0</v>
      </c>
      <c r="J120" s="4">
        <v>5331125.1399999997</v>
      </c>
      <c r="K120" s="4">
        <v>113651550.84</v>
      </c>
      <c r="L120" s="4" t="s">
        <v>422</v>
      </c>
      <c r="M120" s="4" t="s">
        <v>137</v>
      </c>
      <c r="N120" s="4" t="s">
        <v>92</v>
      </c>
      <c r="O120" s="4" t="s">
        <v>93</v>
      </c>
      <c r="P120" s="4" t="s">
        <v>93</v>
      </c>
      <c r="Q120" s="8" t="s">
        <v>22</v>
      </c>
      <c r="R120" s="9">
        <f t="shared" si="2"/>
        <v>1.7541168575960567E-3</v>
      </c>
      <c r="S120" s="55">
        <f>Tabla3[[#This Row],[Subtotal]]/12</f>
        <v>8332120.166666667</v>
      </c>
    </row>
    <row r="121" spans="1:19" x14ac:dyDescent="0.2">
      <c r="A121" s="4">
        <v>925</v>
      </c>
      <c r="B121" s="2">
        <v>99570779</v>
      </c>
      <c r="C121" s="2">
        <v>0</v>
      </c>
      <c r="D121" s="4" t="s">
        <v>426</v>
      </c>
      <c r="E121" s="2">
        <v>99570779</v>
      </c>
      <c r="F121" s="2">
        <v>18918448.010000002</v>
      </c>
      <c r="G121" s="2">
        <v>0</v>
      </c>
      <c r="H121" s="4">
        <v>0</v>
      </c>
      <c r="I121" s="4">
        <v>0</v>
      </c>
      <c r="J121" s="4">
        <v>0</v>
      </c>
      <c r="K121" s="4">
        <v>118489227.01000001</v>
      </c>
      <c r="L121" s="4" t="s">
        <v>424</v>
      </c>
      <c r="M121" s="4" t="s">
        <v>425</v>
      </c>
      <c r="N121" s="4" t="s">
        <v>427</v>
      </c>
      <c r="O121" s="4" t="s">
        <v>89</v>
      </c>
      <c r="P121" s="4" t="s">
        <v>89</v>
      </c>
      <c r="Q121" s="8" t="s">
        <v>28</v>
      </c>
      <c r="R121" s="9">
        <f t="shared" si="2"/>
        <v>1.7468421249552655E-3</v>
      </c>
      <c r="S121" s="55">
        <f>Tabla3[[#This Row],[Subtotal]]/12</f>
        <v>8297564.916666667</v>
      </c>
    </row>
    <row r="122" spans="1:19" x14ac:dyDescent="0.2">
      <c r="A122" s="4">
        <v>247</v>
      </c>
      <c r="B122" s="2">
        <v>99163315</v>
      </c>
      <c r="C122" s="2">
        <v>0</v>
      </c>
      <c r="D122" s="4" t="s">
        <v>430</v>
      </c>
      <c r="E122" s="2">
        <v>99163315</v>
      </c>
      <c r="F122" s="2">
        <v>18841029.850000001</v>
      </c>
      <c r="G122" s="2">
        <v>2468731.92</v>
      </c>
      <c r="H122" s="4">
        <v>0</v>
      </c>
      <c r="I122" s="4">
        <v>0</v>
      </c>
      <c r="J122" s="4">
        <v>2468731.92</v>
      </c>
      <c r="K122" s="4">
        <v>115535612.93000001</v>
      </c>
      <c r="L122" s="4" t="s">
        <v>428</v>
      </c>
      <c r="M122" s="4" t="s">
        <v>429</v>
      </c>
      <c r="N122" s="4" t="s">
        <v>104</v>
      </c>
      <c r="O122" s="4" t="s">
        <v>105</v>
      </c>
      <c r="P122" s="4" t="s">
        <v>105</v>
      </c>
      <c r="Q122" s="8" t="s">
        <v>100</v>
      </c>
      <c r="R122" s="9">
        <f t="shared" si="2"/>
        <v>1.7396936895734073E-3</v>
      </c>
      <c r="S122" s="55">
        <f>Tabla3[[#This Row],[Subtotal]]/12</f>
        <v>8263609.583333333</v>
      </c>
    </row>
    <row r="123" spans="1:19" x14ac:dyDescent="0.2">
      <c r="A123" s="4">
        <v>252</v>
      </c>
      <c r="B123" s="2">
        <v>99285743</v>
      </c>
      <c r="C123" s="2">
        <v>253786.53</v>
      </c>
      <c r="D123" s="4" t="s">
        <v>433</v>
      </c>
      <c r="E123" s="2">
        <v>99031956.469999999</v>
      </c>
      <c r="F123" s="2">
        <v>18816071.73</v>
      </c>
      <c r="G123" s="2">
        <v>2389143.14</v>
      </c>
      <c r="H123" s="4">
        <v>0</v>
      </c>
      <c r="I123" s="4">
        <v>0</v>
      </c>
      <c r="J123" s="4">
        <v>2389143.14</v>
      </c>
      <c r="K123" s="4">
        <v>115458885.06</v>
      </c>
      <c r="L123" s="4" t="s">
        <v>431</v>
      </c>
      <c r="M123" s="4" t="s">
        <v>432</v>
      </c>
      <c r="N123" s="4" t="s">
        <v>434</v>
      </c>
      <c r="O123" s="4" t="s">
        <v>382</v>
      </c>
      <c r="P123" s="4" t="s">
        <v>382</v>
      </c>
      <c r="Q123" s="8" t="s">
        <v>28</v>
      </c>
      <c r="R123" s="9">
        <f t="shared" si="2"/>
        <v>1.7373891719631132E-3</v>
      </c>
      <c r="S123" s="55">
        <f>Tabla3[[#This Row],[Subtotal]]/12</f>
        <v>8252663.0391666666</v>
      </c>
    </row>
    <row r="124" spans="1:19" x14ac:dyDescent="0.2">
      <c r="A124" s="4">
        <v>1602</v>
      </c>
      <c r="B124" s="2">
        <v>100250833</v>
      </c>
      <c r="C124" s="2">
        <v>1607574.96</v>
      </c>
      <c r="D124" s="4" t="s">
        <v>436</v>
      </c>
      <c r="E124" s="2">
        <v>98643258.040000007</v>
      </c>
      <c r="F124" s="2">
        <v>18742219.02</v>
      </c>
      <c r="G124" s="2">
        <v>2207507.4700000002</v>
      </c>
      <c r="H124" s="4">
        <v>1075021.06</v>
      </c>
      <c r="I124" s="4">
        <v>0</v>
      </c>
      <c r="J124" s="4">
        <v>3282528.53</v>
      </c>
      <c r="K124" s="4">
        <v>114102948.53</v>
      </c>
      <c r="L124" s="4" t="s">
        <v>435</v>
      </c>
      <c r="M124" s="4" t="s">
        <v>61</v>
      </c>
      <c r="N124" s="4" t="s">
        <v>92</v>
      </c>
      <c r="O124" s="4" t="s">
        <v>93</v>
      </c>
      <c r="P124" s="4" t="s">
        <v>93</v>
      </c>
      <c r="Q124" s="8" t="s">
        <v>28</v>
      </c>
      <c r="R124" s="9">
        <f t="shared" si="2"/>
        <v>1.7305699545355989E-3</v>
      </c>
      <c r="S124" s="55">
        <f>Tabla3[[#This Row],[Subtotal]]/12</f>
        <v>8220271.5033333339</v>
      </c>
    </row>
    <row r="125" spans="1:19" x14ac:dyDescent="0.2">
      <c r="A125" s="4">
        <v>263</v>
      </c>
      <c r="B125" s="2">
        <v>96371724.200000003</v>
      </c>
      <c r="C125" s="2">
        <v>0</v>
      </c>
      <c r="D125" s="4" t="s">
        <v>438</v>
      </c>
      <c r="E125" s="2">
        <v>96371724.200000003</v>
      </c>
      <c r="F125" s="2">
        <v>18310627.600000001</v>
      </c>
      <c r="G125" s="2">
        <v>2409293.11</v>
      </c>
      <c r="H125" s="4">
        <v>2746594.15</v>
      </c>
      <c r="I125" s="4">
        <v>0</v>
      </c>
      <c r="J125" s="4">
        <v>5155887.26</v>
      </c>
      <c r="K125" s="4">
        <v>109526464.54000001</v>
      </c>
      <c r="L125" s="4" t="s">
        <v>437</v>
      </c>
      <c r="M125" s="4" t="s">
        <v>110</v>
      </c>
      <c r="N125" s="4" t="s">
        <v>20</v>
      </c>
      <c r="O125" s="4" t="s">
        <v>21</v>
      </c>
      <c r="P125" s="4" t="s">
        <v>21</v>
      </c>
      <c r="Q125" s="8" t="s">
        <v>22</v>
      </c>
      <c r="R125" s="9">
        <f t="shared" si="2"/>
        <v>1.6907187949903534E-3</v>
      </c>
      <c r="S125" s="55">
        <f>Tabla3[[#This Row],[Subtotal]]/12</f>
        <v>8030977.0166666666</v>
      </c>
    </row>
    <row r="126" spans="1:19" x14ac:dyDescent="0.2">
      <c r="A126" s="4">
        <v>451</v>
      </c>
      <c r="B126" s="2">
        <v>96287689</v>
      </c>
      <c r="C126" s="2">
        <v>0</v>
      </c>
      <c r="D126" s="4" t="s">
        <v>441</v>
      </c>
      <c r="E126" s="2">
        <v>96287689</v>
      </c>
      <c r="F126" s="2">
        <v>18294660.91</v>
      </c>
      <c r="G126" s="2">
        <v>2357299.94</v>
      </c>
      <c r="H126" s="4">
        <v>0</v>
      </c>
      <c r="I126" s="4">
        <v>0</v>
      </c>
      <c r="J126" s="4">
        <v>2357299.94</v>
      </c>
      <c r="K126" s="4">
        <v>112225049.97</v>
      </c>
      <c r="L126" s="4" t="s">
        <v>439</v>
      </c>
      <c r="M126" s="4" t="s">
        <v>440</v>
      </c>
      <c r="N126" s="4" t="s">
        <v>92</v>
      </c>
      <c r="O126" s="4" t="s">
        <v>93</v>
      </c>
      <c r="P126" s="4" t="s">
        <v>93</v>
      </c>
      <c r="Q126" s="8" t="s">
        <v>100</v>
      </c>
      <c r="R126" s="9">
        <f t="shared" si="2"/>
        <v>1.6892445047536661E-3</v>
      </c>
      <c r="S126" s="55">
        <f>Tabla3[[#This Row],[Subtotal]]/12</f>
        <v>8023974.083333333</v>
      </c>
    </row>
    <row r="127" spans="1:19" x14ac:dyDescent="0.2">
      <c r="A127" s="4">
        <v>1343</v>
      </c>
      <c r="B127" s="2">
        <v>94692601</v>
      </c>
      <c r="C127" s="2">
        <v>0</v>
      </c>
      <c r="D127" s="4" t="s">
        <v>444</v>
      </c>
      <c r="E127" s="2">
        <v>94692601</v>
      </c>
      <c r="F127" s="2">
        <v>17991594.190000001</v>
      </c>
      <c r="G127" s="2">
        <v>2334386.29</v>
      </c>
      <c r="H127" s="4">
        <v>0</v>
      </c>
      <c r="I127" s="4">
        <v>0</v>
      </c>
      <c r="J127" s="4">
        <v>2334386.29</v>
      </c>
      <c r="K127" s="4">
        <v>110349808.90000001</v>
      </c>
      <c r="L127" s="4" t="s">
        <v>442</v>
      </c>
      <c r="M127" s="4" t="s">
        <v>443</v>
      </c>
      <c r="N127" s="4" t="s">
        <v>112</v>
      </c>
      <c r="O127" s="4" t="s">
        <v>113</v>
      </c>
      <c r="P127" s="4" t="s">
        <v>113</v>
      </c>
      <c r="Q127" s="8" t="s">
        <v>100</v>
      </c>
      <c r="R127" s="9">
        <f t="shared" si="2"/>
        <v>1.6612607233732809E-3</v>
      </c>
      <c r="S127" s="55">
        <f>Tabla3[[#This Row],[Subtotal]]/12</f>
        <v>7891050.083333333</v>
      </c>
    </row>
    <row r="128" spans="1:19" x14ac:dyDescent="0.2">
      <c r="A128" s="4">
        <v>799</v>
      </c>
      <c r="B128" s="2">
        <v>94519584</v>
      </c>
      <c r="C128" s="2">
        <v>394884.78</v>
      </c>
      <c r="D128" s="4" t="s">
        <v>447</v>
      </c>
      <c r="E128" s="2">
        <v>94124699.219999999</v>
      </c>
      <c r="F128" s="2">
        <v>17883692.850000001</v>
      </c>
      <c r="G128" s="2">
        <v>2342874.4900000002</v>
      </c>
      <c r="H128" s="4">
        <v>0</v>
      </c>
      <c r="I128" s="4">
        <v>0</v>
      </c>
      <c r="J128" s="4">
        <v>2342874.4900000002</v>
      </c>
      <c r="K128" s="4">
        <v>109665517.58</v>
      </c>
      <c r="L128" s="4" t="s">
        <v>445</v>
      </c>
      <c r="M128" s="4" t="s">
        <v>446</v>
      </c>
      <c r="N128" s="4" t="s">
        <v>448</v>
      </c>
      <c r="O128" s="4" t="s">
        <v>382</v>
      </c>
      <c r="P128" s="4" t="s">
        <v>382</v>
      </c>
      <c r="Q128" s="8" t="s">
        <v>28</v>
      </c>
      <c r="R128" s="9">
        <f t="shared" si="2"/>
        <v>1.6512976120859717E-3</v>
      </c>
      <c r="S128" s="55">
        <f>Tabla3[[#This Row],[Subtotal]]/12</f>
        <v>7843724.9349999996</v>
      </c>
    </row>
    <row r="129" spans="1:19" x14ac:dyDescent="0.2">
      <c r="A129" s="4">
        <v>861</v>
      </c>
      <c r="B129" s="2">
        <v>93742994</v>
      </c>
      <c r="C129" s="2">
        <v>0</v>
      </c>
      <c r="D129" s="4" t="s">
        <v>451</v>
      </c>
      <c r="E129" s="2">
        <v>93742994</v>
      </c>
      <c r="F129" s="2">
        <v>17811168.859999999</v>
      </c>
      <c r="G129" s="2">
        <v>0</v>
      </c>
      <c r="H129" s="4">
        <v>0</v>
      </c>
      <c r="I129" s="4">
        <v>0</v>
      </c>
      <c r="J129" s="4">
        <v>0</v>
      </c>
      <c r="K129" s="4">
        <v>111554162.86</v>
      </c>
      <c r="L129" s="4" t="s">
        <v>449</v>
      </c>
      <c r="M129" s="4" t="s">
        <v>450</v>
      </c>
      <c r="N129" s="4" t="s">
        <v>92</v>
      </c>
      <c r="O129" s="4" t="s">
        <v>93</v>
      </c>
      <c r="P129" s="4" t="s">
        <v>93</v>
      </c>
      <c r="Q129" s="8" t="s">
        <v>100</v>
      </c>
      <c r="R129" s="9">
        <f t="shared" si="2"/>
        <v>1.6446010815947187E-3</v>
      </c>
      <c r="S129" s="55">
        <f>Tabla3[[#This Row],[Subtotal]]/12</f>
        <v>7811916.166666667</v>
      </c>
    </row>
    <row r="130" spans="1:19" x14ac:dyDescent="0.2">
      <c r="A130" s="4">
        <v>1347</v>
      </c>
      <c r="B130" s="2">
        <v>92661160</v>
      </c>
      <c r="C130" s="2">
        <v>0</v>
      </c>
      <c r="D130" s="4" t="s">
        <v>454</v>
      </c>
      <c r="E130" s="2">
        <v>92661160</v>
      </c>
      <c r="F130" s="2">
        <v>17605620.399999999</v>
      </c>
      <c r="G130" s="2">
        <v>2316529</v>
      </c>
      <c r="H130" s="4">
        <v>0</v>
      </c>
      <c r="I130" s="4">
        <v>0</v>
      </c>
      <c r="J130" s="4">
        <v>2316529</v>
      </c>
      <c r="K130" s="4">
        <v>107950251.40000001</v>
      </c>
      <c r="L130" s="4" t="s">
        <v>452</v>
      </c>
      <c r="M130" s="4" t="s">
        <v>453</v>
      </c>
      <c r="N130" s="4" t="s">
        <v>112</v>
      </c>
      <c r="O130" s="4" t="s">
        <v>113</v>
      </c>
      <c r="P130" s="4" t="s">
        <v>113</v>
      </c>
      <c r="Q130" s="8" t="s">
        <v>100</v>
      </c>
      <c r="R130" s="9">
        <f t="shared" si="2"/>
        <v>1.6256216860091035E-3</v>
      </c>
      <c r="S130" s="55">
        <f>Tabla3[[#This Row],[Subtotal]]/12</f>
        <v>7721763.333333333</v>
      </c>
    </row>
    <row r="131" spans="1:19" x14ac:dyDescent="0.2">
      <c r="A131" s="4">
        <v>1427</v>
      </c>
      <c r="B131" s="2">
        <v>91317025</v>
      </c>
      <c r="C131" s="2">
        <v>0</v>
      </c>
      <c r="D131" s="4" t="s">
        <v>457</v>
      </c>
      <c r="E131" s="2">
        <v>91317025</v>
      </c>
      <c r="F131" s="2">
        <v>17350234.75</v>
      </c>
      <c r="G131" s="2">
        <v>2182247.29</v>
      </c>
      <c r="H131" s="4">
        <v>0</v>
      </c>
      <c r="I131" s="4">
        <v>0</v>
      </c>
      <c r="J131" s="4">
        <v>2182247.29</v>
      </c>
      <c r="K131" s="4">
        <v>106485012.45999999</v>
      </c>
      <c r="L131" s="4" t="s">
        <v>455</v>
      </c>
      <c r="M131" s="4" t="s">
        <v>456</v>
      </c>
      <c r="N131" s="4" t="s">
        <v>186</v>
      </c>
      <c r="O131" s="4" t="s">
        <v>59</v>
      </c>
      <c r="P131" s="4" t="s">
        <v>59</v>
      </c>
      <c r="Q131" s="8" t="s">
        <v>100</v>
      </c>
      <c r="R131" s="9">
        <f t="shared" ref="R131:R194" si="3">E131/$E$1757</f>
        <v>1.6020405544441216E-3</v>
      </c>
      <c r="S131" s="55">
        <f>Tabla3[[#This Row],[Subtotal]]/12</f>
        <v>7609752.083333333</v>
      </c>
    </row>
    <row r="132" spans="1:19" x14ac:dyDescent="0.2">
      <c r="A132" s="4">
        <v>154</v>
      </c>
      <c r="B132" s="2">
        <v>90339342</v>
      </c>
      <c r="C132" s="2">
        <v>0</v>
      </c>
      <c r="D132" s="4" t="s">
        <v>460</v>
      </c>
      <c r="E132" s="2">
        <v>90339342</v>
      </c>
      <c r="F132" s="2">
        <v>17164474.98</v>
      </c>
      <c r="G132" s="2">
        <v>0</v>
      </c>
      <c r="H132" s="4">
        <v>0</v>
      </c>
      <c r="I132" s="4">
        <v>0</v>
      </c>
      <c r="J132" s="4">
        <v>0</v>
      </c>
      <c r="K132" s="4">
        <v>107503816.98</v>
      </c>
      <c r="L132" s="4" t="s">
        <v>458</v>
      </c>
      <c r="M132" s="4" t="s">
        <v>459</v>
      </c>
      <c r="N132" s="4" t="s">
        <v>117</v>
      </c>
      <c r="O132" s="4" t="s">
        <v>93</v>
      </c>
      <c r="P132" s="4" t="s">
        <v>93</v>
      </c>
      <c r="Q132" s="8" t="s">
        <v>28</v>
      </c>
      <c r="R132" s="9">
        <f t="shared" si="3"/>
        <v>1.5848883551100917E-3</v>
      </c>
      <c r="S132" s="55">
        <f>Tabla3[[#This Row],[Subtotal]]/12</f>
        <v>7528278.5</v>
      </c>
    </row>
    <row r="133" spans="1:19" x14ac:dyDescent="0.2">
      <c r="A133" s="4">
        <v>466</v>
      </c>
      <c r="B133" s="2">
        <v>89068962</v>
      </c>
      <c r="C133" s="2">
        <v>0</v>
      </c>
      <c r="D133" s="4" t="s">
        <v>463</v>
      </c>
      <c r="E133" s="2">
        <v>89068962</v>
      </c>
      <c r="F133" s="2">
        <v>16923102.780000001</v>
      </c>
      <c r="G133" s="2">
        <v>2226724.06</v>
      </c>
      <c r="H133" s="4">
        <v>0</v>
      </c>
      <c r="I133" s="4">
        <v>0</v>
      </c>
      <c r="J133" s="4">
        <v>2226724.06</v>
      </c>
      <c r="K133" s="4">
        <v>103765340.72</v>
      </c>
      <c r="L133" s="4" t="s">
        <v>461</v>
      </c>
      <c r="M133" s="4" t="s">
        <v>462</v>
      </c>
      <c r="N133" s="4" t="s">
        <v>464</v>
      </c>
      <c r="O133" s="4" t="s">
        <v>105</v>
      </c>
      <c r="P133" s="4" t="s">
        <v>105</v>
      </c>
      <c r="Q133" s="8" t="s">
        <v>28</v>
      </c>
      <c r="R133" s="9">
        <f t="shared" si="3"/>
        <v>1.5626011608048159E-3</v>
      </c>
      <c r="S133" s="55">
        <f>Tabla3[[#This Row],[Subtotal]]/12</f>
        <v>7422413.5</v>
      </c>
    </row>
    <row r="134" spans="1:19" x14ac:dyDescent="0.2">
      <c r="A134" s="4">
        <v>1265</v>
      </c>
      <c r="B134" s="2">
        <v>89006126</v>
      </c>
      <c r="C134" s="2">
        <v>0</v>
      </c>
      <c r="D134" s="4" t="s">
        <v>467</v>
      </c>
      <c r="E134" s="2">
        <v>89006126</v>
      </c>
      <c r="F134" s="2">
        <v>16911163.940000001</v>
      </c>
      <c r="G134" s="2">
        <v>1142977.33</v>
      </c>
      <c r="H134" s="4">
        <v>0</v>
      </c>
      <c r="I134" s="4">
        <v>0</v>
      </c>
      <c r="J134" s="4">
        <v>1142977.33</v>
      </c>
      <c r="K134" s="4">
        <v>104774312.61</v>
      </c>
      <c r="L134" s="4" t="s">
        <v>465</v>
      </c>
      <c r="M134" s="4" t="s">
        <v>466</v>
      </c>
      <c r="N134" s="4" t="s">
        <v>468</v>
      </c>
      <c r="O134" s="4" t="s">
        <v>89</v>
      </c>
      <c r="P134" s="4" t="s">
        <v>89</v>
      </c>
      <c r="Q134" s="8" t="s">
        <v>100</v>
      </c>
      <c r="R134" s="9">
        <f t="shared" si="3"/>
        <v>1.5614987834520818E-3</v>
      </c>
      <c r="S134" s="55">
        <f>Tabla3[[#This Row],[Subtotal]]/12</f>
        <v>7417177.166666667</v>
      </c>
    </row>
    <row r="135" spans="1:19" x14ac:dyDescent="0.2">
      <c r="A135" s="4">
        <v>497</v>
      </c>
      <c r="B135" s="2">
        <v>88798437</v>
      </c>
      <c r="C135" s="2">
        <v>0</v>
      </c>
      <c r="D135" s="4" t="s">
        <v>471</v>
      </c>
      <c r="E135" s="2">
        <v>88798437</v>
      </c>
      <c r="F135" s="2">
        <v>16871703.030000001</v>
      </c>
      <c r="G135" s="2">
        <v>0</v>
      </c>
      <c r="H135" s="4">
        <v>0</v>
      </c>
      <c r="I135" s="4">
        <v>0</v>
      </c>
      <c r="J135" s="4">
        <v>0</v>
      </c>
      <c r="K135" s="4">
        <v>105670140.03</v>
      </c>
      <c r="L135" s="4" t="s">
        <v>469</v>
      </c>
      <c r="M135" s="4" t="s">
        <v>470</v>
      </c>
      <c r="N135" s="4" t="s">
        <v>472</v>
      </c>
      <c r="O135" s="4" t="s">
        <v>67</v>
      </c>
      <c r="P135" s="4" t="s">
        <v>67</v>
      </c>
      <c r="Q135" s="8" t="s">
        <v>28</v>
      </c>
      <c r="R135" s="9">
        <f t="shared" si="3"/>
        <v>1.5578551452508599E-3</v>
      </c>
      <c r="S135" s="55">
        <f>Tabla3[[#This Row],[Subtotal]]/12</f>
        <v>7399869.75</v>
      </c>
    </row>
    <row r="136" spans="1:19" x14ac:dyDescent="0.2">
      <c r="A136" s="4">
        <v>261</v>
      </c>
      <c r="B136" s="2">
        <v>88462530.799999997</v>
      </c>
      <c r="C136" s="2">
        <v>0</v>
      </c>
      <c r="D136" s="4" t="s">
        <v>474</v>
      </c>
      <c r="E136" s="2">
        <v>88462530.799999997</v>
      </c>
      <c r="F136" s="2">
        <v>16807880.859999999</v>
      </c>
      <c r="G136" s="2">
        <v>2211563.29</v>
      </c>
      <c r="H136" s="4">
        <v>2521182.13</v>
      </c>
      <c r="I136" s="4">
        <v>0</v>
      </c>
      <c r="J136" s="4">
        <v>4732745.42</v>
      </c>
      <c r="K136" s="4">
        <v>100537666.23999999</v>
      </c>
      <c r="L136" s="4" t="s">
        <v>473</v>
      </c>
      <c r="M136" s="4" t="s">
        <v>110</v>
      </c>
      <c r="N136" s="4" t="s">
        <v>20</v>
      </c>
      <c r="O136" s="4" t="s">
        <v>21</v>
      </c>
      <c r="P136" s="4" t="s">
        <v>21</v>
      </c>
      <c r="Q136" s="8" t="s">
        <v>22</v>
      </c>
      <c r="R136" s="9">
        <f t="shared" si="3"/>
        <v>1.5519621000614308E-3</v>
      </c>
      <c r="S136" s="55">
        <f>Tabla3[[#This Row],[Subtotal]]/12</f>
        <v>7371877.5666666664</v>
      </c>
    </row>
    <row r="137" spans="1:19" x14ac:dyDescent="0.2">
      <c r="A137" s="4">
        <v>255</v>
      </c>
      <c r="B137" s="2">
        <v>88387711.099999994</v>
      </c>
      <c r="C137" s="2">
        <v>0</v>
      </c>
      <c r="D137" s="4" t="s">
        <v>476</v>
      </c>
      <c r="E137" s="2">
        <v>88387711.099999994</v>
      </c>
      <c r="F137" s="2">
        <v>16793665.109999999</v>
      </c>
      <c r="G137" s="2">
        <v>2209692.7999999998</v>
      </c>
      <c r="H137" s="4">
        <v>2519049.75</v>
      </c>
      <c r="I137" s="4">
        <v>0</v>
      </c>
      <c r="J137" s="4">
        <v>4728742.55</v>
      </c>
      <c r="K137" s="4">
        <v>100452633.66</v>
      </c>
      <c r="L137" s="4" t="s">
        <v>475</v>
      </c>
      <c r="M137" s="4" t="s">
        <v>110</v>
      </c>
      <c r="N137" s="4" t="s">
        <v>41</v>
      </c>
      <c r="O137" s="4" t="s">
        <v>42</v>
      </c>
      <c r="P137" s="4" t="s">
        <v>42</v>
      </c>
      <c r="Q137" s="8" t="s">
        <v>22</v>
      </c>
      <c r="R137" s="9">
        <f t="shared" si="3"/>
        <v>1.5506494840002818E-3</v>
      </c>
      <c r="S137" s="55">
        <f>Tabla3[[#This Row],[Subtotal]]/12</f>
        <v>7365642.5916666659</v>
      </c>
    </row>
    <row r="138" spans="1:19" x14ac:dyDescent="0.2">
      <c r="A138" s="4">
        <v>37</v>
      </c>
      <c r="B138" s="2">
        <v>88041247</v>
      </c>
      <c r="C138" s="2">
        <v>0</v>
      </c>
      <c r="D138" s="4" t="s">
        <v>478</v>
      </c>
      <c r="E138" s="2">
        <v>88041247</v>
      </c>
      <c r="F138" s="2">
        <v>16727836.93</v>
      </c>
      <c r="G138" s="2">
        <v>2201031.2200000002</v>
      </c>
      <c r="H138" s="4">
        <v>2509175.54</v>
      </c>
      <c r="I138" s="4">
        <v>0</v>
      </c>
      <c r="J138" s="4">
        <v>4710206.76</v>
      </c>
      <c r="K138" s="4">
        <v>100058877.17</v>
      </c>
      <c r="L138" s="4" t="s">
        <v>477</v>
      </c>
      <c r="M138" s="4" t="s">
        <v>146</v>
      </c>
      <c r="N138" s="4" t="s">
        <v>472</v>
      </c>
      <c r="O138" s="4" t="s">
        <v>67</v>
      </c>
      <c r="P138" s="4" t="s">
        <v>67</v>
      </c>
      <c r="Q138" s="8" t="s">
        <v>28</v>
      </c>
      <c r="R138" s="9">
        <f t="shared" si="3"/>
        <v>1.5445712139421084E-3</v>
      </c>
      <c r="S138" s="55">
        <f>Tabla3[[#This Row],[Subtotal]]/12</f>
        <v>7336770.583333333</v>
      </c>
    </row>
    <row r="139" spans="1:19" x14ac:dyDescent="0.2">
      <c r="A139" s="4">
        <v>1531</v>
      </c>
      <c r="B139" s="2">
        <v>87757098</v>
      </c>
      <c r="C139" s="2">
        <v>0</v>
      </c>
      <c r="D139" s="4" t="s">
        <v>481</v>
      </c>
      <c r="E139" s="2">
        <v>87757098</v>
      </c>
      <c r="F139" s="2">
        <v>16673848.619999999</v>
      </c>
      <c r="G139" s="2">
        <v>0</v>
      </c>
      <c r="H139" s="4">
        <v>0</v>
      </c>
      <c r="I139" s="4">
        <v>0</v>
      </c>
      <c r="J139" s="4">
        <v>0</v>
      </c>
      <c r="K139" s="4">
        <v>104430946.62</v>
      </c>
      <c r="L139" s="4" t="s">
        <v>479</v>
      </c>
      <c r="M139" s="4" t="s">
        <v>480</v>
      </c>
      <c r="N139" s="4" t="s">
        <v>482</v>
      </c>
      <c r="O139" s="4" t="s">
        <v>89</v>
      </c>
      <c r="P139" s="4" t="s">
        <v>89</v>
      </c>
      <c r="Q139" s="8" t="s">
        <v>100</v>
      </c>
      <c r="R139" s="9">
        <f t="shared" si="3"/>
        <v>1.5395861827115713E-3</v>
      </c>
      <c r="S139" s="55">
        <f>Tabla3[[#This Row],[Subtotal]]/12</f>
        <v>7313091.5</v>
      </c>
    </row>
    <row r="140" spans="1:19" x14ac:dyDescent="0.2">
      <c r="A140" s="4">
        <v>266</v>
      </c>
      <c r="B140" s="2">
        <v>87282501.099999994</v>
      </c>
      <c r="C140" s="2">
        <v>0</v>
      </c>
      <c r="D140" s="4" t="s">
        <v>484</v>
      </c>
      <c r="E140" s="2">
        <v>87282501.099999994</v>
      </c>
      <c r="F140" s="2">
        <v>16583675.210000001</v>
      </c>
      <c r="G140" s="2">
        <v>2182062.5499999998</v>
      </c>
      <c r="H140" s="4">
        <v>2487551.27</v>
      </c>
      <c r="I140" s="4">
        <v>0</v>
      </c>
      <c r="J140" s="4">
        <v>4669613.82</v>
      </c>
      <c r="K140" s="4">
        <v>99196562.489999995</v>
      </c>
      <c r="L140" s="4" t="s">
        <v>483</v>
      </c>
      <c r="M140" s="4" t="s">
        <v>110</v>
      </c>
      <c r="N140" s="4" t="s">
        <v>20</v>
      </c>
      <c r="O140" s="4" t="s">
        <v>21</v>
      </c>
      <c r="P140" s="4" t="s">
        <v>21</v>
      </c>
      <c r="Q140" s="8" t="s">
        <v>22</v>
      </c>
      <c r="R140" s="9">
        <f t="shared" si="3"/>
        <v>1.5312599863553772E-3</v>
      </c>
      <c r="S140" s="55">
        <f>Tabla3[[#This Row],[Subtotal]]/12</f>
        <v>7273541.7583333328</v>
      </c>
    </row>
    <row r="141" spans="1:19" x14ac:dyDescent="0.2">
      <c r="A141" s="4">
        <v>1604</v>
      </c>
      <c r="B141" s="2">
        <v>87142638</v>
      </c>
      <c r="C141" s="2">
        <v>1310561.93</v>
      </c>
      <c r="D141" s="4" t="s">
        <v>486</v>
      </c>
      <c r="E141" s="2">
        <v>85832076.069999993</v>
      </c>
      <c r="F141" s="2">
        <v>16308094.439999999</v>
      </c>
      <c r="G141" s="2">
        <v>1878890.95</v>
      </c>
      <c r="H141" s="4">
        <v>765801.66</v>
      </c>
      <c r="I141" s="4">
        <v>0</v>
      </c>
      <c r="J141" s="4">
        <v>2644692.61</v>
      </c>
      <c r="K141" s="4">
        <v>99495477.900000006</v>
      </c>
      <c r="L141" s="4" t="s">
        <v>485</v>
      </c>
      <c r="M141" s="4" t="s">
        <v>61</v>
      </c>
      <c r="N141" s="4" t="s">
        <v>487</v>
      </c>
      <c r="O141" s="4" t="s">
        <v>33</v>
      </c>
      <c r="P141" s="4" t="s">
        <v>33</v>
      </c>
      <c r="Q141" s="8" t="s">
        <v>28</v>
      </c>
      <c r="R141" s="9">
        <f t="shared" si="3"/>
        <v>1.5058141319898759E-3</v>
      </c>
      <c r="S141" s="55">
        <f>Tabla3[[#This Row],[Subtotal]]/12</f>
        <v>7152673.0058333324</v>
      </c>
    </row>
    <row r="142" spans="1:19" x14ac:dyDescent="0.2">
      <c r="A142" s="4">
        <v>796</v>
      </c>
      <c r="B142" s="2">
        <v>86438619</v>
      </c>
      <c r="C142" s="2">
        <v>811776</v>
      </c>
      <c r="D142" s="4" t="s">
        <v>490</v>
      </c>
      <c r="E142" s="2">
        <v>85626843</v>
      </c>
      <c r="F142" s="2">
        <v>0</v>
      </c>
      <c r="G142" s="2">
        <v>0</v>
      </c>
      <c r="H142" s="4">
        <v>0</v>
      </c>
      <c r="I142" s="4">
        <v>0</v>
      </c>
      <c r="J142" s="4">
        <v>0</v>
      </c>
      <c r="K142" s="4">
        <v>85626843</v>
      </c>
      <c r="L142" s="4" t="s">
        <v>488</v>
      </c>
      <c r="M142" s="4" t="s">
        <v>489</v>
      </c>
      <c r="N142" s="4" t="s">
        <v>205</v>
      </c>
      <c r="O142" s="4" t="s">
        <v>206</v>
      </c>
      <c r="P142" s="4" t="s">
        <v>206</v>
      </c>
      <c r="Q142" s="8" t="s">
        <v>100</v>
      </c>
      <c r="R142" s="9">
        <f t="shared" si="3"/>
        <v>1.5022135799432773E-3</v>
      </c>
      <c r="S142" s="55">
        <f>Tabla3[[#This Row],[Subtotal]]/12</f>
        <v>7135570.25</v>
      </c>
    </row>
    <row r="143" spans="1:19" x14ac:dyDescent="0.2">
      <c r="A143" s="4">
        <v>904</v>
      </c>
      <c r="B143" s="2">
        <v>84967281</v>
      </c>
      <c r="C143" s="2">
        <v>113228.22</v>
      </c>
      <c r="D143" s="4" t="s">
        <v>492</v>
      </c>
      <c r="E143" s="2">
        <v>84854052.780000001</v>
      </c>
      <c r="F143" s="2">
        <v>16122270.029999999</v>
      </c>
      <c r="G143" s="2">
        <v>2116531.7799999998</v>
      </c>
      <c r="H143" s="4">
        <v>2412846.17</v>
      </c>
      <c r="I143" s="4">
        <v>0</v>
      </c>
      <c r="J143" s="4">
        <v>4529377.95</v>
      </c>
      <c r="K143" s="4">
        <v>96446944.859999999</v>
      </c>
      <c r="L143" s="4" t="s">
        <v>491</v>
      </c>
      <c r="M143" s="4" t="s">
        <v>95</v>
      </c>
      <c r="N143" s="4" t="s">
        <v>195</v>
      </c>
      <c r="O143" s="4" t="s">
        <v>196</v>
      </c>
      <c r="P143" s="4" t="s">
        <v>196</v>
      </c>
      <c r="Q143" s="8" t="s">
        <v>28</v>
      </c>
      <c r="R143" s="9">
        <f t="shared" si="3"/>
        <v>1.4886559627024856E-3</v>
      </c>
      <c r="S143" s="55">
        <f>Tabla3[[#This Row],[Subtotal]]/12</f>
        <v>7071171.0650000004</v>
      </c>
    </row>
    <row r="144" spans="1:19" x14ac:dyDescent="0.2">
      <c r="A144" s="4">
        <v>627</v>
      </c>
      <c r="B144" s="2">
        <v>84803936</v>
      </c>
      <c r="C144" s="2">
        <v>0</v>
      </c>
      <c r="D144" s="4" t="s">
        <v>495</v>
      </c>
      <c r="E144" s="2">
        <v>84803936</v>
      </c>
      <c r="F144" s="2">
        <v>16112747.84</v>
      </c>
      <c r="G144" s="2">
        <v>2098997.06</v>
      </c>
      <c r="H144" s="4">
        <v>0</v>
      </c>
      <c r="I144" s="4">
        <v>0</v>
      </c>
      <c r="J144" s="4">
        <v>2098997.06</v>
      </c>
      <c r="K144" s="4">
        <v>98817686.780000001</v>
      </c>
      <c r="L144" s="4" t="s">
        <v>493</v>
      </c>
      <c r="M144" s="4" t="s">
        <v>494</v>
      </c>
      <c r="N144" s="4" t="s">
        <v>32</v>
      </c>
      <c r="O144" s="4" t="s">
        <v>33</v>
      </c>
      <c r="P144" s="4" t="s">
        <v>33</v>
      </c>
      <c r="Q144" s="8" t="s">
        <v>100</v>
      </c>
      <c r="R144" s="9">
        <f t="shared" si="3"/>
        <v>1.4877767278170066E-3</v>
      </c>
      <c r="S144" s="55">
        <f>Tabla3[[#This Row],[Subtotal]]/12</f>
        <v>7066994.666666667</v>
      </c>
    </row>
    <row r="145" spans="1:19" x14ac:dyDescent="0.2">
      <c r="A145" s="4">
        <v>17</v>
      </c>
      <c r="B145" s="2">
        <v>84657171</v>
      </c>
      <c r="C145" s="2">
        <v>0</v>
      </c>
      <c r="D145" s="4" t="s">
        <v>497</v>
      </c>
      <c r="E145" s="2">
        <v>84657171</v>
      </c>
      <c r="F145" s="2">
        <v>16084862.49</v>
      </c>
      <c r="G145" s="2">
        <v>2116429.2799999998</v>
      </c>
      <c r="H145" s="4">
        <v>2412729.34</v>
      </c>
      <c r="I145" s="4">
        <v>0</v>
      </c>
      <c r="J145" s="4">
        <v>4529158.62</v>
      </c>
      <c r="K145" s="4">
        <v>96212874.870000005</v>
      </c>
      <c r="L145" s="4" t="s">
        <v>496</v>
      </c>
      <c r="M145" s="4" t="s">
        <v>146</v>
      </c>
      <c r="N145" s="4" t="s">
        <v>20</v>
      </c>
      <c r="O145" s="4" t="s">
        <v>359</v>
      </c>
      <c r="P145" s="4" t="s">
        <v>359</v>
      </c>
      <c r="Q145" s="8" t="s">
        <v>28</v>
      </c>
      <c r="R145" s="9">
        <f t="shared" si="3"/>
        <v>1.4852019233709247E-3</v>
      </c>
      <c r="S145" s="55">
        <f>Tabla3[[#This Row],[Subtotal]]/12</f>
        <v>7054764.25</v>
      </c>
    </row>
    <row r="146" spans="1:19" x14ac:dyDescent="0.2">
      <c r="A146" s="4">
        <v>1286</v>
      </c>
      <c r="B146" s="2">
        <v>84743231</v>
      </c>
      <c r="C146" s="2">
        <v>191992.71</v>
      </c>
      <c r="D146" s="4" t="s">
        <v>500</v>
      </c>
      <c r="E146" s="2">
        <v>84551238.290000007</v>
      </c>
      <c r="F146" s="2">
        <v>16064735.279999999</v>
      </c>
      <c r="G146" s="2">
        <v>2071218.62</v>
      </c>
      <c r="H146" s="4">
        <v>0</v>
      </c>
      <c r="I146" s="4">
        <v>0</v>
      </c>
      <c r="J146" s="4">
        <v>2071218.62</v>
      </c>
      <c r="K146" s="4">
        <v>98544754.950000003</v>
      </c>
      <c r="L146" s="4" t="s">
        <v>498</v>
      </c>
      <c r="M146" s="4" t="s">
        <v>499</v>
      </c>
      <c r="N146" s="4" t="s">
        <v>58</v>
      </c>
      <c r="O146" s="4" t="s">
        <v>59</v>
      </c>
      <c r="P146" s="4" t="s">
        <v>59</v>
      </c>
      <c r="Q146" s="8" t="s">
        <v>28</v>
      </c>
      <c r="R146" s="9">
        <f t="shared" si="3"/>
        <v>1.4833434692933618E-3</v>
      </c>
      <c r="S146" s="55">
        <f>Tabla3[[#This Row],[Subtotal]]/12</f>
        <v>7045936.5241666669</v>
      </c>
    </row>
    <row r="147" spans="1:19" x14ac:dyDescent="0.2">
      <c r="A147" s="4">
        <v>776</v>
      </c>
      <c r="B147" s="2">
        <v>83954699</v>
      </c>
      <c r="C147" s="2">
        <v>0</v>
      </c>
      <c r="D147" s="4" t="s">
        <v>503</v>
      </c>
      <c r="E147" s="2">
        <v>83954699</v>
      </c>
      <c r="F147" s="2">
        <v>15951392.810000001</v>
      </c>
      <c r="G147" s="2">
        <v>2098867.5099999998</v>
      </c>
      <c r="H147" s="4">
        <v>0</v>
      </c>
      <c r="I147" s="4">
        <v>0</v>
      </c>
      <c r="J147" s="4">
        <v>2098867.5099999998</v>
      </c>
      <c r="K147" s="4">
        <v>97807224.299999997</v>
      </c>
      <c r="L147" s="4" t="s">
        <v>501</v>
      </c>
      <c r="M147" s="4" t="s">
        <v>502</v>
      </c>
      <c r="N147" s="4" t="s">
        <v>504</v>
      </c>
      <c r="O147" s="4" t="s">
        <v>27</v>
      </c>
      <c r="P147" s="4" t="s">
        <v>27</v>
      </c>
      <c r="Q147" s="8" t="s">
        <v>100</v>
      </c>
      <c r="R147" s="9">
        <f t="shared" si="3"/>
        <v>1.4728779494749126E-3</v>
      </c>
      <c r="S147" s="55">
        <f>Tabla3[[#This Row],[Subtotal]]/12</f>
        <v>6996224.916666667</v>
      </c>
    </row>
    <row r="148" spans="1:19" x14ac:dyDescent="0.2">
      <c r="A148" s="4">
        <v>23</v>
      </c>
      <c r="B148" s="2">
        <v>83872771</v>
      </c>
      <c r="C148" s="2">
        <v>0</v>
      </c>
      <c r="D148" s="4" t="s">
        <v>506</v>
      </c>
      <c r="E148" s="2">
        <v>83872771</v>
      </c>
      <c r="F148" s="2">
        <v>15935826.49</v>
      </c>
      <c r="G148" s="2">
        <v>1971800.7</v>
      </c>
      <c r="H148" s="4">
        <v>2104673.9300000002</v>
      </c>
      <c r="I148" s="4">
        <v>0</v>
      </c>
      <c r="J148" s="4">
        <v>4076474.63</v>
      </c>
      <c r="K148" s="4">
        <v>95732122.859999999</v>
      </c>
      <c r="L148" s="4" t="s">
        <v>505</v>
      </c>
      <c r="M148" s="4" t="s">
        <v>146</v>
      </c>
      <c r="N148" s="4" t="s">
        <v>245</v>
      </c>
      <c r="O148" s="4" t="s">
        <v>237</v>
      </c>
      <c r="P148" s="4" t="s">
        <v>237</v>
      </c>
      <c r="Q148" s="8" t="s">
        <v>28</v>
      </c>
      <c r="R148" s="9">
        <f t="shared" si="3"/>
        <v>1.4714406273704695E-3</v>
      </c>
      <c r="S148" s="55">
        <f>Tabla3[[#This Row],[Subtotal]]/12</f>
        <v>6989397.583333333</v>
      </c>
    </row>
    <row r="149" spans="1:19" x14ac:dyDescent="0.2">
      <c r="A149" s="4">
        <v>905</v>
      </c>
      <c r="B149" s="2">
        <v>84065508</v>
      </c>
      <c r="C149" s="2">
        <v>196458.48</v>
      </c>
      <c r="D149" s="4" t="s">
        <v>508</v>
      </c>
      <c r="E149" s="2">
        <v>83869049.519999996</v>
      </c>
      <c r="F149" s="2">
        <v>15935119.41</v>
      </c>
      <c r="G149" s="2">
        <v>1889164.26</v>
      </c>
      <c r="H149" s="4">
        <v>2153647.27</v>
      </c>
      <c r="I149" s="4">
        <v>0</v>
      </c>
      <c r="J149" s="4">
        <v>4042811.53</v>
      </c>
      <c r="K149" s="4">
        <v>95761357.400000006</v>
      </c>
      <c r="L149" s="4" t="s">
        <v>507</v>
      </c>
      <c r="M149" s="4" t="s">
        <v>95</v>
      </c>
      <c r="N149" s="4" t="s">
        <v>58</v>
      </c>
      <c r="O149" s="4" t="s">
        <v>59</v>
      </c>
      <c r="P149" s="4" t="s">
        <v>59</v>
      </c>
      <c r="Q149" s="8" t="s">
        <v>28</v>
      </c>
      <c r="R149" s="9">
        <f t="shared" si="3"/>
        <v>1.4713753387577211E-3</v>
      </c>
      <c r="S149" s="55">
        <f>Tabla3[[#This Row],[Subtotal]]/12</f>
        <v>6989087.46</v>
      </c>
    </row>
    <row r="150" spans="1:19" x14ac:dyDescent="0.2">
      <c r="A150" s="4">
        <v>631</v>
      </c>
      <c r="B150" s="2">
        <v>83856547</v>
      </c>
      <c r="C150" s="2">
        <v>601358.62</v>
      </c>
      <c r="D150" s="4" t="s">
        <v>511</v>
      </c>
      <c r="E150" s="2">
        <v>83255188.379999995</v>
      </c>
      <c r="F150" s="2">
        <v>15818485.789999999</v>
      </c>
      <c r="G150" s="2">
        <v>1911620.64</v>
      </c>
      <c r="H150" s="4">
        <v>0</v>
      </c>
      <c r="I150" s="4">
        <v>0</v>
      </c>
      <c r="J150" s="4">
        <v>1911620.64</v>
      </c>
      <c r="K150" s="4">
        <v>97162053.530000001</v>
      </c>
      <c r="L150" s="4" t="s">
        <v>509</v>
      </c>
      <c r="M150" s="4" t="s">
        <v>510</v>
      </c>
      <c r="N150" s="4" t="s">
        <v>512</v>
      </c>
      <c r="O150" s="4" t="s">
        <v>59</v>
      </c>
      <c r="P150" s="4" t="s">
        <v>59</v>
      </c>
      <c r="Q150" s="8" t="s">
        <v>100</v>
      </c>
      <c r="R150" s="9">
        <f t="shared" si="3"/>
        <v>1.4606059292081074E-3</v>
      </c>
      <c r="S150" s="55">
        <f>Tabla3[[#This Row],[Subtotal]]/12</f>
        <v>6937932.3649999993</v>
      </c>
    </row>
    <row r="151" spans="1:19" x14ac:dyDescent="0.2">
      <c r="A151" s="4">
        <v>1273</v>
      </c>
      <c r="B151" s="2">
        <v>82287889.650000006</v>
      </c>
      <c r="C151" s="2">
        <v>0</v>
      </c>
      <c r="D151" s="4" t="s">
        <v>515</v>
      </c>
      <c r="E151" s="2">
        <v>82287889.650000006</v>
      </c>
      <c r="F151" s="2">
        <v>15634699.039999999</v>
      </c>
      <c r="G151" s="2">
        <v>2057197.23</v>
      </c>
      <c r="H151" s="4">
        <v>0</v>
      </c>
      <c r="I151" s="4">
        <v>0</v>
      </c>
      <c r="J151" s="4">
        <v>2057197.23</v>
      </c>
      <c r="K151" s="4">
        <v>95865391.459999993</v>
      </c>
      <c r="L151" s="4" t="s">
        <v>513</v>
      </c>
      <c r="M151" s="4" t="s">
        <v>514</v>
      </c>
      <c r="N151" s="4" t="s">
        <v>20</v>
      </c>
      <c r="O151" s="4" t="s">
        <v>516</v>
      </c>
      <c r="P151" s="4" t="s">
        <v>516</v>
      </c>
      <c r="Q151" s="8" t="s">
        <v>144</v>
      </c>
      <c r="R151" s="9">
        <f t="shared" si="3"/>
        <v>1.4436359086262688E-3</v>
      </c>
      <c r="S151" s="55">
        <f>Tabla3[[#This Row],[Subtotal]]/12</f>
        <v>6857324.1375000002</v>
      </c>
    </row>
    <row r="152" spans="1:19" x14ac:dyDescent="0.2">
      <c r="A152" s="4">
        <v>838</v>
      </c>
      <c r="B152" s="2">
        <v>82241748</v>
      </c>
      <c r="C152" s="2">
        <v>0</v>
      </c>
      <c r="D152" s="4" t="s">
        <v>519</v>
      </c>
      <c r="E152" s="2">
        <v>82241748</v>
      </c>
      <c r="F152" s="2">
        <v>15625932.119999999</v>
      </c>
      <c r="G152" s="2">
        <v>2014403.56</v>
      </c>
      <c r="H152" s="4">
        <v>0</v>
      </c>
      <c r="I152" s="4">
        <v>0</v>
      </c>
      <c r="J152" s="4">
        <v>2014403.56</v>
      </c>
      <c r="K152" s="4">
        <v>95853276.560000002</v>
      </c>
      <c r="L152" s="4" t="s">
        <v>517</v>
      </c>
      <c r="M152" s="4" t="s">
        <v>518</v>
      </c>
      <c r="N152" s="4" t="s">
        <v>472</v>
      </c>
      <c r="O152" s="4" t="s">
        <v>67</v>
      </c>
      <c r="P152" s="4" t="s">
        <v>67</v>
      </c>
      <c r="Q152" s="8" t="s">
        <v>28</v>
      </c>
      <c r="R152" s="9">
        <f t="shared" si="3"/>
        <v>1.4428264123187732E-3</v>
      </c>
      <c r="S152" s="55">
        <f>Tabla3[[#This Row],[Subtotal]]/12</f>
        <v>6853479</v>
      </c>
    </row>
    <row r="153" spans="1:19" x14ac:dyDescent="0.2">
      <c r="A153" s="4">
        <v>900</v>
      </c>
      <c r="B153" s="2">
        <v>81316170</v>
      </c>
      <c r="C153" s="2">
        <v>181656.78</v>
      </c>
      <c r="D153" s="4" t="s">
        <v>521</v>
      </c>
      <c r="E153" s="2">
        <v>81134513.219999999</v>
      </c>
      <c r="F153" s="2">
        <v>15415557.51</v>
      </c>
      <c r="G153" s="2">
        <v>1941640.35</v>
      </c>
      <c r="H153" s="4">
        <v>2213469.96</v>
      </c>
      <c r="I153" s="4">
        <v>0</v>
      </c>
      <c r="J153" s="4">
        <v>4155110.31</v>
      </c>
      <c r="K153" s="4">
        <v>92394960.420000002</v>
      </c>
      <c r="L153" s="4" t="s">
        <v>520</v>
      </c>
      <c r="M153" s="4" t="s">
        <v>95</v>
      </c>
      <c r="N153" s="4" t="s">
        <v>522</v>
      </c>
      <c r="O153" s="4" t="s">
        <v>105</v>
      </c>
      <c r="P153" s="4" t="s">
        <v>105</v>
      </c>
      <c r="Q153" s="8" t="s">
        <v>28</v>
      </c>
      <c r="R153" s="9">
        <f t="shared" si="3"/>
        <v>1.4234013924952407E-3</v>
      </c>
      <c r="S153" s="55">
        <f>Tabla3[[#This Row],[Subtotal]]/12</f>
        <v>6761209.4349999996</v>
      </c>
    </row>
    <row r="154" spans="1:19" x14ac:dyDescent="0.2">
      <c r="A154" s="4">
        <v>1661</v>
      </c>
      <c r="B154" s="2">
        <v>80256389</v>
      </c>
      <c r="C154" s="2">
        <v>0</v>
      </c>
      <c r="D154" s="4" t="s">
        <v>525</v>
      </c>
      <c r="E154" s="2">
        <v>80256389</v>
      </c>
      <c r="F154" s="2">
        <v>0</v>
      </c>
      <c r="G154" s="2">
        <v>1993238.23</v>
      </c>
      <c r="H154" s="4">
        <v>0</v>
      </c>
      <c r="I154" s="4">
        <v>0</v>
      </c>
      <c r="J154" s="4">
        <v>1993238.23</v>
      </c>
      <c r="K154" s="4">
        <v>78263150.769999996</v>
      </c>
      <c r="L154" s="4" t="s">
        <v>523</v>
      </c>
      <c r="M154" s="4" t="s">
        <v>524</v>
      </c>
      <c r="N154" s="4" t="s">
        <v>205</v>
      </c>
      <c r="O154" s="4" t="s">
        <v>206</v>
      </c>
      <c r="P154" s="4" t="s">
        <v>206</v>
      </c>
      <c r="Q154" s="8" t="s">
        <v>100</v>
      </c>
      <c r="R154" s="9">
        <f t="shared" si="3"/>
        <v>1.4079958247790387E-3</v>
      </c>
      <c r="S154" s="55">
        <f>Tabla3[[#This Row],[Subtotal]]/12</f>
        <v>6688032.416666667</v>
      </c>
    </row>
    <row r="155" spans="1:19" x14ac:dyDescent="0.2">
      <c r="A155" s="4">
        <v>21</v>
      </c>
      <c r="B155" s="2">
        <v>80349738</v>
      </c>
      <c r="C155" s="2">
        <v>148525.59</v>
      </c>
      <c r="D155" s="4" t="s">
        <v>527</v>
      </c>
      <c r="E155" s="2">
        <v>80201212.409999996</v>
      </c>
      <c r="F155" s="2">
        <v>15238230.359999999</v>
      </c>
      <c r="G155" s="2">
        <v>2005030.33</v>
      </c>
      <c r="H155" s="4">
        <v>2285734.59</v>
      </c>
      <c r="I155" s="4">
        <v>0</v>
      </c>
      <c r="J155" s="4">
        <v>4290764.92</v>
      </c>
      <c r="K155" s="4">
        <v>91148677.849999994</v>
      </c>
      <c r="L155" s="4" t="s">
        <v>526</v>
      </c>
      <c r="M155" s="4" t="s">
        <v>146</v>
      </c>
      <c r="N155" s="4" t="s">
        <v>293</v>
      </c>
      <c r="O155" s="4" t="s">
        <v>229</v>
      </c>
      <c r="P155" s="4" t="s">
        <v>229</v>
      </c>
      <c r="Q155" s="8" t="s">
        <v>28</v>
      </c>
      <c r="R155" s="9">
        <f t="shared" si="3"/>
        <v>1.4070278219905561E-3</v>
      </c>
      <c r="S155" s="55">
        <f>Tabla3[[#This Row],[Subtotal]]/12</f>
        <v>6683434.3674999997</v>
      </c>
    </row>
    <row r="156" spans="1:19" x14ac:dyDescent="0.2">
      <c r="A156" s="4">
        <v>1512</v>
      </c>
      <c r="B156" s="2">
        <v>79960762</v>
      </c>
      <c r="C156" s="2">
        <v>0</v>
      </c>
      <c r="D156" s="4" t="s">
        <v>530</v>
      </c>
      <c r="E156" s="2">
        <v>79960762</v>
      </c>
      <c r="F156" s="2">
        <v>15192544.779999999</v>
      </c>
      <c r="G156" s="2">
        <v>0</v>
      </c>
      <c r="H156" s="4">
        <v>0</v>
      </c>
      <c r="I156" s="4">
        <v>0</v>
      </c>
      <c r="J156" s="4">
        <v>0</v>
      </c>
      <c r="K156" s="4">
        <v>95153306.780000001</v>
      </c>
      <c r="L156" s="4" t="s">
        <v>528</v>
      </c>
      <c r="M156" s="4" t="s">
        <v>529</v>
      </c>
      <c r="N156" s="4" t="s">
        <v>20</v>
      </c>
      <c r="O156" s="4" t="s">
        <v>257</v>
      </c>
      <c r="P156" s="4" t="s">
        <v>257</v>
      </c>
      <c r="Q156" s="8" t="s">
        <v>100</v>
      </c>
      <c r="R156" s="9">
        <f t="shared" si="3"/>
        <v>1.4028094267006009E-3</v>
      </c>
      <c r="S156" s="55">
        <f>Tabla3[[#This Row],[Subtotal]]/12</f>
        <v>6663396.833333333</v>
      </c>
    </row>
    <row r="157" spans="1:19" x14ac:dyDescent="0.2">
      <c r="A157" s="4">
        <v>396</v>
      </c>
      <c r="B157" s="2">
        <v>78584729</v>
      </c>
      <c r="C157" s="2">
        <v>0</v>
      </c>
      <c r="D157" s="4" t="s">
        <v>533</v>
      </c>
      <c r="E157" s="2">
        <v>78584729</v>
      </c>
      <c r="F157" s="2">
        <v>0</v>
      </c>
      <c r="G157" s="2">
        <v>1964618.23</v>
      </c>
      <c r="H157" s="4">
        <v>0</v>
      </c>
      <c r="I157" s="4">
        <v>0</v>
      </c>
      <c r="J157" s="4">
        <v>1964618.23</v>
      </c>
      <c r="K157" s="4">
        <v>76620110.769999996</v>
      </c>
      <c r="L157" s="4" t="s">
        <v>531</v>
      </c>
      <c r="M157" s="4" t="s">
        <v>532</v>
      </c>
      <c r="N157" s="4" t="s">
        <v>228</v>
      </c>
      <c r="O157" s="4" t="s">
        <v>229</v>
      </c>
      <c r="P157" s="4" t="s">
        <v>229</v>
      </c>
      <c r="Q157" s="8" t="s">
        <v>100</v>
      </c>
      <c r="R157" s="9">
        <f t="shared" si="3"/>
        <v>1.3786686854724082E-3</v>
      </c>
      <c r="S157" s="55">
        <f>Tabla3[[#This Row],[Subtotal]]/12</f>
        <v>6548727.416666667</v>
      </c>
    </row>
    <row r="158" spans="1:19" x14ac:dyDescent="0.2">
      <c r="A158" s="4">
        <v>803</v>
      </c>
      <c r="B158" s="2">
        <v>77543576</v>
      </c>
      <c r="C158" s="2">
        <v>0</v>
      </c>
      <c r="D158" s="4" t="s">
        <v>536</v>
      </c>
      <c r="E158" s="2">
        <v>77543576</v>
      </c>
      <c r="F158" s="2">
        <v>14733279.439999999</v>
      </c>
      <c r="G158" s="2">
        <v>0</v>
      </c>
      <c r="H158" s="4">
        <v>0</v>
      </c>
      <c r="I158" s="4">
        <v>0</v>
      </c>
      <c r="J158" s="4">
        <v>0</v>
      </c>
      <c r="K158" s="4">
        <v>92276855.439999998</v>
      </c>
      <c r="L158" s="4" t="s">
        <v>534</v>
      </c>
      <c r="M158" s="4" t="s">
        <v>535</v>
      </c>
      <c r="N158" s="4" t="s">
        <v>32</v>
      </c>
      <c r="O158" s="4" t="s">
        <v>33</v>
      </c>
      <c r="P158" s="4" t="s">
        <v>33</v>
      </c>
      <c r="Q158" s="8" t="s">
        <v>100</v>
      </c>
      <c r="R158" s="9">
        <f t="shared" si="3"/>
        <v>1.3604029860655215E-3</v>
      </c>
      <c r="S158" s="55">
        <f>Tabla3[[#This Row],[Subtotal]]/12</f>
        <v>6461964.666666667</v>
      </c>
    </row>
    <row r="159" spans="1:19" x14ac:dyDescent="0.2">
      <c r="A159" s="4">
        <v>1363</v>
      </c>
      <c r="B159" s="2">
        <v>77258072</v>
      </c>
      <c r="C159" s="2">
        <v>0</v>
      </c>
      <c r="D159" s="4" t="s">
        <v>539</v>
      </c>
      <c r="E159" s="2">
        <v>77258072</v>
      </c>
      <c r="F159" s="2">
        <v>14679033.68</v>
      </c>
      <c r="G159" s="2">
        <v>1888943.07</v>
      </c>
      <c r="H159" s="4">
        <v>0</v>
      </c>
      <c r="I159" s="4">
        <v>0</v>
      </c>
      <c r="J159" s="4">
        <v>1888943.07</v>
      </c>
      <c r="K159" s="4">
        <v>90048162.609999999</v>
      </c>
      <c r="L159" s="4" t="s">
        <v>537</v>
      </c>
      <c r="M159" s="4" t="s">
        <v>538</v>
      </c>
      <c r="N159" s="4" t="s">
        <v>20</v>
      </c>
      <c r="O159" s="4" t="s">
        <v>540</v>
      </c>
      <c r="P159" s="4" t="s">
        <v>540</v>
      </c>
      <c r="Q159" s="8" t="s">
        <v>28</v>
      </c>
      <c r="R159" s="9">
        <f t="shared" si="3"/>
        <v>1.3553941830908734E-3</v>
      </c>
      <c r="S159" s="55">
        <f>Tabla3[[#This Row],[Subtotal]]/12</f>
        <v>6438172.666666667</v>
      </c>
    </row>
    <row r="160" spans="1:19" x14ac:dyDescent="0.2">
      <c r="A160" s="4">
        <v>559</v>
      </c>
      <c r="B160" s="2">
        <v>76407332</v>
      </c>
      <c r="C160" s="2">
        <v>0</v>
      </c>
      <c r="D160" s="4" t="s">
        <v>543</v>
      </c>
      <c r="E160" s="2">
        <v>76407332</v>
      </c>
      <c r="F160" s="2">
        <v>0</v>
      </c>
      <c r="G160" s="2">
        <v>1910183.3</v>
      </c>
      <c r="H160" s="4">
        <v>0</v>
      </c>
      <c r="I160" s="4">
        <v>0</v>
      </c>
      <c r="J160" s="4">
        <v>1910183.3</v>
      </c>
      <c r="K160" s="4">
        <v>74497148.700000003</v>
      </c>
      <c r="L160" s="4" t="s">
        <v>541</v>
      </c>
      <c r="M160" s="4" t="s">
        <v>542</v>
      </c>
      <c r="N160" s="4" t="s">
        <v>544</v>
      </c>
      <c r="O160" s="4" t="s">
        <v>76</v>
      </c>
      <c r="P160" s="4" t="s">
        <v>76</v>
      </c>
      <c r="Q160" s="8" t="s">
        <v>100</v>
      </c>
      <c r="R160" s="9">
        <f t="shared" si="3"/>
        <v>1.340469036533725E-3</v>
      </c>
      <c r="S160" s="55">
        <f>Tabla3[[#This Row],[Subtotal]]/12</f>
        <v>6367277.666666667</v>
      </c>
    </row>
    <row r="161" spans="1:19" x14ac:dyDescent="0.2">
      <c r="A161" s="4">
        <v>640</v>
      </c>
      <c r="B161" s="2">
        <v>76095068</v>
      </c>
      <c r="C161" s="2">
        <v>0</v>
      </c>
      <c r="D161" s="4" t="s">
        <v>546</v>
      </c>
      <c r="E161" s="2">
        <v>76095068</v>
      </c>
      <c r="F161" s="2">
        <v>14458062.92</v>
      </c>
      <c r="G161" s="2">
        <v>1834633.24</v>
      </c>
      <c r="H161" s="4">
        <v>0</v>
      </c>
      <c r="I161" s="4">
        <v>0</v>
      </c>
      <c r="J161" s="4">
        <v>1834633.24</v>
      </c>
      <c r="K161" s="4">
        <v>88718497.680000007</v>
      </c>
      <c r="L161" s="4" t="s">
        <v>545</v>
      </c>
      <c r="M161" s="4" t="s">
        <v>304</v>
      </c>
      <c r="N161" s="4" t="s">
        <v>41</v>
      </c>
      <c r="O161" s="4" t="s">
        <v>42</v>
      </c>
      <c r="P161" s="4" t="s">
        <v>42</v>
      </c>
      <c r="Q161" s="8" t="s">
        <v>28</v>
      </c>
      <c r="R161" s="9">
        <f t="shared" si="3"/>
        <v>1.3349907635425392E-3</v>
      </c>
      <c r="S161" s="55">
        <f>Tabla3[[#This Row],[Subtotal]]/12</f>
        <v>6341255.666666667</v>
      </c>
    </row>
    <row r="162" spans="1:19" x14ac:dyDescent="0.2">
      <c r="A162" s="4">
        <v>1161</v>
      </c>
      <c r="B162" s="2">
        <v>75404936</v>
      </c>
      <c r="C162" s="2">
        <v>0</v>
      </c>
      <c r="D162" s="4" t="s">
        <v>549</v>
      </c>
      <c r="E162" s="2">
        <v>75404936</v>
      </c>
      <c r="F162" s="2">
        <v>14326937.84</v>
      </c>
      <c r="G162" s="2">
        <v>1885123.41</v>
      </c>
      <c r="H162" s="4">
        <v>0</v>
      </c>
      <c r="I162" s="4">
        <v>439984.31</v>
      </c>
      <c r="J162" s="4">
        <v>2325107.7200000002</v>
      </c>
      <c r="K162" s="4">
        <v>87406766.120000005</v>
      </c>
      <c r="L162" s="4" t="s">
        <v>547</v>
      </c>
      <c r="M162" s="4" t="s">
        <v>548</v>
      </c>
      <c r="N162" s="4" t="s">
        <v>368</v>
      </c>
      <c r="O162" s="4" t="s">
        <v>89</v>
      </c>
      <c r="P162" s="4" t="s">
        <v>89</v>
      </c>
      <c r="Q162" s="8" t="s">
        <v>28</v>
      </c>
      <c r="R162" s="9">
        <f t="shared" si="3"/>
        <v>1.3228832791833012E-3</v>
      </c>
      <c r="S162" s="55">
        <f>Tabla3[[#This Row],[Subtotal]]/12</f>
        <v>6283744.666666667</v>
      </c>
    </row>
    <row r="163" spans="1:19" x14ac:dyDescent="0.2">
      <c r="A163" s="4">
        <v>921</v>
      </c>
      <c r="B163" s="2">
        <v>75275747</v>
      </c>
      <c r="C163" s="2">
        <v>0</v>
      </c>
      <c r="D163" s="4" t="s">
        <v>552</v>
      </c>
      <c r="E163" s="2">
        <v>75275747</v>
      </c>
      <c r="F163" s="2">
        <v>14302391.93</v>
      </c>
      <c r="G163" s="2">
        <v>1823111.96</v>
      </c>
      <c r="H163" s="4">
        <v>0</v>
      </c>
      <c r="I163" s="4">
        <v>0</v>
      </c>
      <c r="J163" s="4">
        <v>1823111.96</v>
      </c>
      <c r="K163" s="4">
        <v>87755026.969999999</v>
      </c>
      <c r="L163" s="4" t="s">
        <v>550</v>
      </c>
      <c r="M163" s="4" t="s">
        <v>551</v>
      </c>
      <c r="N163" s="4" t="s">
        <v>272</v>
      </c>
      <c r="O163" s="4" t="s">
        <v>89</v>
      </c>
      <c r="P163" s="4" t="s">
        <v>89</v>
      </c>
      <c r="Q163" s="8" t="s">
        <v>100</v>
      </c>
      <c r="R163" s="9">
        <f t="shared" si="3"/>
        <v>1.3206168232054803E-3</v>
      </c>
      <c r="S163" s="55">
        <f>Tabla3[[#This Row],[Subtotal]]/12</f>
        <v>6272978.916666667</v>
      </c>
    </row>
    <row r="164" spans="1:19" x14ac:dyDescent="0.2">
      <c r="A164" s="4">
        <v>968</v>
      </c>
      <c r="B164" s="2">
        <v>75033982</v>
      </c>
      <c r="C164" s="2">
        <v>0</v>
      </c>
      <c r="D164" s="4" t="s">
        <v>555</v>
      </c>
      <c r="E164" s="2">
        <v>75033982</v>
      </c>
      <c r="F164" s="2">
        <v>14256456.58</v>
      </c>
      <c r="G164" s="2">
        <v>0</v>
      </c>
      <c r="H164" s="4">
        <v>0</v>
      </c>
      <c r="I164" s="4">
        <v>0</v>
      </c>
      <c r="J164" s="4">
        <v>0</v>
      </c>
      <c r="K164" s="4">
        <v>89290438.579999998</v>
      </c>
      <c r="L164" s="4" t="s">
        <v>553</v>
      </c>
      <c r="M164" s="4" t="s">
        <v>554</v>
      </c>
      <c r="N164" s="4" t="s">
        <v>20</v>
      </c>
      <c r="O164" s="4" t="s">
        <v>257</v>
      </c>
      <c r="P164" s="4" t="s">
        <v>257</v>
      </c>
      <c r="Q164" s="8" t="s">
        <v>100</v>
      </c>
      <c r="R164" s="9">
        <f t="shared" si="3"/>
        <v>1.3163753651132442E-3</v>
      </c>
      <c r="S164" s="55">
        <f>Tabla3[[#This Row],[Subtotal]]/12</f>
        <v>6252831.833333333</v>
      </c>
    </row>
    <row r="165" spans="1:19" x14ac:dyDescent="0.2">
      <c r="A165" s="4">
        <v>33</v>
      </c>
      <c r="B165" s="2">
        <v>74363456</v>
      </c>
      <c r="C165" s="2">
        <v>0</v>
      </c>
      <c r="D165" s="4" t="s">
        <v>557</v>
      </c>
      <c r="E165" s="2">
        <v>74363456</v>
      </c>
      <c r="F165" s="2">
        <v>14129056.640000001</v>
      </c>
      <c r="G165" s="2">
        <v>1859086.4</v>
      </c>
      <c r="H165" s="4">
        <v>2119358.5</v>
      </c>
      <c r="I165" s="4">
        <v>0</v>
      </c>
      <c r="J165" s="4">
        <v>3978444.9</v>
      </c>
      <c r="K165" s="4">
        <v>84514067.739999995</v>
      </c>
      <c r="L165" s="4" t="s">
        <v>556</v>
      </c>
      <c r="M165" s="4" t="s">
        <v>146</v>
      </c>
      <c r="N165" s="4" t="s">
        <v>558</v>
      </c>
      <c r="O165" s="4" t="s">
        <v>559</v>
      </c>
      <c r="P165" s="4" t="s">
        <v>559</v>
      </c>
      <c r="Q165" s="8" t="s">
        <v>28</v>
      </c>
      <c r="R165" s="9">
        <f t="shared" si="3"/>
        <v>1.3046118429791273E-3</v>
      </c>
      <c r="S165" s="55">
        <f>Tabla3[[#This Row],[Subtotal]]/12</f>
        <v>6196954.666666667</v>
      </c>
    </row>
    <row r="166" spans="1:19" x14ac:dyDescent="0.2">
      <c r="A166" s="4">
        <v>1672</v>
      </c>
      <c r="B166" s="2">
        <v>75796098</v>
      </c>
      <c r="C166" s="2">
        <v>2273882.94</v>
      </c>
      <c r="D166" s="4" t="s">
        <v>562</v>
      </c>
      <c r="E166" s="2">
        <v>73522215.060000002</v>
      </c>
      <c r="F166" s="2">
        <v>13969220.880000001</v>
      </c>
      <c r="G166" s="2">
        <v>0</v>
      </c>
      <c r="H166" s="4">
        <v>0</v>
      </c>
      <c r="I166" s="4">
        <v>0</v>
      </c>
      <c r="J166" s="4">
        <v>0</v>
      </c>
      <c r="K166" s="4">
        <v>87491435.939999998</v>
      </c>
      <c r="L166" s="4" t="s">
        <v>560</v>
      </c>
      <c r="M166" s="4" t="s">
        <v>561</v>
      </c>
      <c r="N166" s="4" t="s">
        <v>124</v>
      </c>
      <c r="O166" s="4" t="s">
        <v>33</v>
      </c>
      <c r="P166" s="4" t="s">
        <v>33</v>
      </c>
      <c r="Q166" s="8" t="s">
        <v>100</v>
      </c>
      <c r="R166" s="9">
        <f t="shared" si="3"/>
        <v>1.289853345295495E-3</v>
      </c>
      <c r="S166" s="55">
        <f>Tabla3[[#This Row],[Subtotal]]/12</f>
        <v>6126851.2549999999</v>
      </c>
    </row>
    <row r="167" spans="1:19" x14ac:dyDescent="0.2">
      <c r="A167" s="4">
        <v>635</v>
      </c>
      <c r="B167" s="2">
        <v>71976050</v>
      </c>
      <c r="C167" s="2">
        <v>0</v>
      </c>
      <c r="D167" s="4" t="s">
        <v>564</v>
      </c>
      <c r="E167" s="2">
        <v>71976050</v>
      </c>
      <c r="F167" s="2">
        <v>13675449.5</v>
      </c>
      <c r="G167" s="2">
        <v>1681374.75</v>
      </c>
      <c r="H167" s="4">
        <v>0</v>
      </c>
      <c r="I167" s="4">
        <v>0</v>
      </c>
      <c r="J167" s="4">
        <v>1681374.75</v>
      </c>
      <c r="K167" s="4">
        <v>83970124.75</v>
      </c>
      <c r="L167" s="4" t="s">
        <v>563</v>
      </c>
      <c r="M167" s="4" t="s">
        <v>304</v>
      </c>
      <c r="N167" s="4" t="s">
        <v>565</v>
      </c>
      <c r="O167" s="4" t="s">
        <v>42</v>
      </c>
      <c r="P167" s="4" t="s">
        <v>42</v>
      </c>
      <c r="Q167" s="8" t="s">
        <v>28</v>
      </c>
      <c r="R167" s="9">
        <f t="shared" si="3"/>
        <v>1.2627278544028106E-3</v>
      </c>
      <c r="S167" s="55">
        <f>Tabla3[[#This Row],[Subtotal]]/12</f>
        <v>5998004.166666667</v>
      </c>
    </row>
    <row r="168" spans="1:19" x14ac:dyDescent="0.2">
      <c r="A168" s="4">
        <v>686</v>
      </c>
      <c r="B168" s="2">
        <v>72027018</v>
      </c>
      <c r="C168" s="2">
        <v>93998.399999999994</v>
      </c>
      <c r="D168" s="4" t="s">
        <v>568</v>
      </c>
      <c r="E168" s="2">
        <v>71933019.599999994</v>
      </c>
      <c r="F168" s="2">
        <v>13667273.720000001</v>
      </c>
      <c r="G168" s="2">
        <v>1793946.4</v>
      </c>
      <c r="H168" s="4">
        <v>0</v>
      </c>
      <c r="I168" s="4">
        <v>0</v>
      </c>
      <c r="J168" s="4">
        <v>1793946.4</v>
      </c>
      <c r="K168" s="4">
        <v>83806346.920000002</v>
      </c>
      <c r="L168" s="4" t="s">
        <v>566</v>
      </c>
      <c r="M168" s="4" t="s">
        <v>567</v>
      </c>
      <c r="N168" s="4" t="s">
        <v>124</v>
      </c>
      <c r="O168" s="4" t="s">
        <v>33</v>
      </c>
      <c r="P168" s="4" t="s">
        <v>33</v>
      </c>
      <c r="Q168" s="8" t="s">
        <v>28</v>
      </c>
      <c r="R168" s="9">
        <f t="shared" si="3"/>
        <v>1.2619729410022265E-3</v>
      </c>
      <c r="S168" s="55">
        <f>Tabla3[[#This Row],[Subtotal]]/12</f>
        <v>5994418.2999999998</v>
      </c>
    </row>
    <row r="169" spans="1:19" x14ac:dyDescent="0.2">
      <c r="A169" s="4">
        <v>1583</v>
      </c>
      <c r="B169" s="2">
        <v>71795558</v>
      </c>
      <c r="C169" s="2">
        <v>0</v>
      </c>
      <c r="D169" s="4" t="s">
        <v>571</v>
      </c>
      <c r="E169" s="2">
        <v>71795558</v>
      </c>
      <c r="F169" s="2">
        <v>13641156.02</v>
      </c>
      <c r="G169" s="2">
        <v>1594573.66</v>
      </c>
      <c r="H169" s="4">
        <v>0</v>
      </c>
      <c r="I169" s="4">
        <v>0</v>
      </c>
      <c r="J169" s="4">
        <v>1594573.66</v>
      </c>
      <c r="K169" s="4">
        <v>83842140.359999999</v>
      </c>
      <c r="L169" s="4" t="s">
        <v>569</v>
      </c>
      <c r="M169" s="4" t="s">
        <v>570</v>
      </c>
      <c r="N169" s="4" t="s">
        <v>572</v>
      </c>
      <c r="O169" s="4" t="s">
        <v>105</v>
      </c>
      <c r="P169" s="4" t="s">
        <v>105</v>
      </c>
      <c r="Q169" s="8" t="s">
        <v>100</v>
      </c>
      <c r="R169" s="9">
        <f t="shared" si="3"/>
        <v>1.2595613528248986E-3</v>
      </c>
      <c r="S169" s="55">
        <f>Tabla3[[#This Row],[Subtotal]]/12</f>
        <v>5982963.166666667</v>
      </c>
    </row>
    <row r="170" spans="1:19" x14ac:dyDescent="0.2">
      <c r="A170" s="4">
        <v>963</v>
      </c>
      <c r="B170" s="2">
        <v>70943490.959999993</v>
      </c>
      <c r="C170" s="2">
        <v>0</v>
      </c>
      <c r="D170" s="4" t="s">
        <v>575</v>
      </c>
      <c r="E170" s="2">
        <v>70943490.959999993</v>
      </c>
      <c r="F170" s="2">
        <v>13479263.279999999</v>
      </c>
      <c r="G170" s="2">
        <v>1772117.58</v>
      </c>
      <c r="H170" s="4">
        <v>0</v>
      </c>
      <c r="I170" s="4">
        <v>0</v>
      </c>
      <c r="J170" s="4">
        <v>1772117.58</v>
      </c>
      <c r="K170" s="4">
        <v>82650636.659999996</v>
      </c>
      <c r="L170" s="4" t="s">
        <v>573</v>
      </c>
      <c r="M170" s="4" t="s">
        <v>574</v>
      </c>
      <c r="N170" s="4" t="s">
        <v>20</v>
      </c>
      <c r="O170" s="4" t="s">
        <v>76</v>
      </c>
      <c r="P170" s="4" t="s">
        <v>76</v>
      </c>
      <c r="Q170" s="8" t="s">
        <v>100</v>
      </c>
      <c r="R170" s="9">
        <f t="shared" si="3"/>
        <v>1.2446129250461228E-3</v>
      </c>
      <c r="S170" s="55">
        <f>Tabla3[[#This Row],[Subtotal]]/12</f>
        <v>5911957.5799999991</v>
      </c>
    </row>
    <row r="171" spans="1:19" x14ac:dyDescent="0.2">
      <c r="A171" s="4">
        <v>752</v>
      </c>
      <c r="B171" s="2">
        <v>71132682</v>
      </c>
      <c r="C171" s="2">
        <v>237282</v>
      </c>
      <c r="D171" s="4" t="s">
        <v>577</v>
      </c>
      <c r="E171" s="2">
        <v>70895400</v>
      </c>
      <c r="F171" s="2">
        <v>13470126</v>
      </c>
      <c r="G171" s="2">
        <v>1732127.41</v>
      </c>
      <c r="H171" s="4">
        <v>1974625.23</v>
      </c>
      <c r="I171" s="4">
        <v>0</v>
      </c>
      <c r="J171" s="4">
        <v>3706752.64</v>
      </c>
      <c r="K171" s="4">
        <v>80658773.359999999</v>
      </c>
      <c r="L171" s="4" t="s">
        <v>576</v>
      </c>
      <c r="M171" s="4" t="s">
        <v>81</v>
      </c>
      <c r="N171" s="4" t="s">
        <v>404</v>
      </c>
      <c r="O171" s="4" t="s">
        <v>42</v>
      </c>
      <c r="P171" s="4" t="s">
        <v>42</v>
      </c>
      <c r="Q171" s="8" t="s">
        <v>28</v>
      </c>
      <c r="R171" s="9">
        <f t="shared" si="3"/>
        <v>1.2437692305847434E-3</v>
      </c>
      <c r="S171" s="55">
        <f>Tabla3[[#This Row],[Subtotal]]/12</f>
        <v>5907950</v>
      </c>
    </row>
    <row r="172" spans="1:19" x14ac:dyDescent="0.2">
      <c r="A172" s="4">
        <v>1205</v>
      </c>
      <c r="B172" s="2">
        <v>71149765</v>
      </c>
      <c r="C172" s="2">
        <v>258822.39999999999</v>
      </c>
      <c r="D172" s="4" t="s">
        <v>580</v>
      </c>
      <c r="E172" s="2">
        <v>70890942.599999994</v>
      </c>
      <c r="F172" s="2">
        <v>13469279.09</v>
      </c>
      <c r="G172" s="2">
        <v>1592865.21</v>
      </c>
      <c r="H172" s="4">
        <v>0</v>
      </c>
      <c r="I172" s="4">
        <v>0</v>
      </c>
      <c r="J172" s="4">
        <v>1592865.21</v>
      </c>
      <c r="K172" s="4">
        <v>82767356.480000004</v>
      </c>
      <c r="L172" s="4" t="s">
        <v>578</v>
      </c>
      <c r="M172" s="4" t="s">
        <v>579</v>
      </c>
      <c r="N172" s="4" t="s">
        <v>581</v>
      </c>
      <c r="O172" s="4" t="s">
        <v>59</v>
      </c>
      <c r="P172" s="4" t="s">
        <v>59</v>
      </c>
      <c r="Q172" s="8" t="s">
        <v>100</v>
      </c>
      <c r="R172" s="9">
        <f t="shared" si="3"/>
        <v>1.2436910311956657E-3</v>
      </c>
      <c r="S172" s="55">
        <f>Tabla3[[#This Row],[Subtotal]]/12</f>
        <v>5907578.5499999998</v>
      </c>
    </row>
    <row r="173" spans="1:19" x14ac:dyDescent="0.2">
      <c r="A173" s="4">
        <v>793</v>
      </c>
      <c r="B173" s="2">
        <v>69640157</v>
      </c>
      <c r="C173" s="2">
        <v>130470.46</v>
      </c>
      <c r="D173" s="4" t="s">
        <v>584</v>
      </c>
      <c r="E173" s="2">
        <v>69509686.540000007</v>
      </c>
      <c r="F173" s="2">
        <v>13206840.439999999</v>
      </c>
      <c r="G173" s="2">
        <v>1366273.32</v>
      </c>
      <c r="H173" s="4">
        <v>0</v>
      </c>
      <c r="I173" s="4">
        <v>0</v>
      </c>
      <c r="J173" s="4">
        <v>1366273.32</v>
      </c>
      <c r="K173" s="4">
        <v>81350253.659999996</v>
      </c>
      <c r="L173" s="4" t="s">
        <v>582</v>
      </c>
      <c r="M173" s="4" t="s">
        <v>583</v>
      </c>
      <c r="N173" s="4" t="s">
        <v>20</v>
      </c>
      <c r="O173" s="4" t="s">
        <v>76</v>
      </c>
      <c r="P173" s="4" t="s">
        <v>76</v>
      </c>
      <c r="Q173" s="8" t="s">
        <v>585</v>
      </c>
      <c r="R173" s="9">
        <f t="shared" si="3"/>
        <v>1.2194586580517566E-3</v>
      </c>
      <c r="S173" s="55">
        <f>Tabla3[[#This Row],[Subtotal]]/12</f>
        <v>5792473.8783333339</v>
      </c>
    </row>
    <row r="174" spans="1:19" x14ac:dyDescent="0.2">
      <c r="A174" s="4">
        <v>240</v>
      </c>
      <c r="B174" s="2">
        <v>69341518</v>
      </c>
      <c r="C174" s="2">
        <v>0</v>
      </c>
      <c r="D174" s="4" t="s">
        <v>588</v>
      </c>
      <c r="E174" s="2">
        <v>69341518</v>
      </c>
      <c r="F174" s="2">
        <v>13174888.42</v>
      </c>
      <c r="G174" s="2">
        <v>1733537.97</v>
      </c>
      <c r="H174" s="4">
        <v>0</v>
      </c>
      <c r="I174" s="4">
        <v>0</v>
      </c>
      <c r="J174" s="4">
        <v>1733537.97</v>
      </c>
      <c r="K174" s="4">
        <v>80782868.450000003</v>
      </c>
      <c r="L174" s="4" t="s">
        <v>586</v>
      </c>
      <c r="M174" s="4" t="s">
        <v>587</v>
      </c>
      <c r="N174" s="4" t="s">
        <v>589</v>
      </c>
      <c r="O174" s="4" t="s">
        <v>201</v>
      </c>
      <c r="P174" s="4" t="s">
        <v>201</v>
      </c>
      <c r="Q174" s="8" t="s">
        <v>100</v>
      </c>
      <c r="R174" s="9">
        <f t="shared" si="3"/>
        <v>1.216508355837447E-3</v>
      </c>
      <c r="S174" s="55">
        <f>Tabla3[[#This Row],[Subtotal]]/12</f>
        <v>5778459.833333333</v>
      </c>
    </row>
    <row r="175" spans="1:19" x14ac:dyDescent="0.2">
      <c r="A175" s="4">
        <v>1040</v>
      </c>
      <c r="B175" s="2">
        <v>69665883</v>
      </c>
      <c r="C175" s="2">
        <v>387002.34</v>
      </c>
      <c r="D175" s="4" t="s">
        <v>592</v>
      </c>
      <c r="E175" s="2">
        <v>69278880.659999996</v>
      </c>
      <c r="F175" s="2">
        <v>13162987.33</v>
      </c>
      <c r="G175" s="2">
        <v>1731972.04</v>
      </c>
      <c r="H175" s="4">
        <v>0</v>
      </c>
      <c r="I175" s="4">
        <v>0</v>
      </c>
      <c r="J175" s="4">
        <v>1731972.04</v>
      </c>
      <c r="K175" s="4">
        <v>80709895.950000003</v>
      </c>
      <c r="L175" s="4" t="s">
        <v>590</v>
      </c>
      <c r="M175" s="4" t="s">
        <v>591</v>
      </c>
      <c r="N175" s="4" t="s">
        <v>186</v>
      </c>
      <c r="O175" s="4" t="s">
        <v>59</v>
      </c>
      <c r="P175" s="4" t="s">
        <v>59</v>
      </c>
      <c r="Q175" s="8" t="s">
        <v>100</v>
      </c>
      <c r="R175" s="9">
        <f t="shared" si="3"/>
        <v>1.2154094637206428E-3</v>
      </c>
      <c r="S175" s="55">
        <f>Tabla3[[#This Row],[Subtotal]]/12</f>
        <v>5773240.0549999997</v>
      </c>
    </row>
    <row r="176" spans="1:19" x14ac:dyDescent="0.2">
      <c r="A176" s="4">
        <v>258</v>
      </c>
      <c r="B176" s="2">
        <v>69194365.890000001</v>
      </c>
      <c r="C176" s="2">
        <v>0</v>
      </c>
      <c r="D176" s="4" t="s">
        <v>594</v>
      </c>
      <c r="E176" s="2">
        <v>69194365.890000001</v>
      </c>
      <c r="F176" s="2">
        <v>13146929.52</v>
      </c>
      <c r="G176" s="2">
        <v>1729859.18</v>
      </c>
      <c r="H176" s="4">
        <v>1972039.44</v>
      </c>
      <c r="I176" s="4">
        <v>0</v>
      </c>
      <c r="J176" s="4">
        <v>3701898.62</v>
      </c>
      <c r="K176" s="4">
        <v>78639396.790000007</v>
      </c>
      <c r="L176" s="4" t="s">
        <v>593</v>
      </c>
      <c r="M176" s="4" t="s">
        <v>110</v>
      </c>
      <c r="N176" s="4" t="s">
        <v>20</v>
      </c>
      <c r="O176" s="4" t="s">
        <v>21</v>
      </c>
      <c r="P176" s="4" t="s">
        <v>21</v>
      </c>
      <c r="Q176" s="8" t="s">
        <v>22</v>
      </c>
      <c r="R176" s="9">
        <f t="shared" si="3"/>
        <v>1.2139267600409125E-3</v>
      </c>
      <c r="S176" s="55">
        <f>Tabla3[[#This Row],[Subtotal]]/12</f>
        <v>5766197.1574999997</v>
      </c>
    </row>
    <row r="177" spans="1:19" x14ac:dyDescent="0.2">
      <c r="A177" s="4">
        <v>645</v>
      </c>
      <c r="B177" s="2">
        <v>68903985</v>
      </c>
      <c r="C177" s="2">
        <v>0</v>
      </c>
      <c r="D177" s="4" t="s">
        <v>596</v>
      </c>
      <c r="E177" s="2">
        <v>68903985</v>
      </c>
      <c r="F177" s="2">
        <v>13091757.15</v>
      </c>
      <c r="G177" s="2">
        <v>1606389.89</v>
      </c>
      <c r="H177" s="4">
        <v>0</v>
      </c>
      <c r="I177" s="4">
        <v>0</v>
      </c>
      <c r="J177" s="4">
        <v>1606389.89</v>
      </c>
      <c r="K177" s="4">
        <v>80389352.260000005</v>
      </c>
      <c r="L177" s="4" t="s">
        <v>595</v>
      </c>
      <c r="M177" s="4" t="s">
        <v>304</v>
      </c>
      <c r="N177" s="4" t="s">
        <v>41</v>
      </c>
      <c r="O177" s="4" t="s">
        <v>42</v>
      </c>
      <c r="P177" s="4" t="s">
        <v>42</v>
      </c>
      <c r="Q177" s="8" t="s">
        <v>28</v>
      </c>
      <c r="R177" s="9">
        <f t="shared" si="3"/>
        <v>1.2088323982609971E-3</v>
      </c>
      <c r="S177" s="55">
        <f>Tabla3[[#This Row],[Subtotal]]/12</f>
        <v>5741998.75</v>
      </c>
    </row>
    <row r="178" spans="1:19" x14ac:dyDescent="0.2">
      <c r="A178" s="4">
        <v>741</v>
      </c>
      <c r="B178" s="2">
        <v>68459196</v>
      </c>
      <c r="C178" s="2">
        <v>285782.88</v>
      </c>
      <c r="D178" s="4" t="s">
        <v>598</v>
      </c>
      <c r="E178" s="2">
        <v>68173413.120000005</v>
      </c>
      <c r="F178" s="2">
        <v>12952948.49</v>
      </c>
      <c r="G178" s="2">
        <v>1704335.34</v>
      </c>
      <c r="H178" s="4">
        <v>1942942.27</v>
      </c>
      <c r="I178" s="4">
        <v>0</v>
      </c>
      <c r="J178" s="4">
        <v>3647277.61</v>
      </c>
      <c r="K178" s="4">
        <v>77479084</v>
      </c>
      <c r="L178" s="4" t="s">
        <v>597</v>
      </c>
      <c r="M178" s="4" t="s">
        <v>81</v>
      </c>
      <c r="N178" s="4" t="s">
        <v>599</v>
      </c>
      <c r="O178" s="4" t="s">
        <v>559</v>
      </c>
      <c r="P178" s="4" t="s">
        <v>559</v>
      </c>
      <c r="Q178" s="8" t="s">
        <v>28</v>
      </c>
      <c r="R178" s="9">
        <f t="shared" si="3"/>
        <v>1.1960154478654222E-3</v>
      </c>
      <c r="S178" s="55">
        <f>Tabla3[[#This Row],[Subtotal]]/12</f>
        <v>5681117.7600000007</v>
      </c>
    </row>
    <row r="179" spans="1:19" x14ac:dyDescent="0.2">
      <c r="A179" s="4">
        <v>1375</v>
      </c>
      <c r="B179" s="2">
        <v>68058170</v>
      </c>
      <c r="C179" s="2">
        <v>0</v>
      </c>
      <c r="D179" s="4" t="s">
        <v>602</v>
      </c>
      <c r="E179" s="2">
        <v>68058170</v>
      </c>
      <c r="F179" s="2">
        <v>12931052.300000001</v>
      </c>
      <c r="G179" s="2">
        <v>1278827.48</v>
      </c>
      <c r="H179" s="4">
        <v>0</v>
      </c>
      <c r="I179" s="4">
        <v>0</v>
      </c>
      <c r="J179" s="4">
        <v>1278827.48</v>
      </c>
      <c r="K179" s="4">
        <v>79710394.819999993</v>
      </c>
      <c r="L179" s="4" t="s">
        <v>600</v>
      </c>
      <c r="M179" s="4" t="s">
        <v>601</v>
      </c>
      <c r="N179" s="4" t="s">
        <v>20</v>
      </c>
      <c r="O179" s="4" t="s">
        <v>603</v>
      </c>
      <c r="P179" s="4" t="s">
        <v>603</v>
      </c>
      <c r="Q179" s="8" t="s">
        <v>28</v>
      </c>
      <c r="R179" s="9">
        <f t="shared" si="3"/>
        <v>1.1939936545376098E-3</v>
      </c>
      <c r="S179" s="55">
        <f>Tabla3[[#This Row],[Subtotal]]/12</f>
        <v>5671514.166666667</v>
      </c>
    </row>
    <row r="180" spans="1:19" x14ac:dyDescent="0.2">
      <c r="A180" s="4">
        <v>244</v>
      </c>
      <c r="B180" s="2">
        <v>67971253</v>
      </c>
      <c r="C180" s="2">
        <v>0</v>
      </c>
      <c r="D180" s="4" t="s">
        <v>606</v>
      </c>
      <c r="E180" s="2">
        <v>67971253</v>
      </c>
      <c r="F180" s="2">
        <v>12914538.07</v>
      </c>
      <c r="G180" s="2">
        <v>0</v>
      </c>
      <c r="H180" s="4">
        <v>0</v>
      </c>
      <c r="I180" s="4">
        <v>0</v>
      </c>
      <c r="J180" s="4">
        <v>0</v>
      </c>
      <c r="K180" s="4">
        <v>80885791.069999993</v>
      </c>
      <c r="L180" s="4" t="s">
        <v>604</v>
      </c>
      <c r="M180" s="4" t="s">
        <v>605</v>
      </c>
      <c r="N180" s="4" t="s">
        <v>32</v>
      </c>
      <c r="O180" s="4" t="s">
        <v>33</v>
      </c>
      <c r="P180" s="4" t="s">
        <v>33</v>
      </c>
      <c r="Q180" s="8" t="s">
        <v>100</v>
      </c>
      <c r="R180" s="9">
        <f t="shared" si="3"/>
        <v>1.1924688068011596E-3</v>
      </c>
      <c r="S180" s="55">
        <f>Tabla3[[#This Row],[Subtotal]]/12</f>
        <v>5664271.083333333</v>
      </c>
    </row>
    <row r="181" spans="1:19" x14ac:dyDescent="0.2">
      <c r="A181" s="4">
        <v>330</v>
      </c>
      <c r="B181" s="2">
        <v>67898210</v>
      </c>
      <c r="C181" s="2">
        <v>0</v>
      </c>
      <c r="D181" s="4" t="s">
        <v>609</v>
      </c>
      <c r="E181" s="2">
        <v>67898210</v>
      </c>
      <c r="F181" s="2">
        <v>12900659.9</v>
      </c>
      <c r="G181" s="2">
        <v>1591894.59</v>
      </c>
      <c r="H181" s="4">
        <v>0</v>
      </c>
      <c r="I181" s="4">
        <v>0</v>
      </c>
      <c r="J181" s="4">
        <v>1591894.59</v>
      </c>
      <c r="K181" s="4">
        <v>79206975.310000002</v>
      </c>
      <c r="L181" s="4" t="s">
        <v>607</v>
      </c>
      <c r="M181" s="4" t="s">
        <v>608</v>
      </c>
      <c r="N181" s="4" t="s">
        <v>186</v>
      </c>
      <c r="O181" s="4" t="s">
        <v>59</v>
      </c>
      <c r="P181" s="4" t="s">
        <v>59</v>
      </c>
      <c r="Q181" s="8" t="s">
        <v>28</v>
      </c>
      <c r="R181" s="9">
        <f t="shared" si="3"/>
        <v>1.1911873606719383E-3</v>
      </c>
      <c r="S181" s="55">
        <f>Tabla3[[#This Row],[Subtotal]]/12</f>
        <v>5658184.166666667</v>
      </c>
    </row>
    <row r="182" spans="1:19" x14ac:dyDescent="0.2">
      <c r="A182" s="4">
        <v>607</v>
      </c>
      <c r="B182" s="2">
        <v>69960870</v>
      </c>
      <c r="C182" s="2">
        <v>2098826.1</v>
      </c>
      <c r="D182" s="4" t="s">
        <v>611</v>
      </c>
      <c r="E182" s="2">
        <v>67862043.900000006</v>
      </c>
      <c r="F182" s="2">
        <v>12893788.34</v>
      </c>
      <c r="G182" s="2">
        <v>1696551.12</v>
      </c>
      <c r="H182" s="4">
        <v>0</v>
      </c>
      <c r="I182" s="4">
        <v>0</v>
      </c>
      <c r="J182" s="4">
        <v>1696551.12</v>
      </c>
      <c r="K182" s="4">
        <v>79059281.120000005</v>
      </c>
      <c r="L182" s="4" t="s">
        <v>610</v>
      </c>
      <c r="M182" s="4" t="s">
        <v>300</v>
      </c>
      <c r="N182" s="4" t="s">
        <v>46</v>
      </c>
      <c r="O182" s="4" t="s">
        <v>27</v>
      </c>
      <c r="P182" s="4" t="s">
        <v>27</v>
      </c>
      <c r="Q182" s="8" t="s">
        <v>28</v>
      </c>
      <c r="R182" s="9">
        <f t="shared" si="3"/>
        <v>1.1905528726463366E-3</v>
      </c>
      <c r="S182" s="55">
        <f>Tabla3[[#This Row],[Subtotal]]/12</f>
        <v>5655170.3250000002</v>
      </c>
    </row>
    <row r="183" spans="1:19" x14ac:dyDescent="0.2">
      <c r="A183" s="4">
        <v>778</v>
      </c>
      <c r="B183" s="2">
        <v>66955211</v>
      </c>
      <c r="C183" s="2">
        <v>0</v>
      </c>
      <c r="D183" s="4" t="s">
        <v>614</v>
      </c>
      <c r="E183" s="2">
        <v>66955211</v>
      </c>
      <c r="F183" s="2">
        <v>12721490.09</v>
      </c>
      <c r="G183" s="2">
        <v>0</v>
      </c>
      <c r="H183" s="4">
        <v>0</v>
      </c>
      <c r="I183" s="4">
        <v>0</v>
      </c>
      <c r="J183" s="4">
        <v>0</v>
      </c>
      <c r="K183" s="4">
        <v>79676701.090000004</v>
      </c>
      <c r="L183" s="4" t="s">
        <v>612</v>
      </c>
      <c r="M183" s="4" t="s">
        <v>613</v>
      </c>
      <c r="N183" s="4" t="s">
        <v>20</v>
      </c>
      <c r="O183" s="4" t="s">
        <v>257</v>
      </c>
      <c r="P183" s="4" t="s">
        <v>257</v>
      </c>
      <c r="Q183" s="8" t="s">
        <v>100</v>
      </c>
      <c r="R183" s="9">
        <f t="shared" si="3"/>
        <v>1.1746436478122578E-3</v>
      </c>
      <c r="S183" s="55">
        <f>Tabla3[[#This Row],[Subtotal]]/12</f>
        <v>5579600.916666667</v>
      </c>
    </row>
    <row r="184" spans="1:19" x14ac:dyDescent="0.2">
      <c r="A184" s="4">
        <v>1621</v>
      </c>
      <c r="B184" s="2">
        <v>66192403.43</v>
      </c>
      <c r="C184" s="2">
        <v>0</v>
      </c>
      <c r="D184" s="4" t="s">
        <v>617</v>
      </c>
      <c r="E184" s="2">
        <v>66192403.43</v>
      </c>
      <c r="F184" s="2">
        <v>12576556.609999999</v>
      </c>
      <c r="G184" s="2">
        <v>1581591.85</v>
      </c>
      <c r="H184" s="4">
        <v>1803014.79</v>
      </c>
      <c r="I184" s="4">
        <v>0</v>
      </c>
      <c r="J184" s="4">
        <v>3384606.64</v>
      </c>
      <c r="K184" s="4">
        <v>75384353.400000006</v>
      </c>
      <c r="L184" s="4" t="s">
        <v>615</v>
      </c>
      <c r="M184" s="4" t="s">
        <v>616</v>
      </c>
      <c r="N184" s="4" t="s">
        <v>20</v>
      </c>
      <c r="O184" s="4" t="s">
        <v>21</v>
      </c>
      <c r="P184" s="4" t="s">
        <v>21</v>
      </c>
      <c r="Q184" s="8" t="s">
        <v>144</v>
      </c>
      <c r="R184" s="9">
        <f t="shared" si="3"/>
        <v>1.1612611634137903E-3</v>
      </c>
      <c r="S184" s="55">
        <f>Tabla3[[#This Row],[Subtotal]]/12</f>
        <v>5516033.6191666666</v>
      </c>
    </row>
    <row r="185" spans="1:19" x14ac:dyDescent="0.2">
      <c r="A185" s="4">
        <v>754</v>
      </c>
      <c r="B185" s="2">
        <v>66831670</v>
      </c>
      <c r="C185" s="2">
        <v>904880.79</v>
      </c>
      <c r="D185" s="4" t="s">
        <v>619</v>
      </c>
      <c r="E185" s="2">
        <v>65926789.210000001</v>
      </c>
      <c r="F185" s="2">
        <v>12526089.949999999</v>
      </c>
      <c r="G185" s="2">
        <v>1638787.26</v>
      </c>
      <c r="H185" s="4">
        <v>1878913.48</v>
      </c>
      <c r="I185" s="4">
        <v>0</v>
      </c>
      <c r="J185" s="4">
        <v>3517700.74</v>
      </c>
      <c r="K185" s="4">
        <v>74935178.420000002</v>
      </c>
      <c r="L185" s="4" t="s">
        <v>618</v>
      </c>
      <c r="M185" s="4" t="s">
        <v>81</v>
      </c>
      <c r="N185" s="4" t="s">
        <v>472</v>
      </c>
      <c r="O185" s="4" t="s">
        <v>67</v>
      </c>
      <c r="P185" s="4" t="s">
        <v>67</v>
      </c>
      <c r="Q185" s="8" t="s">
        <v>28</v>
      </c>
      <c r="R185" s="9">
        <f t="shared" si="3"/>
        <v>1.1566013012218601E-3</v>
      </c>
      <c r="S185" s="55">
        <f>Tabla3[[#This Row],[Subtotal]]/12</f>
        <v>5493899.1008333331</v>
      </c>
    </row>
    <row r="186" spans="1:19" x14ac:dyDescent="0.2">
      <c r="A186" s="4">
        <v>659</v>
      </c>
      <c r="B186" s="2">
        <v>65875885</v>
      </c>
      <c r="C186" s="2">
        <v>0</v>
      </c>
      <c r="D186" s="4" t="s">
        <v>622</v>
      </c>
      <c r="E186" s="2">
        <v>65875885</v>
      </c>
      <c r="F186" s="2">
        <v>12516418.15</v>
      </c>
      <c r="G186" s="2">
        <v>1646897.14</v>
      </c>
      <c r="H186" s="4">
        <v>0</v>
      </c>
      <c r="I186" s="4">
        <v>0</v>
      </c>
      <c r="J186" s="4">
        <v>1646897.14</v>
      </c>
      <c r="K186" s="4">
        <v>76745406.010000005</v>
      </c>
      <c r="L186" s="4" t="s">
        <v>620</v>
      </c>
      <c r="M186" s="4" t="s">
        <v>621</v>
      </c>
      <c r="N186" s="4" t="s">
        <v>623</v>
      </c>
      <c r="O186" s="4" t="s">
        <v>173</v>
      </c>
      <c r="P186" s="4" t="s">
        <v>173</v>
      </c>
      <c r="Q186" s="8" t="s">
        <v>100</v>
      </c>
      <c r="R186" s="9">
        <f t="shared" si="3"/>
        <v>1.1557082518829013E-3</v>
      </c>
      <c r="S186" s="55">
        <f>Tabla3[[#This Row],[Subtotal]]/12</f>
        <v>5489657.083333333</v>
      </c>
    </row>
    <row r="187" spans="1:19" x14ac:dyDescent="0.2">
      <c r="A187" s="4">
        <v>1576</v>
      </c>
      <c r="B187" s="2">
        <v>65125878.299999997</v>
      </c>
      <c r="C187" s="2">
        <v>0</v>
      </c>
      <c r="D187" s="4" t="s">
        <v>626</v>
      </c>
      <c r="E187" s="2">
        <v>65125878.299999997</v>
      </c>
      <c r="F187" s="2">
        <v>12373916.880000001</v>
      </c>
      <c r="G187" s="2">
        <v>1426649.46</v>
      </c>
      <c r="H187" s="4">
        <v>0</v>
      </c>
      <c r="I187" s="4">
        <v>0</v>
      </c>
      <c r="J187" s="4">
        <v>1426649.46</v>
      </c>
      <c r="K187" s="4">
        <v>76073145.719999999</v>
      </c>
      <c r="L187" s="4" t="s">
        <v>624</v>
      </c>
      <c r="M187" s="4" t="s">
        <v>625</v>
      </c>
      <c r="N187" s="4" t="s">
        <v>627</v>
      </c>
      <c r="O187" s="4" t="s">
        <v>27</v>
      </c>
      <c r="P187" s="4" t="s">
        <v>27</v>
      </c>
      <c r="Q187" s="8" t="s">
        <v>100</v>
      </c>
      <c r="R187" s="9">
        <f t="shared" si="3"/>
        <v>1.1425503423966384E-3</v>
      </c>
      <c r="S187" s="55">
        <f>Tabla3[[#This Row],[Subtotal]]/12</f>
        <v>5427156.5249999994</v>
      </c>
    </row>
    <row r="188" spans="1:19" x14ac:dyDescent="0.2">
      <c r="A188" s="4">
        <v>895</v>
      </c>
      <c r="B188" s="2">
        <v>64706710</v>
      </c>
      <c r="C188" s="2">
        <v>315528.78000000003</v>
      </c>
      <c r="D188" s="4" t="s">
        <v>630</v>
      </c>
      <c r="E188" s="2">
        <v>64391181.219999999</v>
      </c>
      <c r="F188" s="2">
        <v>12234324.43</v>
      </c>
      <c r="G188" s="2">
        <v>1106583.07</v>
      </c>
      <c r="H188" s="4">
        <v>0</v>
      </c>
      <c r="I188" s="4">
        <v>0</v>
      </c>
      <c r="J188" s="4">
        <v>1106583.07</v>
      </c>
      <c r="K188" s="4">
        <v>75518922.579999998</v>
      </c>
      <c r="L188" s="4" t="s">
        <v>628</v>
      </c>
      <c r="M188" s="4" t="s">
        <v>629</v>
      </c>
      <c r="N188" s="4" t="s">
        <v>20</v>
      </c>
      <c r="O188" s="4" t="s">
        <v>631</v>
      </c>
      <c r="P188" s="4" t="s">
        <v>631</v>
      </c>
      <c r="Q188" s="8" t="s">
        <v>28</v>
      </c>
      <c r="R188" s="9">
        <f t="shared" si="3"/>
        <v>1.1296610206366305E-3</v>
      </c>
      <c r="S188" s="55">
        <f>Tabla3[[#This Row],[Subtotal]]/12</f>
        <v>5365931.7683333335</v>
      </c>
    </row>
    <row r="189" spans="1:19" x14ac:dyDescent="0.2">
      <c r="A189" s="4">
        <v>643</v>
      </c>
      <c r="B189" s="2">
        <v>64058930</v>
      </c>
      <c r="C189" s="2">
        <v>0</v>
      </c>
      <c r="D189" s="4" t="s">
        <v>633</v>
      </c>
      <c r="E189" s="2">
        <v>64058930</v>
      </c>
      <c r="F189" s="2">
        <v>12171196.699999999</v>
      </c>
      <c r="G189" s="2">
        <v>1560450.61</v>
      </c>
      <c r="H189" s="4">
        <v>0</v>
      </c>
      <c r="I189" s="4">
        <v>0</v>
      </c>
      <c r="J189" s="4">
        <v>1560450.61</v>
      </c>
      <c r="K189" s="4">
        <v>74669676.090000004</v>
      </c>
      <c r="L189" s="4" t="s">
        <v>632</v>
      </c>
      <c r="M189" s="4" t="s">
        <v>304</v>
      </c>
      <c r="N189" s="4" t="s">
        <v>306</v>
      </c>
      <c r="O189" s="4" t="s">
        <v>42</v>
      </c>
      <c r="P189" s="4" t="s">
        <v>42</v>
      </c>
      <c r="Q189" s="8" t="s">
        <v>28</v>
      </c>
      <c r="R189" s="9">
        <f t="shared" si="3"/>
        <v>1.1238320974023975E-3</v>
      </c>
      <c r="S189" s="55">
        <f>Tabla3[[#This Row],[Subtotal]]/12</f>
        <v>5338244.166666667</v>
      </c>
    </row>
    <row r="190" spans="1:19" x14ac:dyDescent="0.2">
      <c r="A190" s="4">
        <v>572</v>
      </c>
      <c r="B190" s="2">
        <v>63553946</v>
      </c>
      <c r="C190" s="2">
        <v>0</v>
      </c>
      <c r="D190" s="4" t="s">
        <v>636</v>
      </c>
      <c r="E190" s="2">
        <v>63553946</v>
      </c>
      <c r="F190" s="2">
        <v>12075249.74</v>
      </c>
      <c r="G190" s="2">
        <v>1540730.16</v>
      </c>
      <c r="H190" s="4">
        <v>0</v>
      </c>
      <c r="I190" s="4">
        <v>0</v>
      </c>
      <c r="J190" s="4">
        <v>1540730.16</v>
      </c>
      <c r="K190" s="4">
        <v>74088465.579999998</v>
      </c>
      <c r="L190" s="4" t="s">
        <v>634</v>
      </c>
      <c r="M190" s="4" t="s">
        <v>635</v>
      </c>
      <c r="N190" s="4" t="s">
        <v>127</v>
      </c>
      <c r="O190" s="4" t="s">
        <v>67</v>
      </c>
      <c r="P190" s="4" t="s">
        <v>67</v>
      </c>
      <c r="Q190" s="8" t="s">
        <v>28</v>
      </c>
      <c r="R190" s="9">
        <f t="shared" si="3"/>
        <v>1.1149727981934559E-3</v>
      </c>
      <c r="S190" s="55">
        <f>Tabla3[[#This Row],[Subtotal]]/12</f>
        <v>5296162.166666667</v>
      </c>
    </row>
    <row r="191" spans="1:19" x14ac:dyDescent="0.2">
      <c r="A191" s="4">
        <v>828</v>
      </c>
      <c r="B191" s="2">
        <v>63475876</v>
      </c>
      <c r="C191" s="2">
        <v>0</v>
      </c>
      <c r="D191" s="4" t="s">
        <v>639</v>
      </c>
      <c r="E191" s="2">
        <v>63475876</v>
      </c>
      <c r="F191" s="2">
        <v>12060416.439999999</v>
      </c>
      <c r="G191" s="2">
        <v>0</v>
      </c>
      <c r="H191" s="4">
        <v>0</v>
      </c>
      <c r="I191" s="4">
        <v>0</v>
      </c>
      <c r="J191" s="4">
        <v>0</v>
      </c>
      <c r="K191" s="4">
        <v>75536292.439999998</v>
      </c>
      <c r="L191" s="4" t="s">
        <v>637</v>
      </c>
      <c r="M191" s="4" t="s">
        <v>638</v>
      </c>
      <c r="N191" s="4" t="s">
        <v>20</v>
      </c>
      <c r="O191" s="4" t="s">
        <v>257</v>
      </c>
      <c r="P191" s="4" t="s">
        <v>257</v>
      </c>
      <c r="Q191" s="8" t="s">
        <v>100</v>
      </c>
      <c r="R191" s="9">
        <f t="shared" si="3"/>
        <v>1.113603159770769E-3</v>
      </c>
      <c r="S191" s="55">
        <f>Tabla3[[#This Row],[Subtotal]]/12</f>
        <v>5289656.333333333</v>
      </c>
    </row>
    <row r="192" spans="1:19" x14ac:dyDescent="0.2">
      <c r="A192" s="4">
        <v>979</v>
      </c>
      <c r="B192" s="2">
        <v>63751688</v>
      </c>
      <c r="C192" s="2">
        <v>518894.37</v>
      </c>
      <c r="D192" s="4" t="s">
        <v>642</v>
      </c>
      <c r="E192" s="2">
        <v>63232793.630000003</v>
      </c>
      <c r="F192" s="2">
        <v>12014230.789999999</v>
      </c>
      <c r="G192" s="2">
        <v>1580819.85</v>
      </c>
      <c r="H192" s="4">
        <v>0</v>
      </c>
      <c r="I192" s="4">
        <v>0</v>
      </c>
      <c r="J192" s="4">
        <v>1580819.85</v>
      </c>
      <c r="K192" s="4">
        <v>73666204.569999993</v>
      </c>
      <c r="L192" s="4" t="s">
        <v>640</v>
      </c>
      <c r="M192" s="4" t="s">
        <v>641</v>
      </c>
      <c r="N192" s="4" t="s">
        <v>186</v>
      </c>
      <c r="O192" s="4" t="s">
        <v>59</v>
      </c>
      <c r="P192" s="4" t="s">
        <v>59</v>
      </c>
      <c r="Q192" s="8" t="s">
        <v>100</v>
      </c>
      <c r="R192" s="9">
        <f t="shared" si="3"/>
        <v>1.109338590104703E-3</v>
      </c>
      <c r="S192" s="55">
        <f>Tabla3[[#This Row],[Subtotal]]/12</f>
        <v>5269399.4691666672</v>
      </c>
    </row>
    <row r="193" spans="1:19" x14ac:dyDescent="0.2">
      <c r="A193" s="4">
        <v>392</v>
      </c>
      <c r="B193" s="2">
        <v>63103762</v>
      </c>
      <c r="C193" s="2">
        <v>0</v>
      </c>
      <c r="D193" s="4" t="s">
        <v>644</v>
      </c>
      <c r="E193" s="2">
        <v>63103762</v>
      </c>
      <c r="F193" s="2">
        <v>11989714.779999999</v>
      </c>
      <c r="G193" s="2">
        <v>1577594.05</v>
      </c>
      <c r="H193" s="4">
        <v>1798457.21</v>
      </c>
      <c r="I193" s="4">
        <v>0</v>
      </c>
      <c r="J193" s="4">
        <v>3376051.26</v>
      </c>
      <c r="K193" s="4">
        <v>71717425.519999996</v>
      </c>
      <c r="L193" s="4" t="s">
        <v>643</v>
      </c>
      <c r="M193" s="4" t="s">
        <v>137</v>
      </c>
      <c r="N193" s="4" t="s">
        <v>83</v>
      </c>
      <c r="O193" s="4" t="s">
        <v>84</v>
      </c>
      <c r="P193" s="4" t="s">
        <v>84</v>
      </c>
      <c r="Q193" s="8" t="s">
        <v>22</v>
      </c>
      <c r="R193" s="9">
        <f t="shared" si="3"/>
        <v>1.1070748949825061E-3</v>
      </c>
      <c r="S193" s="55">
        <f>Tabla3[[#This Row],[Subtotal]]/12</f>
        <v>5258646.833333333</v>
      </c>
    </row>
    <row r="194" spans="1:19" x14ac:dyDescent="0.2">
      <c r="A194" s="4">
        <v>622</v>
      </c>
      <c r="B194" s="2">
        <v>62998988</v>
      </c>
      <c r="C194" s="2">
        <v>0</v>
      </c>
      <c r="D194" s="4" t="s">
        <v>647</v>
      </c>
      <c r="E194" s="2">
        <v>62998988</v>
      </c>
      <c r="F194" s="2">
        <v>11969807.720000001</v>
      </c>
      <c r="G194" s="2">
        <v>1544241.21</v>
      </c>
      <c r="H194" s="4">
        <v>0</v>
      </c>
      <c r="I194" s="4">
        <v>0</v>
      </c>
      <c r="J194" s="4">
        <v>1544241.21</v>
      </c>
      <c r="K194" s="4">
        <v>73424554.510000005</v>
      </c>
      <c r="L194" s="4" t="s">
        <v>645</v>
      </c>
      <c r="M194" s="4" t="s">
        <v>646</v>
      </c>
      <c r="N194" s="4" t="s">
        <v>648</v>
      </c>
      <c r="O194" s="4" t="s">
        <v>340</v>
      </c>
      <c r="P194" s="4" t="s">
        <v>340</v>
      </c>
      <c r="Q194" s="8" t="s">
        <v>100</v>
      </c>
      <c r="R194" s="9">
        <f t="shared" si="3"/>
        <v>1.1052367689917467E-3</v>
      </c>
      <c r="S194" s="55">
        <f>Tabla3[[#This Row],[Subtotal]]/12</f>
        <v>5249915.666666667</v>
      </c>
    </row>
    <row r="195" spans="1:19" x14ac:dyDescent="0.2">
      <c r="A195" s="4">
        <v>903</v>
      </c>
      <c r="B195" s="2">
        <v>63027984</v>
      </c>
      <c r="C195" s="2">
        <v>278255.21999999997</v>
      </c>
      <c r="D195" s="4" t="s">
        <v>650</v>
      </c>
      <c r="E195" s="2">
        <v>62749728.780000001</v>
      </c>
      <c r="F195" s="2">
        <v>11922448.470000001</v>
      </c>
      <c r="G195" s="2">
        <v>1548709.23</v>
      </c>
      <c r="H195" s="4">
        <v>1765528.53</v>
      </c>
      <c r="I195" s="4">
        <v>0</v>
      </c>
      <c r="J195" s="4">
        <v>3314237.76</v>
      </c>
      <c r="K195" s="4">
        <v>71357939.489999995</v>
      </c>
      <c r="L195" s="4" t="s">
        <v>649</v>
      </c>
      <c r="M195" s="4" t="s">
        <v>95</v>
      </c>
      <c r="N195" s="4" t="s">
        <v>651</v>
      </c>
      <c r="O195" s="4" t="s">
        <v>196</v>
      </c>
      <c r="P195" s="4" t="s">
        <v>196</v>
      </c>
      <c r="Q195" s="8" t="s">
        <v>28</v>
      </c>
      <c r="R195" s="9">
        <f t="shared" ref="R195:R258" si="4">E195/$E$1757</f>
        <v>1.1008638343827939E-3</v>
      </c>
      <c r="S195" s="55">
        <f>Tabla3[[#This Row],[Subtotal]]/12</f>
        <v>5229144.0650000004</v>
      </c>
    </row>
    <row r="196" spans="1:19" x14ac:dyDescent="0.2">
      <c r="A196" s="4">
        <v>187</v>
      </c>
      <c r="B196" s="2">
        <v>62824697</v>
      </c>
      <c r="C196" s="2">
        <v>173924.43</v>
      </c>
      <c r="D196" s="4" t="s">
        <v>654</v>
      </c>
      <c r="E196" s="2">
        <v>62650772.57</v>
      </c>
      <c r="F196" s="2">
        <v>11903646.789999999</v>
      </c>
      <c r="G196" s="2">
        <v>0</v>
      </c>
      <c r="H196" s="4">
        <v>0</v>
      </c>
      <c r="I196" s="4">
        <v>0</v>
      </c>
      <c r="J196" s="4">
        <v>0</v>
      </c>
      <c r="K196" s="4">
        <v>74554419.359999999</v>
      </c>
      <c r="L196" s="4" t="s">
        <v>652</v>
      </c>
      <c r="M196" s="4" t="s">
        <v>653</v>
      </c>
      <c r="N196" s="4" t="s">
        <v>415</v>
      </c>
      <c r="O196" s="4" t="s">
        <v>382</v>
      </c>
      <c r="P196" s="4" t="s">
        <v>382</v>
      </c>
      <c r="Q196" s="8" t="s">
        <v>28</v>
      </c>
      <c r="R196" s="9">
        <f t="shared" si="4"/>
        <v>1.0991277740858877E-3</v>
      </c>
      <c r="S196" s="55">
        <f>Tabla3[[#This Row],[Subtotal]]/12</f>
        <v>5220897.7141666664</v>
      </c>
    </row>
    <row r="197" spans="1:19" x14ac:dyDescent="0.2">
      <c r="A197" s="4">
        <v>442</v>
      </c>
      <c r="B197" s="2">
        <v>62458524</v>
      </c>
      <c r="C197" s="2">
        <v>0</v>
      </c>
      <c r="D197" s="4" t="s">
        <v>657</v>
      </c>
      <c r="E197" s="2">
        <v>62458524</v>
      </c>
      <c r="F197" s="2">
        <v>11867119.560000001</v>
      </c>
      <c r="G197" s="2">
        <v>1561463.1</v>
      </c>
      <c r="H197" s="4">
        <v>0</v>
      </c>
      <c r="I197" s="4">
        <v>0</v>
      </c>
      <c r="J197" s="4">
        <v>1561463.1</v>
      </c>
      <c r="K197" s="4">
        <v>72764180.459999993</v>
      </c>
      <c r="L197" s="4" t="s">
        <v>655</v>
      </c>
      <c r="M197" s="4" t="s">
        <v>656</v>
      </c>
      <c r="N197" s="4" t="s">
        <v>32</v>
      </c>
      <c r="O197" s="4" t="s">
        <v>33</v>
      </c>
      <c r="P197" s="4" t="s">
        <v>33</v>
      </c>
      <c r="Q197" s="8" t="s">
        <v>100</v>
      </c>
      <c r="R197" s="9">
        <f t="shared" si="4"/>
        <v>1.095755018505273E-3</v>
      </c>
      <c r="S197" s="55">
        <f>Tabla3[[#This Row],[Subtotal]]/12</f>
        <v>5204877</v>
      </c>
    </row>
    <row r="198" spans="1:19" x14ac:dyDescent="0.2">
      <c r="A198" s="4">
        <v>702</v>
      </c>
      <c r="B198" s="2">
        <v>61874796</v>
      </c>
      <c r="C198" s="2">
        <v>0</v>
      </c>
      <c r="D198" s="4" t="s">
        <v>660</v>
      </c>
      <c r="E198" s="2">
        <v>61874796</v>
      </c>
      <c r="F198" s="2">
        <v>11756211.24</v>
      </c>
      <c r="G198" s="2">
        <v>1404886.3</v>
      </c>
      <c r="H198" s="4">
        <v>0</v>
      </c>
      <c r="I198" s="4">
        <v>0</v>
      </c>
      <c r="J198" s="4">
        <v>1404886.3</v>
      </c>
      <c r="K198" s="4">
        <v>72226120.939999998</v>
      </c>
      <c r="L198" s="4" t="s">
        <v>658</v>
      </c>
      <c r="M198" s="4" t="s">
        <v>659</v>
      </c>
      <c r="N198" s="4" t="s">
        <v>32</v>
      </c>
      <c r="O198" s="4" t="s">
        <v>33</v>
      </c>
      <c r="P198" s="4" t="s">
        <v>33</v>
      </c>
      <c r="Q198" s="8" t="s">
        <v>100</v>
      </c>
      <c r="R198" s="9">
        <f t="shared" si="4"/>
        <v>1.0855142564046181E-3</v>
      </c>
      <c r="S198" s="55">
        <f>Tabla3[[#This Row],[Subtotal]]/12</f>
        <v>5156233</v>
      </c>
    </row>
    <row r="199" spans="1:19" x14ac:dyDescent="0.2">
      <c r="A199" s="4">
        <v>36</v>
      </c>
      <c r="B199" s="2">
        <v>60818208</v>
      </c>
      <c r="C199" s="2">
        <v>0</v>
      </c>
      <c r="D199" s="4" t="s">
        <v>662</v>
      </c>
      <c r="E199" s="2">
        <v>60818208</v>
      </c>
      <c r="F199" s="2">
        <v>11555459.52</v>
      </c>
      <c r="G199" s="2">
        <v>1520455.21</v>
      </c>
      <c r="H199" s="4">
        <v>1196819.03</v>
      </c>
      <c r="I199" s="4">
        <v>0</v>
      </c>
      <c r="J199" s="4">
        <v>2717274.24</v>
      </c>
      <c r="K199" s="4">
        <v>69656393.280000001</v>
      </c>
      <c r="L199" s="4" t="s">
        <v>661</v>
      </c>
      <c r="M199" s="4" t="s">
        <v>146</v>
      </c>
      <c r="N199" s="4" t="s">
        <v>83</v>
      </c>
      <c r="O199" s="4" t="s">
        <v>84</v>
      </c>
      <c r="P199" s="4" t="s">
        <v>84</v>
      </c>
      <c r="Q199" s="8" t="s">
        <v>28</v>
      </c>
      <c r="R199" s="9">
        <f t="shared" si="4"/>
        <v>1.0669777696395376E-3</v>
      </c>
      <c r="S199" s="55">
        <f>Tabla3[[#This Row],[Subtotal]]/12</f>
        <v>5068184</v>
      </c>
    </row>
    <row r="200" spans="1:19" x14ac:dyDescent="0.2">
      <c r="A200" s="4">
        <v>1014</v>
      </c>
      <c r="B200" s="2">
        <v>60193683</v>
      </c>
      <c r="C200" s="2">
        <v>0</v>
      </c>
      <c r="D200" s="4" t="s">
        <v>665</v>
      </c>
      <c r="E200" s="2">
        <v>60193683</v>
      </c>
      <c r="F200" s="2">
        <v>11436799.77</v>
      </c>
      <c r="G200" s="2">
        <v>1485185.91</v>
      </c>
      <c r="H200" s="4">
        <v>0</v>
      </c>
      <c r="I200" s="4">
        <v>0</v>
      </c>
      <c r="J200" s="4">
        <v>1485185.91</v>
      </c>
      <c r="K200" s="4">
        <v>70145296.859999999</v>
      </c>
      <c r="L200" s="4" t="s">
        <v>663</v>
      </c>
      <c r="M200" s="4" t="s">
        <v>664</v>
      </c>
      <c r="N200" s="4" t="s">
        <v>83</v>
      </c>
      <c r="O200" s="4" t="s">
        <v>84</v>
      </c>
      <c r="P200" s="4" t="s">
        <v>84</v>
      </c>
      <c r="Q200" s="8" t="s">
        <v>28</v>
      </c>
      <c r="R200" s="9">
        <f t="shared" si="4"/>
        <v>1.0560212762883339E-3</v>
      </c>
      <c r="S200" s="55">
        <f>Tabla3[[#This Row],[Subtotal]]/12</f>
        <v>5016140.25</v>
      </c>
    </row>
    <row r="201" spans="1:19" x14ac:dyDescent="0.2">
      <c r="A201" s="4">
        <v>1117</v>
      </c>
      <c r="B201" s="2">
        <v>59840579</v>
      </c>
      <c r="C201" s="2">
        <v>0</v>
      </c>
      <c r="D201" s="4" t="s">
        <v>668</v>
      </c>
      <c r="E201" s="2">
        <v>59840579</v>
      </c>
      <c r="F201" s="2">
        <v>11369710.01</v>
      </c>
      <c r="G201" s="2">
        <v>1491624</v>
      </c>
      <c r="H201" s="4">
        <v>0</v>
      </c>
      <c r="I201" s="4">
        <v>0</v>
      </c>
      <c r="J201" s="4">
        <v>1491624</v>
      </c>
      <c r="K201" s="4">
        <v>69718665.010000005</v>
      </c>
      <c r="L201" s="4" t="s">
        <v>666</v>
      </c>
      <c r="M201" s="4" t="s">
        <v>667</v>
      </c>
      <c r="N201" s="4" t="s">
        <v>233</v>
      </c>
      <c r="O201" s="4" t="s">
        <v>229</v>
      </c>
      <c r="P201" s="4" t="s">
        <v>229</v>
      </c>
      <c r="Q201" s="8" t="s">
        <v>100</v>
      </c>
      <c r="R201" s="9">
        <f t="shared" si="4"/>
        <v>1.0498265176665277E-3</v>
      </c>
      <c r="S201" s="55">
        <f>Tabla3[[#This Row],[Subtotal]]/12</f>
        <v>4986714.916666667</v>
      </c>
    </row>
    <row r="202" spans="1:19" x14ac:dyDescent="0.2">
      <c r="A202" s="4">
        <v>269</v>
      </c>
      <c r="B202" s="2">
        <v>59691790.399999999</v>
      </c>
      <c r="C202" s="2">
        <v>0</v>
      </c>
      <c r="D202" s="4" t="s">
        <v>670</v>
      </c>
      <c r="E202" s="2">
        <v>59691790.399999999</v>
      </c>
      <c r="F202" s="2">
        <v>11341440.18</v>
      </c>
      <c r="G202" s="2">
        <v>1492294.8</v>
      </c>
      <c r="H202" s="4">
        <v>1701216.05</v>
      </c>
      <c r="I202" s="4">
        <v>0</v>
      </c>
      <c r="J202" s="4">
        <v>3193510.85</v>
      </c>
      <c r="K202" s="4">
        <v>67839719.730000004</v>
      </c>
      <c r="L202" s="4" t="s">
        <v>669</v>
      </c>
      <c r="M202" s="4" t="s">
        <v>110</v>
      </c>
      <c r="N202" s="4" t="s">
        <v>41</v>
      </c>
      <c r="O202" s="4" t="s">
        <v>42</v>
      </c>
      <c r="P202" s="4" t="s">
        <v>42</v>
      </c>
      <c r="Q202" s="8" t="s">
        <v>22</v>
      </c>
      <c r="R202" s="9">
        <f t="shared" si="4"/>
        <v>1.0472162117434103E-3</v>
      </c>
      <c r="S202" s="55">
        <f>Tabla3[[#This Row],[Subtotal]]/12</f>
        <v>4974315.8666666662</v>
      </c>
    </row>
    <row r="203" spans="1:19" x14ac:dyDescent="0.2">
      <c r="A203" s="4">
        <v>961</v>
      </c>
      <c r="B203" s="2">
        <v>59508472</v>
      </c>
      <c r="C203" s="2">
        <v>0</v>
      </c>
      <c r="D203" s="4" t="s">
        <v>673</v>
      </c>
      <c r="E203" s="2">
        <v>59508472</v>
      </c>
      <c r="F203" s="2">
        <v>11306609.68</v>
      </c>
      <c r="G203" s="2">
        <v>1448279.81</v>
      </c>
      <c r="H203" s="4">
        <v>0</v>
      </c>
      <c r="I203" s="4">
        <v>0</v>
      </c>
      <c r="J203" s="4">
        <v>1448279.81</v>
      </c>
      <c r="K203" s="4">
        <v>69366801.870000005</v>
      </c>
      <c r="L203" s="4" t="s">
        <v>671</v>
      </c>
      <c r="M203" s="4" t="s">
        <v>672</v>
      </c>
      <c r="N203" s="4" t="s">
        <v>674</v>
      </c>
      <c r="O203" s="4" t="s">
        <v>386</v>
      </c>
      <c r="P203" s="4" t="s">
        <v>386</v>
      </c>
      <c r="Q203" s="8" t="s">
        <v>585</v>
      </c>
      <c r="R203" s="9">
        <f t="shared" si="4"/>
        <v>1.0440001245879669E-3</v>
      </c>
      <c r="S203" s="55">
        <f>Tabla3[[#This Row],[Subtotal]]/12</f>
        <v>4959039.333333333</v>
      </c>
    </row>
    <row r="204" spans="1:19" x14ac:dyDescent="0.2">
      <c r="A204" s="4">
        <v>1597</v>
      </c>
      <c r="B204" s="2">
        <v>60145228</v>
      </c>
      <c r="C204" s="2">
        <v>806286.85</v>
      </c>
      <c r="D204" s="4" t="s">
        <v>676</v>
      </c>
      <c r="E204" s="2">
        <v>59338941.149999999</v>
      </c>
      <c r="F204" s="2">
        <v>11274398.82</v>
      </c>
      <c r="G204" s="2">
        <v>1093411.57</v>
      </c>
      <c r="H204" s="4">
        <v>131213.15</v>
      </c>
      <c r="I204" s="4">
        <v>0</v>
      </c>
      <c r="J204" s="4">
        <v>1224624.72</v>
      </c>
      <c r="K204" s="4">
        <v>69388715.25</v>
      </c>
      <c r="L204" s="4" t="s">
        <v>675</v>
      </c>
      <c r="M204" s="4" t="s">
        <v>61</v>
      </c>
      <c r="N204" s="4" t="s">
        <v>32</v>
      </c>
      <c r="O204" s="4" t="s">
        <v>33</v>
      </c>
      <c r="P204" s="4" t="s">
        <v>33</v>
      </c>
      <c r="Q204" s="8" t="s">
        <v>28</v>
      </c>
      <c r="R204" s="9">
        <f t="shared" si="4"/>
        <v>1.0410259223849342E-3</v>
      </c>
      <c r="S204" s="55">
        <f>Tabla3[[#This Row],[Subtotal]]/12</f>
        <v>4944911.7625000002</v>
      </c>
    </row>
    <row r="205" spans="1:19" x14ac:dyDescent="0.2">
      <c r="A205" s="4">
        <v>10</v>
      </c>
      <c r="B205" s="2">
        <v>58306090</v>
      </c>
      <c r="C205" s="2">
        <v>0</v>
      </c>
      <c r="D205" s="4" t="s">
        <v>679</v>
      </c>
      <c r="E205" s="2">
        <v>58306090</v>
      </c>
      <c r="F205" s="2">
        <v>11078157.1</v>
      </c>
      <c r="G205" s="2">
        <v>0</v>
      </c>
      <c r="H205" s="4">
        <v>0</v>
      </c>
      <c r="I205" s="4">
        <v>0</v>
      </c>
      <c r="J205" s="4">
        <v>0</v>
      </c>
      <c r="K205" s="4">
        <v>69384247.099999994</v>
      </c>
      <c r="L205" s="4" t="s">
        <v>677</v>
      </c>
      <c r="M205" s="4" t="s">
        <v>678</v>
      </c>
      <c r="N205" s="4" t="s">
        <v>221</v>
      </c>
      <c r="O205" s="4" t="s">
        <v>33</v>
      </c>
      <c r="P205" s="4" t="s">
        <v>33</v>
      </c>
      <c r="Q205" s="8" t="s">
        <v>100</v>
      </c>
      <c r="R205" s="9">
        <f t="shared" si="4"/>
        <v>1.0229058683314403E-3</v>
      </c>
      <c r="S205" s="55">
        <f>Tabla3[[#This Row],[Subtotal]]/12</f>
        <v>4858840.833333333</v>
      </c>
    </row>
    <row r="206" spans="1:19" x14ac:dyDescent="0.2">
      <c r="A206" s="4">
        <v>629</v>
      </c>
      <c r="B206" s="2">
        <v>58186574</v>
      </c>
      <c r="C206" s="2">
        <v>0</v>
      </c>
      <c r="D206" s="4" t="s">
        <v>682</v>
      </c>
      <c r="E206" s="2">
        <v>58186574</v>
      </c>
      <c r="F206" s="2">
        <v>11055449.060000001</v>
      </c>
      <c r="G206" s="2">
        <v>1413786.88</v>
      </c>
      <c r="H206" s="4">
        <v>0</v>
      </c>
      <c r="I206" s="4">
        <v>0</v>
      </c>
      <c r="J206" s="4">
        <v>1413786.88</v>
      </c>
      <c r="K206" s="4">
        <v>67828236.180000007</v>
      </c>
      <c r="L206" s="4" t="s">
        <v>680</v>
      </c>
      <c r="M206" s="4" t="s">
        <v>681</v>
      </c>
      <c r="N206" s="4" t="s">
        <v>32</v>
      </c>
      <c r="O206" s="4" t="s">
        <v>33</v>
      </c>
      <c r="P206" s="4" t="s">
        <v>33</v>
      </c>
      <c r="Q206" s="8" t="s">
        <v>100</v>
      </c>
      <c r="R206" s="9">
        <f t="shared" si="4"/>
        <v>1.0208091127822431E-3</v>
      </c>
      <c r="S206" s="55">
        <f>Tabla3[[#This Row],[Subtotal]]/12</f>
        <v>4848881.166666667</v>
      </c>
    </row>
    <row r="207" spans="1:19" x14ac:dyDescent="0.2">
      <c r="A207" s="4">
        <v>472</v>
      </c>
      <c r="B207" s="2">
        <v>57900330</v>
      </c>
      <c r="C207" s="2">
        <v>0</v>
      </c>
      <c r="D207" s="4" t="s">
        <v>685</v>
      </c>
      <c r="E207" s="2">
        <v>57900330</v>
      </c>
      <c r="F207" s="2">
        <v>11001062.699999999</v>
      </c>
      <c r="G207" s="2">
        <v>1447508.27</v>
      </c>
      <c r="H207" s="4">
        <v>0</v>
      </c>
      <c r="I207" s="4">
        <v>0</v>
      </c>
      <c r="J207" s="4">
        <v>1447508.27</v>
      </c>
      <c r="K207" s="4">
        <v>67453884.430000007</v>
      </c>
      <c r="L207" s="4" t="s">
        <v>683</v>
      </c>
      <c r="M207" s="4" t="s">
        <v>684</v>
      </c>
      <c r="N207" s="4" t="s">
        <v>599</v>
      </c>
      <c r="O207" s="4" t="s">
        <v>559</v>
      </c>
      <c r="P207" s="4" t="s">
        <v>559</v>
      </c>
      <c r="Q207" s="8" t="s">
        <v>28</v>
      </c>
      <c r="R207" s="9">
        <f t="shared" si="4"/>
        <v>1.0157873274528775E-3</v>
      </c>
      <c r="S207" s="55">
        <f>Tabla3[[#This Row],[Subtotal]]/12</f>
        <v>4825027.5</v>
      </c>
    </row>
    <row r="208" spans="1:19" x14ac:dyDescent="0.2">
      <c r="A208" s="4">
        <v>1266</v>
      </c>
      <c r="B208" s="2">
        <v>57806352</v>
      </c>
      <c r="C208" s="2">
        <v>0</v>
      </c>
      <c r="D208" s="4" t="s">
        <v>688</v>
      </c>
      <c r="E208" s="2">
        <v>57806352</v>
      </c>
      <c r="F208" s="2">
        <v>10983206.880000001</v>
      </c>
      <c r="G208" s="2">
        <v>0</v>
      </c>
      <c r="H208" s="4">
        <v>0</v>
      </c>
      <c r="I208" s="4">
        <v>0</v>
      </c>
      <c r="J208" s="4">
        <v>0</v>
      </c>
      <c r="K208" s="4">
        <v>68789558.879999995</v>
      </c>
      <c r="L208" s="4" t="s">
        <v>686</v>
      </c>
      <c r="M208" s="4" t="s">
        <v>687</v>
      </c>
      <c r="N208" s="4" t="s">
        <v>468</v>
      </c>
      <c r="O208" s="4" t="s">
        <v>105</v>
      </c>
      <c r="P208" s="4" t="s">
        <v>105</v>
      </c>
      <c r="Q208" s="8" t="s">
        <v>100</v>
      </c>
      <c r="R208" s="9">
        <f t="shared" si="4"/>
        <v>1.0141386034912116E-3</v>
      </c>
      <c r="S208" s="55">
        <f>Tabla3[[#This Row],[Subtotal]]/12</f>
        <v>4817196</v>
      </c>
    </row>
    <row r="209" spans="1:19" x14ac:dyDescent="0.2">
      <c r="A209" s="4">
        <v>623</v>
      </c>
      <c r="B209" s="2">
        <v>58051527</v>
      </c>
      <c r="C209" s="2">
        <v>316078.40000000002</v>
      </c>
      <c r="D209" s="4" t="s">
        <v>691</v>
      </c>
      <c r="E209" s="2">
        <v>57735448.600000001</v>
      </c>
      <c r="F209" s="2">
        <v>10969735.220000001</v>
      </c>
      <c r="G209" s="2">
        <v>1134199.96</v>
      </c>
      <c r="H209" s="4">
        <v>0</v>
      </c>
      <c r="I209" s="4">
        <v>0</v>
      </c>
      <c r="J209" s="4">
        <v>1134199.96</v>
      </c>
      <c r="K209" s="4">
        <v>67570983.859999999</v>
      </c>
      <c r="L209" s="4" t="s">
        <v>689</v>
      </c>
      <c r="M209" s="4" t="s">
        <v>690</v>
      </c>
      <c r="N209" s="4" t="s">
        <v>20</v>
      </c>
      <c r="O209" s="4" t="s">
        <v>692</v>
      </c>
      <c r="P209" s="4" t="s">
        <v>692</v>
      </c>
      <c r="Q209" s="8" t="s">
        <v>28</v>
      </c>
      <c r="R209" s="9">
        <f t="shared" si="4"/>
        <v>1.0128946939108462E-3</v>
      </c>
      <c r="S209" s="55">
        <f>Tabla3[[#This Row],[Subtotal]]/12</f>
        <v>4811287.3833333338</v>
      </c>
    </row>
    <row r="210" spans="1:19" x14ac:dyDescent="0.2">
      <c r="A210" s="4">
        <v>908</v>
      </c>
      <c r="B210" s="2">
        <v>57634245</v>
      </c>
      <c r="C210" s="2">
        <v>0</v>
      </c>
      <c r="D210" s="4" t="s">
        <v>694</v>
      </c>
      <c r="E210" s="2">
        <v>57634245</v>
      </c>
      <c r="F210" s="2">
        <v>10950506.550000001</v>
      </c>
      <c r="G210" s="2">
        <v>1440856.14</v>
      </c>
      <c r="H210" s="4">
        <v>1642575.98</v>
      </c>
      <c r="I210" s="4">
        <v>0</v>
      </c>
      <c r="J210" s="4">
        <v>3083432.12</v>
      </c>
      <c r="K210" s="4">
        <v>65501319.43</v>
      </c>
      <c r="L210" s="4" t="s">
        <v>693</v>
      </c>
      <c r="M210" s="4" t="s">
        <v>95</v>
      </c>
      <c r="N210" s="4" t="s">
        <v>695</v>
      </c>
      <c r="O210" s="4" t="s">
        <v>67</v>
      </c>
      <c r="P210" s="4" t="s">
        <v>67</v>
      </c>
      <c r="Q210" s="8" t="s">
        <v>28</v>
      </c>
      <c r="R210" s="9">
        <f t="shared" si="4"/>
        <v>1.0111192060272259E-3</v>
      </c>
      <c r="S210" s="55">
        <f>Tabla3[[#This Row],[Subtotal]]/12</f>
        <v>4802853.75</v>
      </c>
    </row>
    <row r="211" spans="1:19" x14ac:dyDescent="0.2">
      <c r="A211" s="4">
        <v>280</v>
      </c>
      <c r="B211" s="2">
        <v>57307929</v>
      </c>
      <c r="C211" s="2">
        <v>0</v>
      </c>
      <c r="D211" s="4" t="s">
        <v>698</v>
      </c>
      <c r="E211" s="2">
        <v>57307929</v>
      </c>
      <c r="F211" s="2">
        <v>10888506.51</v>
      </c>
      <c r="G211" s="2">
        <v>1432698.27</v>
      </c>
      <c r="H211" s="4">
        <v>1633275.99</v>
      </c>
      <c r="I211" s="4">
        <v>0</v>
      </c>
      <c r="J211" s="4">
        <v>3065974.26</v>
      </c>
      <c r="K211" s="4">
        <v>65130461.25</v>
      </c>
      <c r="L211" s="4" t="s">
        <v>696</v>
      </c>
      <c r="M211" s="4" t="s">
        <v>697</v>
      </c>
      <c r="N211" s="4" t="s">
        <v>306</v>
      </c>
      <c r="O211" s="4" t="s">
        <v>76</v>
      </c>
      <c r="P211" s="4" t="s">
        <v>76</v>
      </c>
      <c r="Q211" s="8" t="s">
        <v>100</v>
      </c>
      <c r="R211" s="9">
        <f t="shared" si="4"/>
        <v>1.00539440864619E-3</v>
      </c>
      <c r="S211" s="55">
        <f>Tabla3[[#This Row],[Subtotal]]/12</f>
        <v>4775660.75</v>
      </c>
    </row>
    <row r="212" spans="1:19" x14ac:dyDescent="0.2">
      <c r="A212" s="4">
        <v>1</v>
      </c>
      <c r="B212" s="2">
        <v>57142469</v>
      </c>
      <c r="C212" s="2">
        <v>0</v>
      </c>
      <c r="D212" s="4" t="s">
        <v>701</v>
      </c>
      <c r="E212" s="2">
        <v>57142469</v>
      </c>
      <c r="F212" s="2">
        <v>10857069.109999999</v>
      </c>
      <c r="G212" s="2">
        <v>1302877.58</v>
      </c>
      <c r="H212" s="4">
        <v>0</v>
      </c>
      <c r="I212" s="4">
        <v>0</v>
      </c>
      <c r="J212" s="4">
        <v>1302877.58</v>
      </c>
      <c r="K212" s="4">
        <v>66696660.530000001</v>
      </c>
      <c r="L212" s="4" t="s">
        <v>699</v>
      </c>
      <c r="M212" s="4" t="s">
        <v>700</v>
      </c>
      <c r="N212" s="4" t="s">
        <v>20</v>
      </c>
      <c r="O212" s="4" t="s">
        <v>631</v>
      </c>
      <c r="P212" s="4" t="s">
        <v>631</v>
      </c>
      <c r="Q212" s="8" t="s">
        <v>100</v>
      </c>
      <c r="R212" s="9">
        <f t="shared" si="4"/>
        <v>1.0024916243062674E-3</v>
      </c>
      <c r="S212" s="55">
        <f>Tabla3[[#This Row],[Subtotal]]/12</f>
        <v>4761872.416666667</v>
      </c>
    </row>
    <row r="213" spans="1:19" x14ac:dyDescent="0.2">
      <c r="A213" s="4">
        <v>584</v>
      </c>
      <c r="B213" s="2">
        <v>56924876</v>
      </c>
      <c r="C213" s="2">
        <v>0</v>
      </c>
      <c r="D213" s="4" t="s">
        <v>704</v>
      </c>
      <c r="E213" s="2">
        <v>56924876</v>
      </c>
      <c r="F213" s="2">
        <v>10815726.439999999</v>
      </c>
      <c r="G213" s="2">
        <v>1365290.74</v>
      </c>
      <c r="H213" s="4">
        <v>0</v>
      </c>
      <c r="I213" s="4">
        <v>0</v>
      </c>
      <c r="J213" s="4">
        <v>1365290.74</v>
      </c>
      <c r="K213" s="4">
        <v>66375311.700000003</v>
      </c>
      <c r="L213" s="4" t="s">
        <v>702</v>
      </c>
      <c r="M213" s="4" t="s">
        <v>703</v>
      </c>
      <c r="N213" s="4" t="s">
        <v>705</v>
      </c>
      <c r="O213" s="4" t="s">
        <v>59</v>
      </c>
      <c r="P213" s="4" t="s">
        <v>59</v>
      </c>
      <c r="Q213" s="8" t="s">
        <v>100</v>
      </c>
      <c r="R213" s="9">
        <f t="shared" si="4"/>
        <v>9.9867423307650315E-4</v>
      </c>
      <c r="S213" s="55">
        <f>Tabla3[[#This Row],[Subtotal]]/12</f>
        <v>4743739.666666667</v>
      </c>
    </row>
    <row r="214" spans="1:19" x14ac:dyDescent="0.2">
      <c r="A214" s="4">
        <v>159</v>
      </c>
      <c r="B214" s="2">
        <v>56893282</v>
      </c>
      <c r="C214" s="2">
        <v>0</v>
      </c>
      <c r="D214" s="4" t="s">
        <v>708</v>
      </c>
      <c r="E214" s="2">
        <v>56893282</v>
      </c>
      <c r="F214" s="2">
        <v>10809723.58</v>
      </c>
      <c r="G214" s="2">
        <v>1422332.08</v>
      </c>
      <c r="H214" s="4">
        <v>0</v>
      </c>
      <c r="I214" s="4">
        <v>0</v>
      </c>
      <c r="J214" s="4">
        <v>1422332.08</v>
      </c>
      <c r="K214" s="4">
        <v>66280673.5</v>
      </c>
      <c r="L214" s="4" t="s">
        <v>706</v>
      </c>
      <c r="M214" s="4" t="s">
        <v>707</v>
      </c>
      <c r="N214" s="4" t="s">
        <v>251</v>
      </c>
      <c r="O214" s="4" t="s">
        <v>59</v>
      </c>
      <c r="P214" s="4" t="s">
        <v>59</v>
      </c>
      <c r="Q214" s="8" t="s">
        <v>100</v>
      </c>
      <c r="R214" s="9">
        <f t="shared" si="4"/>
        <v>9.9811995670496005E-4</v>
      </c>
      <c r="S214" s="55">
        <f>Tabla3[[#This Row],[Subtotal]]/12</f>
        <v>4741106.833333333</v>
      </c>
    </row>
    <row r="215" spans="1:19" x14ac:dyDescent="0.2">
      <c r="A215" s="4">
        <v>271</v>
      </c>
      <c r="B215" s="2">
        <v>56436283</v>
      </c>
      <c r="C215" s="2">
        <v>0</v>
      </c>
      <c r="D215" s="4" t="s">
        <v>711</v>
      </c>
      <c r="E215" s="2">
        <v>56436283</v>
      </c>
      <c r="F215" s="2">
        <v>10722893.77</v>
      </c>
      <c r="G215" s="2">
        <v>1149086.8600000001</v>
      </c>
      <c r="H215" s="4">
        <v>0</v>
      </c>
      <c r="I215" s="4">
        <v>276352.2</v>
      </c>
      <c r="J215" s="4">
        <v>1425439.06</v>
      </c>
      <c r="K215" s="4">
        <v>65733737.710000001</v>
      </c>
      <c r="L215" s="4" t="s">
        <v>709</v>
      </c>
      <c r="M215" s="4" t="s">
        <v>710</v>
      </c>
      <c r="N215" s="4" t="s">
        <v>368</v>
      </c>
      <c r="O215" s="4" t="s">
        <v>89</v>
      </c>
      <c r="P215" s="4" t="s">
        <v>89</v>
      </c>
      <c r="Q215" s="8" t="s">
        <v>100</v>
      </c>
      <c r="R215" s="9">
        <f t="shared" si="4"/>
        <v>9.9010249302455204E-4</v>
      </c>
      <c r="S215" s="55">
        <f>Tabla3[[#This Row],[Subtotal]]/12</f>
        <v>4703023.583333333</v>
      </c>
    </row>
    <row r="216" spans="1:19" x14ac:dyDescent="0.2">
      <c r="A216" s="4">
        <v>1591</v>
      </c>
      <c r="B216" s="2">
        <v>55905261</v>
      </c>
      <c r="C216" s="2">
        <v>64025.36</v>
      </c>
      <c r="D216" s="4" t="s">
        <v>713</v>
      </c>
      <c r="E216" s="2">
        <v>55841235.640000001</v>
      </c>
      <c r="F216" s="2">
        <v>10609834.77</v>
      </c>
      <c r="G216" s="2">
        <v>1396030.9</v>
      </c>
      <c r="H216" s="4">
        <v>0</v>
      </c>
      <c r="I216" s="4">
        <v>0</v>
      </c>
      <c r="J216" s="4">
        <v>1396030.9</v>
      </c>
      <c r="K216" s="4">
        <v>65055039.509999998</v>
      </c>
      <c r="L216" s="4" t="s">
        <v>712</v>
      </c>
      <c r="M216" s="4" t="s">
        <v>270</v>
      </c>
      <c r="N216" s="4" t="s">
        <v>714</v>
      </c>
      <c r="O216" s="4" t="s">
        <v>382</v>
      </c>
      <c r="P216" s="4" t="s">
        <v>382</v>
      </c>
      <c r="Q216" s="8" t="s">
        <v>28</v>
      </c>
      <c r="R216" s="9">
        <f t="shared" si="4"/>
        <v>9.7966314721214848E-4</v>
      </c>
      <c r="S216" s="55">
        <f>Tabla3[[#This Row],[Subtotal]]/12</f>
        <v>4653436.3033333337</v>
      </c>
    </row>
    <row r="217" spans="1:19" x14ac:dyDescent="0.2">
      <c r="A217" s="4">
        <v>906</v>
      </c>
      <c r="B217" s="2">
        <v>55904178</v>
      </c>
      <c r="C217" s="2">
        <v>275602.34999999998</v>
      </c>
      <c r="D217" s="4" t="s">
        <v>716</v>
      </c>
      <c r="E217" s="2">
        <v>55628575.649999999</v>
      </c>
      <c r="F217" s="2">
        <v>10569429.380000001</v>
      </c>
      <c r="G217" s="2">
        <v>1390714.41</v>
      </c>
      <c r="H217" s="4">
        <v>1585414.39</v>
      </c>
      <c r="I217" s="4">
        <v>0</v>
      </c>
      <c r="J217" s="4">
        <v>2976128.8</v>
      </c>
      <c r="K217" s="4">
        <v>63221876.229999997</v>
      </c>
      <c r="L217" s="4" t="s">
        <v>715</v>
      </c>
      <c r="M217" s="4" t="s">
        <v>95</v>
      </c>
      <c r="N217" s="4" t="s">
        <v>472</v>
      </c>
      <c r="O217" s="4" t="s">
        <v>67</v>
      </c>
      <c r="P217" s="4" t="s">
        <v>67</v>
      </c>
      <c r="Q217" s="8" t="s">
        <v>28</v>
      </c>
      <c r="R217" s="9">
        <f t="shared" si="4"/>
        <v>9.7593229934136332E-4</v>
      </c>
      <c r="S217" s="55">
        <f>Tabla3[[#This Row],[Subtotal]]/12</f>
        <v>4635714.6375000002</v>
      </c>
    </row>
    <row r="218" spans="1:19" x14ac:dyDescent="0.2">
      <c r="A218" s="4">
        <v>471</v>
      </c>
      <c r="B218" s="2">
        <v>55745844</v>
      </c>
      <c r="C218" s="2">
        <v>302190.52</v>
      </c>
      <c r="D218" s="4" t="s">
        <v>719</v>
      </c>
      <c r="E218" s="2">
        <v>55443653.479999997</v>
      </c>
      <c r="F218" s="2">
        <v>10534294.16</v>
      </c>
      <c r="G218" s="2">
        <v>1281851.3</v>
      </c>
      <c r="H218" s="4">
        <v>0</v>
      </c>
      <c r="I218" s="4">
        <v>0</v>
      </c>
      <c r="J218" s="4">
        <v>1281851.3</v>
      </c>
      <c r="K218" s="4">
        <v>64696096.340000004</v>
      </c>
      <c r="L218" s="4" t="s">
        <v>717</v>
      </c>
      <c r="M218" s="4" t="s">
        <v>718</v>
      </c>
      <c r="N218" s="4" t="s">
        <v>46</v>
      </c>
      <c r="O218" s="4" t="s">
        <v>27</v>
      </c>
      <c r="P218" s="4" t="s">
        <v>27</v>
      </c>
      <c r="Q218" s="8" t="s">
        <v>28</v>
      </c>
      <c r="R218" s="9">
        <f t="shared" si="4"/>
        <v>9.7268807608993989E-4</v>
      </c>
      <c r="S218" s="55">
        <f>Tabla3[[#This Row],[Subtotal]]/12</f>
        <v>4620304.4566666661</v>
      </c>
    </row>
    <row r="219" spans="1:19" x14ac:dyDescent="0.2">
      <c r="A219" s="4">
        <v>1603</v>
      </c>
      <c r="B219" s="2">
        <v>56184309</v>
      </c>
      <c r="C219" s="2">
        <v>837786.34</v>
      </c>
      <c r="D219" s="4" t="s">
        <v>721</v>
      </c>
      <c r="E219" s="2">
        <v>55346522.659999996</v>
      </c>
      <c r="F219" s="2">
        <v>10515839.32</v>
      </c>
      <c r="G219" s="2">
        <v>1065035.75</v>
      </c>
      <c r="H219" s="4">
        <v>44596.2</v>
      </c>
      <c r="I219" s="4">
        <v>0</v>
      </c>
      <c r="J219" s="4">
        <v>1109631.95</v>
      </c>
      <c r="K219" s="4">
        <v>64752730.030000001</v>
      </c>
      <c r="L219" s="4" t="s">
        <v>720</v>
      </c>
      <c r="M219" s="4" t="s">
        <v>61</v>
      </c>
      <c r="N219" s="4" t="s">
        <v>32</v>
      </c>
      <c r="O219" s="4" t="s">
        <v>33</v>
      </c>
      <c r="P219" s="4" t="s">
        <v>33</v>
      </c>
      <c r="Q219" s="8" t="s">
        <v>28</v>
      </c>
      <c r="R219" s="9">
        <f t="shared" si="4"/>
        <v>9.7098403992881431E-4</v>
      </c>
      <c r="S219" s="55">
        <f>Tabla3[[#This Row],[Subtotal]]/12</f>
        <v>4612210.2216666667</v>
      </c>
    </row>
    <row r="220" spans="1:19" x14ac:dyDescent="0.2">
      <c r="A220" s="4">
        <v>1057</v>
      </c>
      <c r="B220" s="2">
        <v>55252205</v>
      </c>
      <c r="C220" s="2">
        <v>0</v>
      </c>
      <c r="D220" s="4" t="s">
        <v>724</v>
      </c>
      <c r="E220" s="2">
        <v>55252205</v>
      </c>
      <c r="F220" s="2">
        <v>10497918.949999999</v>
      </c>
      <c r="G220" s="2">
        <v>1365254.6</v>
      </c>
      <c r="H220" s="4">
        <v>0</v>
      </c>
      <c r="I220" s="4">
        <v>0</v>
      </c>
      <c r="J220" s="4">
        <v>1365254.6</v>
      </c>
      <c r="K220" s="4">
        <v>64384869.350000001</v>
      </c>
      <c r="L220" s="4" t="s">
        <v>722</v>
      </c>
      <c r="M220" s="4" t="s">
        <v>723</v>
      </c>
      <c r="N220" s="4" t="s">
        <v>88</v>
      </c>
      <c r="O220" s="4" t="s">
        <v>89</v>
      </c>
      <c r="P220" s="4" t="s">
        <v>89</v>
      </c>
      <c r="Q220" s="8" t="s">
        <v>100</v>
      </c>
      <c r="R220" s="9">
        <f t="shared" si="4"/>
        <v>9.693293570663331E-4</v>
      </c>
      <c r="S220" s="55">
        <f>Tabla3[[#This Row],[Subtotal]]/12</f>
        <v>4604350.416666667</v>
      </c>
    </row>
    <row r="221" spans="1:19" x14ac:dyDescent="0.2">
      <c r="A221" s="4">
        <v>957</v>
      </c>
      <c r="B221" s="2">
        <v>55121956</v>
      </c>
      <c r="C221" s="2">
        <v>0</v>
      </c>
      <c r="D221" s="4" t="s">
        <v>727</v>
      </c>
      <c r="E221" s="2">
        <v>55121956</v>
      </c>
      <c r="F221" s="2">
        <v>10473171.640000001</v>
      </c>
      <c r="G221" s="2">
        <v>1378048.91</v>
      </c>
      <c r="H221" s="4">
        <v>0</v>
      </c>
      <c r="I221" s="4">
        <v>0</v>
      </c>
      <c r="J221" s="4">
        <v>1378048.91</v>
      </c>
      <c r="K221" s="4">
        <v>64217078.729999997</v>
      </c>
      <c r="L221" s="4" t="s">
        <v>725</v>
      </c>
      <c r="M221" s="4" t="s">
        <v>726</v>
      </c>
      <c r="N221" s="4" t="s">
        <v>728</v>
      </c>
      <c r="O221" s="4" t="s">
        <v>59</v>
      </c>
      <c r="P221" s="4" t="s">
        <v>59</v>
      </c>
      <c r="Q221" s="8" t="s">
        <v>100</v>
      </c>
      <c r="R221" s="9">
        <f t="shared" si="4"/>
        <v>9.6704430474256551E-4</v>
      </c>
      <c r="S221" s="55">
        <f>Tabla3[[#This Row],[Subtotal]]/12</f>
        <v>4593496.333333333</v>
      </c>
    </row>
    <row r="222" spans="1:19" x14ac:dyDescent="0.2">
      <c r="A222" s="4">
        <v>1181</v>
      </c>
      <c r="B222" s="2">
        <v>55115240</v>
      </c>
      <c r="C222" s="2">
        <v>0</v>
      </c>
      <c r="D222" s="4" t="s">
        <v>731</v>
      </c>
      <c r="E222" s="2">
        <v>55115240</v>
      </c>
      <c r="F222" s="2">
        <v>10471895.6</v>
      </c>
      <c r="G222" s="2">
        <v>0</v>
      </c>
      <c r="H222" s="4">
        <v>0</v>
      </c>
      <c r="I222" s="4">
        <v>0</v>
      </c>
      <c r="J222" s="4">
        <v>0</v>
      </c>
      <c r="K222" s="4">
        <v>65587135.600000001</v>
      </c>
      <c r="L222" s="4" t="s">
        <v>729</v>
      </c>
      <c r="M222" s="4" t="s">
        <v>730</v>
      </c>
      <c r="N222" s="4" t="s">
        <v>482</v>
      </c>
      <c r="O222" s="4" t="s">
        <v>89</v>
      </c>
      <c r="P222" s="4" t="s">
        <v>89</v>
      </c>
      <c r="Q222" s="8" t="s">
        <v>100</v>
      </c>
      <c r="R222" s="9">
        <f t="shared" si="4"/>
        <v>9.6692648110164366E-4</v>
      </c>
      <c r="S222" s="55">
        <f>Tabla3[[#This Row],[Subtotal]]/12</f>
        <v>4592936.666666667</v>
      </c>
    </row>
    <row r="223" spans="1:19" x14ac:dyDescent="0.2">
      <c r="A223" s="4">
        <v>1283</v>
      </c>
      <c r="B223" s="2">
        <v>54905080</v>
      </c>
      <c r="C223" s="2">
        <v>0</v>
      </c>
      <c r="D223" s="4" t="s">
        <v>734</v>
      </c>
      <c r="E223" s="2">
        <v>54905080</v>
      </c>
      <c r="F223" s="2">
        <v>10431965.199999999</v>
      </c>
      <c r="G223" s="2">
        <v>871767.61</v>
      </c>
      <c r="H223" s="4">
        <v>0</v>
      </c>
      <c r="I223" s="4">
        <v>0</v>
      </c>
      <c r="J223" s="4">
        <v>871767.61</v>
      </c>
      <c r="K223" s="4">
        <v>64465277.590000004</v>
      </c>
      <c r="L223" s="4" t="s">
        <v>732</v>
      </c>
      <c r="M223" s="4" t="s">
        <v>733</v>
      </c>
      <c r="N223" s="4" t="s">
        <v>735</v>
      </c>
      <c r="O223" s="4" t="s">
        <v>105</v>
      </c>
      <c r="P223" s="4" t="s">
        <v>105</v>
      </c>
      <c r="Q223" s="8" t="s">
        <v>100</v>
      </c>
      <c r="R223" s="9">
        <f t="shared" si="4"/>
        <v>9.6323949236189915E-4</v>
      </c>
      <c r="S223" s="55">
        <f>Tabla3[[#This Row],[Subtotal]]/12</f>
        <v>4575423.333333333</v>
      </c>
    </row>
    <row r="224" spans="1:19" x14ac:dyDescent="0.2">
      <c r="A224" s="4">
        <v>1156</v>
      </c>
      <c r="B224" s="2">
        <v>54571718</v>
      </c>
      <c r="C224" s="2">
        <v>0</v>
      </c>
      <c r="D224" s="4" t="s">
        <v>738</v>
      </c>
      <c r="E224" s="2">
        <v>54571718</v>
      </c>
      <c r="F224" s="2">
        <v>10368626.42</v>
      </c>
      <c r="G224" s="2">
        <v>762311.5</v>
      </c>
      <c r="H224" s="4">
        <v>0</v>
      </c>
      <c r="I224" s="4">
        <v>0</v>
      </c>
      <c r="J224" s="4">
        <v>762311.5</v>
      </c>
      <c r="K224" s="4">
        <v>64178032.920000002</v>
      </c>
      <c r="L224" s="4" t="s">
        <v>736</v>
      </c>
      <c r="M224" s="4" t="s">
        <v>737</v>
      </c>
      <c r="N224" s="4" t="s">
        <v>739</v>
      </c>
      <c r="O224" s="4" t="s">
        <v>89</v>
      </c>
      <c r="P224" s="4" t="s">
        <v>89</v>
      </c>
      <c r="Q224" s="8" t="s">
        <v>100</v>
      </c>
      <c r="R224" s="9">
        <f t="shared" si="4"/>
        <v>9.5739108191148631E-4</v>
      </c>
      <c r="S224" s="55">
        <f>Tabla3[[#This Row],[Subtotal]]/12</f>
        <v>4547643.166666667</v>
      </c>
    </row>
    <row r="225" spans="1:19" x14ac:dyDescent="0.2">
      <c r="A225" s="4">
        <v>529</v>
      </c>
      <c r="B225" s="2">
        <v>54469209</v>
      </c>
      <c r="C225" s="2">
        <v>0</v>
      </c>
      <c r="D225" s="4" t="s">
        <v>742</v>
      </c>
      <c r="E225" s="2">
        <v>54469209</v>
      </c>
      <c r="F225" s="2">
        <v>10349149.710000001</v>
      </c>
      <c r="G225" s="2">
        <v>1355502.63</v>
      </c>
      <c r="H225" s="4">
        <v>0</v>
      </c>
      <c r="I225" s="4">
        <v>0</v>
      </c>
      <c r="J225" s="4">
        <v>1355502.63</v>
      </c>
      <c r="K225" s="4">
        <v>63462856.079999998</v>
      </c>
      <c r="L225" s="4" t="s">
        <v>740</v>
      </c>
      <c r="M225" s="4" t="s">
        <v>741</v>
      </c>
      <c r="N225" s="4" t="s">
        <v>20</v>
      </c>
      <c r="O225" s="4" t="s">
        <v>386</v>
      </c>
      <c r="P225" s="4" t="s">
        <v>386</v>
      </c>
      <c r="Q225" s="8" t="s">
        <v>100</v>
      </c>
      <c r="R225" s="9">
        <f t="shared" si="4"/>
        <v>9.5559269245239578E-4</v>
      </c>
      <c r="S225" s="55">
        <f>Tabla3[[#This Row],[Subtotal]]/12</f>
        <v>4539100.75</v>
      </c>
    </row>
    <row r="226" spans="1:19" x14ac:dyDescent="0.2">
      <c r="A226" s="4">
        <v>569</v>
      </c>
      <c r="B226" s="2">
        <v>53913007</v>
      </c>
      <c r="C226" s="2">
        <v>0</v>
      </c>
      <c r="D226" s="4" t="s">
        <v>745</v>
      </c>
      <c r="E226" s="2">
        <v>53913007</v>
      </c>
      <c r="F226" s="2">
        <v>10243471.33</v>
      </c>
      <c r="G226" s="2">
        <v>1347825.19</v>
      </c>
      <c r="H226" s="4">
        <v>0</v>
      </c>
      <c r="I226" s="4">
        <v>0</v>
      </c>
      <c r="J226" s="4">
        <v>1347825.19</v>
      </c>
      <c r="K226" s="4">
        <v>62808653.140000001</v>
      </c>
      <c r="L226" s="4" t="s">
        <v>743</v>
      </c>
      <c r="M226" s="4" t="s">
        <v>744</v>
      </c>
      <c r="N226" s="4" t="s">
        <v>746</v>
      </c>
      <c r="O226" s="4" t="s">
        <v>747</v>
      </c>
      <c r="P226" s="4" t="s">
        <v>747</v>
      </c>
      <c r="Q226" s="8" t="s">
        <v>100</v>
      </c>
      <c r="R226" s="9">
        <f t="shared" si="4"/>
        <v>9.4583483885978328E-4</v>
      </c>
      <c r="S226" s="55">
        <f>Tabla3[[#This Row],[Subtotal]]/12</f>
        <v>4492750.583333333</v>
      </c>
    </row>
    <row r="227" spans="1:19" x14ac:dyDescent="0.2">
      <c r="A227" s="4">
        <v>644</v>
      </c>
      <c r="B227" s="2">
        <v>53675498</v>
      </c>
      <c r="C227" s="2">
        <v>0</v>
      </c>
      <c r="D227" s="4" t="s">
        <v>749</v>
      </c>
      <c r="E227" s="2">
        <v>53675498</v>
      </c>
      <c r="F227" s="2">
        <v>10198344.619999999</v>
      </c>
      <c r="G227" s="2">
        <v>1057812.8799999999</v>
      </c>
      <c r="H227" s="4">
        <v>0</v>
      </c>
      <c r="I227" s="4">
        <v>0</v>
      </c>
      <c r="J227" s="4">
        <v>1057812.8799999999</v>
      </c>
      <c r="K227" s="4">
        <v>62816029.740000002</v>
      </c>
      <c r="L227" s="4" t="s">
        <v>748</v>
      </c>
      <c r="M227" s="4" t="s">
        <v>304</v>
      </c>
      <c r="N227" s="4" t="s">
        <v>750</v>
      </c>
      <c r="O227" s="4" t="s">
        <v>42</v>
      </c>
      <c r="P227" s="4" t="s">
        <v>42</v>
      </c>
      <c r="Q227" s="8" t="s">
        <v>28</v>
      </c>
      <c r="R227" s="9">
        <f t="shared" si="4"/>
        <v>9.4166804685089491E-4</v>
      </c>
      <c r="S227" s="55">
        <f>Tabla3[[#This Row],[Subtotal]]/12</f>
        <v>4472958.166666667</v>
      </c>
    </row>
    <row r="228" spans="1:19" x14ac:dyDescent="0.2">
      <c r="A228" s="4">
        <v>1727</v>
      </c>
      <c r="B228" s="2">
        <v>53333554</v>
      </c>
      <c r="C228" s="2">
        <v>0</v>
      </c>
      <c r="D228" s="4" t="s">
        <v>753</v>
      </c>
      <c r="E228" s="2">
        <v>53333554</v>
      </c>
      <c r="F228" s="2">
        <v>10133375.26</v>
      </c>
      <c r="G228" s="2">
        <v>0</v>
      </c>
      <c r="H228" s="4">
        <v>0</v>
      </c>
      <c r="I228" s="4">
        <v>0</v>
      </c>
      <c r="J228" s="4">
        <v>0</v>
      </c>
      <c r="K228" s="4">
        <v>63466929.259999998</v>
      </c>
      <c r="L228" s="4" t="s">
        <v>751</v>
      </c>
      <c r="M228" s="4" t="s">
        <v>752</v>
      </c>
      <c r="N228" s="4" t="s">
        <v>218</v>
      </c>
      <c r="O228" s="4" t="s">
        <v>196</v>
      </c>
      <c r="P228" s="4" t="s">
        <v>196</v>
      </c>
      <c r="Q228" s="8" t="s">
        <v>100</v>
      </c>
      <c r="R228" s="9">
        <f t="shared" si="4"/>
        <v>9.3566907617320531E-4</v>
      </c>
      <c r="S228" s="55">
        <f>Tabla3[[#This Row],[Subtotal]]/12</f>
        <v>4444462.833333333</v>
      </c>
    </row>
    <row r="229" spans="1:19" x14ac:dyDescent="0.2">
      <c r="A229" s="4">
        <v>1365</v>
      </c>
      <c r="B229" s="2">
        <v>53077808</v>
      </c>
      <c r="C229" s="2">
        <v>19935.84</v>
      </c>
      <c r="D229" s="4" t="s">
        <v>756</v>
      </c>
      <c r="E229" s="2">
        <v>53057872.159999996</v>
      </c>
      <c r="F229" s="2">
        <v>10080995.710000001</v>
      </c>
      <c r="G229" s="2">
        <v>759306.95</v>
      </c>
      <c r="H229" s="4">
        <v>0</v>
      </c>
      <c r="I229" s="4">
        <v>0</v>
      </c>
      <c r="J229" s="4">
        <v>759306.95</v>
      </c>
      <c r="K229" s="4">
        <v>62379560.920000002</v>
      </c>
      <c r="L229" s="4" t="s">
        <v>754</v>
      </c>
      <c r="M229" s="4" t="s">
        <v>755</v>
      </c>
      <c r="N229" s="4" t="s">
        <v>20</v>
      </c>
      <c r="O229" s="4" t="s">
        <v>71</v>
      </c>
      <c r="P229" s="4" t="s">
        <v>71</v>
      </c>
      <c r="Q229" s="8" t="s">
        <v>100</v>
      </c>
      <c r="R229" s="9">
        <f t="shared" si="4"/>
        <v>9.3083259044884252E-4</v>
      </c>
      <c r="S229" s="55">
        <f>Tabla3[[#This Row],[Subtotal]]/12</f>
        <v>4421489.3466666667</v>
      </c>
    </row>
    <row r="230" spans="1:19" x14ac:dyDescent="0.2">
      <c r="A230" s="4">
        <v>801</v>
      </c>
      <c r="B230" s="2">
        <v>52949248</v>
      </c>
      <c r="C230" s="2">
        <v>0</v>
      </c>
      <c r="D230" s="4" t="s">
        <v>759</v>
      </c>
      <c r="E230" s="2">
        <v>52949248</v>
      </c>
      <c r="F230" s="2">
        <v>10060357.119999999</v>
      </c>
      <c r="G230" s="2">
        <v>0</v>
      </c>
      <c r="H230" s="4">
        <v>0</v>
      </c>
      <c r="I230" s="4">
        <v>0</v>
      </c>
      <c r="J230" s="4">
        <v>0</v>
      </c>
      <c r="K230" s="4">
        <v>63009605.119999997</v>
      </c>
      <c r="L230" s="4" t="s">
        <v>757</v>
      </c>
      <c r="M230" s="4" t="s">
        <v>758</v>
      </c>
      <c r="N230" s="4" t="s">
        <v>32</v>
      </c>
      <c r="O230" s="4" t="s">
        <v>33</v>
      </c>
      <c r="P230" s="4" t="s">
        <v>33</v>
      </c>
      <c r="Q230" s="8" t="s">
        <v>100</v>
      </c>
      <c r="R230" s="9">
        <f t="shared" si="4"/>
        <v>9.2892691831911189E-4</v>
      </c>
      <c r="S230" s="55">
        <f>Tabla3[[#This Row],[Subtotal]]/12</f>
        <v>4412437.333333333</v>
      </c>
    </row>
    <row r="231" spans="1:19" x14ac:dyDescent="0.2">
      <c r="A231" s="4">
        <v>16</v>
      </c>
      <c r="B231" s="2">
        <v>52640251</v>
      </c>
      <c r="C231" s="2">
        <v>0</v>
      </c>
      <c r="D231" s="4" t="s">
        <v>761</v>
      </c>
      <c r="E231" s="2">
        <v>52640251</v>
      </c>
      <c r="F231" s="2">
        <v>10001647.689999999</v>
      </c>
      <c r="G231" s="2">
        <v>1316006.28</v>
      </c>
      <c r="H231" s="4">
        <v>1500247.16</v>
      </c>
      <c r="I231" s="4">
        <v>0</v>
      </c>
      <c r="J231" s="4">
        <v>2816253.44</v>
      </c>
      <c r="K231" s="4">
        <v>59825645.25</v>
      </c>
      <c r="L231" s="4" t="s">
        <v>760</v>
      </c>
      <c r="M231" s="4" t="s">
        <v>146</v>
      </c>
      <c r="N231" s="4" t="s">
        <v>41</v>
      </c>
      <c r="O231" s="4" t="s">
        <v>42</v>
      </c>
      <c r="P231" s="4" t="s">
        <v>42</v>
      </c>
      <c r="Q231" s="8" t="s">
        <v>28</v>
      </c>
      <c r="R231" s="9">
        <f t="shared" si="4"/>
        <v>9.2350596066963111E-4</v>
      </c>
      <c r="S231" s="55">
        <f>Tabla3[[#This Row],[Subtotal]]/12</f>
        <v>4386687.583333333</v>
      </c>
    </row>
    <row r="232" spans="1:19" x14ac:dyDescent="0.2">
      <c r="A232" s="4">
        <v>1261</v>
      </c>
      <c r="B232" s="2">
        <v>52255343</v>
      </c>
      <c r="C232" s="2">
        <v>0</v>
      </c>
      <c r="D232" s="4" t="s">
        <v>764</v>
      </c>
      <c r="E232" s="2">
        <v>52255343</v>
      </c>
      <c r="F232" s="2">
        <v>9928515.1699999999</v>
      </c>
      <c r="G232" s="2">
        <v>1306383.58</v>
      </c>
      <c r="H232" s="4">
        <v>0</v>
      </c>
      <c r="I232" s="4">
        <v>0</v>
      </c>
      <c r="J232" s="4">
        <v>1306383.58</v>
      </c>
      <c r="K232" s="4">
        <v>60877474.590000004</v>
      </c>
      <c r="L232" s="4" t="s">
        <v>762</v>
      </c>
      <c r="M232" s="4" t="s">
        <v>763</v>
      </c>
      <c r="N232" s="4" t="s">
        <v>389</v>
      </c>
      <c r="O232" s="4" t="s">
        <v>42</v>
      </c>
      <c r="P232" s="4" t="s">
        <v>42</v>
      </c>
      <c r="Q232" s="8" t="s">
        <v>100</v>
      </c>
      <c r="R232" s="9">
        <f t="shared" si="4"/>
        <v>9.1675324149453777E-4</v>
      </c>
      <c r="S232" s="55">
        <f>Tabla3[[#This Row],[Subtotal]]/12</f>
        <v>4354611.916666667</v>
      </c>
    </row>
    <row r="233" spans="1:19" x14ac:dyDescent="0.2">
      <c r="A233" s="4">
        <v>1355</v>
      </c>
      <c r="B233" s="2">
        <v>52182134</v>
      </c>
      <c r="C233" s="2">
        <v>0</v>
      </c>
      <c r="D233" s="4" t="s">
        <v>767</v>
      </c>
      <c r="E233" s="2">
        <v>52182134</v>
      </c>
      <c r="F233" s="2">
        <v>9914605.4600000009</v>
      </c>
      <c r="G233" s="2">
        <v>0</v>
      </c>
      <c r="H233" s="4">
        <v>0</v>
      </c>
      <c r="I233" s="4">
        <v>0</v>
      </c>
      <c r="J233" s="4">
        <v>0</v>
      </c>
      <c r="K233" s="4">
        <v>62096739.460000001</v>
      </c>
      <c r="L233" s="4" t="s">
        <v>765</v>
      </c>
      <c r="M233" s="4" t="s">
        <v>766</v>
      </c>
      <c r="N233" s="4" t="s">
        <v>20</v>
      </c>
      <c r="O233" s="4" t="s">
        <v>768</v>
      </c>
      <c r="P233" s="4" t="s">
        <v>768</v>
      </c>
      <c r="Q233" s="8" t="s">
        <v>100</v>
      </c>
      <c r="R233" s="9">
        <f t="shared" si="4"/>
        <v>9.1546888310736632E-4</v>
      </c>
      <c r="S233" s="55">
        <f>Tabla3[[#This Row],[Subtotal]]/12</f>
        <v>4348511.166666667</v>
      </c>
    </row>
    <row r="234" spans="1:19" x14ac:dyDescent="0.2">
      <c r="A234" s="4">
        <v>773</v>
      </c>
      <c r="B234" s="2">
        <v>53143878</v>
      </c>
      <c r="C234" s="2">
        <v>1152319.1399999999</v>
      </c>
      <c r="D234" s="4" t="s">
        <v>771</v>
      </c>
      <c r="E234" s="2">
        <v>51991558.859999999</v>
      </c>
      <c r="F234" s="2">
        <v>9878396.1799999997</v>
      </c>
      <c r="G234" s="2">
        <v>1271840.6599999999</v>
      </c>
      <c r="H234" s="4">
        <v>0</v>
      </c>
      <c r="I234" s="4">
        <v>0</v>
      </c>
      <c r="J234" s="4">
        <v>1271840.6599999999</v>
      </c>
      <c r="K234" s="4">
        <v>60598114.380000003</v>
      </c>
      <c r="L234" s="4" t="s">
        <v>769</v>
      </c>
      <c r="M234" s="4" t="s">
        <v>770</v>
      </c>
      <c r="N234" s="4" t="s">
        <v>302</v>
      </c>
      <c r="O234" s="4" t="s">
        <v>27</v>
      </c>
      <c r="P234" s="4" t="s">
        <v>27</v>
      </c>
      <c r="Q234" s="8" t="s">
        <v>28</v>
      </c>
      <c r="R234" s="9">
        <f t="shared" si="4"/>
        <v>9.1212548571844708E-4</v>
      </c>
      <c r="S234" s="55">
        <f>Tabla3[[#This Row],[Subtotal]]/12</f>
        <v>4332629.9050000003</v>
      </c>
    </row>
    <row r="235" spans="1:19" x14ac:dyDescent="0.2">
      <c r="A235" s="4">
        <v>314</v>
      </c>
      <c r="B235" s="2">
        <v>51919354</v>
      </c>
      <c r="C235" s="2">
        <v>0</v>
      </c>
      <c r="D235" s="4" t="s">
        <v>774</v>
      </c>
      <c r="E235" s="2">
        <v>51919354</v>
      </c>
      <c r="F235" s="2">
        <v>9864677.2599999998</v>
      </c>
      <c r="G235" s="2">
        <v>1297983.8700000001</v>
      </c>
      <c r="H235" s="4">
        <v>0</v>
      </c>
      <c r="I235" s="4">
        <v>0</v>
      </c>
      <c r="J235" s="4">
        <v>1297983.8700000001</v>
      </c>
      <c r="K235" s="4">
        <v>60486047.390000001</v>
      </c>
      <c r="L235" s="4" t="s">
        <v>772</v>
      </c>
      <c r="M235" s="4" t="s">
        <v>773</v>
      </c>
      <c r="N235" s="4" t="s">
        <v>775</v>
      </c>
      <c r="O235" s="4" t="s">
        <v>27</v>
      </c>
      <c r="P235" s="4" t="s">
        <v>27</v>
      </c>
      <c r="Q235" s="8" t="s">
        <v>28</v>
      </c>
      <c r="R235" s="9">
        <f t="shared" si="4"/>
        <v>9.1085874368487829E-4</v>
      </c>
      <c r="S235" s="55">
        <f>Tabla3[[#This Row],[Subtotal]]/12</f>
        <v>4326612.833333333</v>
      </c>
    </row>
    <row r="236" spans="1:19" x14ac:dyDescent="0.2">
      <c r="A236" s="4">
        <v>1423</v>
      </c>
      <c r="B236" s="2">
        <v>51094346</v>
      </c>
      <c r="C236" s="2">
        <v>0</v>
      </c>
      <c r="D236" s="4" t="s">
        <v>778</v>
      </c>
      <c r="E236" s="2">
        <v>51094346</v>
      </c>
      <c r="F236" s="2">
        <v>9707925.7400000002</v>
      </c>
      <c r="G236" s="2">
        <v>1236011.78</v>
      </c>
      <c r="H236" s="4">
        <v>0</v>
      </c>
      <c r="I236" s="4">
        <v>0</v>
      </c>
      <c r="J236" s="4">
        <v>1236011.78</v>
      </c>
      <c r="K236" s="4">
        <v>59566259.960000001</v>
      </c>
      <c r="L236" s="4" t="s">
        <v>776</v>
      </c>
      <c r="M236" s="4" t="s">
        <v>777</v>
      </c>
      <c r="N236" s="4" t="s">
        <v>779</v>
      </c>
      <c r="O236" s="4" t="s">
        <v>33</v>
      </c>
      <c r="P236" s="4" t="s">
        <v>33</v>
      </c>
      <c r="Q236" s="8" t="s">
        <v>100</v>
      </c>
      <c r="R236" s="9">
        <f t="shared" si="4"/>
        <v>8.963850321974438E-4</v>
      </c>
      <c r="S236" s="55">
        <f>Tabla3[[#This Row],[Subtotal]]/12</f>
        <v>4257862.166666667</v>
      </c>
    </row>
    <row r="237" spans="1:19" x14ac:dyDescent="0.2">
      <c r="A237" s="4">
        <v>822</v>
      </c>
      <c r="B237" s="2">
        <v>50828601</v>
      </c>
      <c r="C237" s="2">
        <v>263980.77</v>
      </c>
      <c r="D237" s="4" t="s">
        <v>782</v>
      </c>
      <c r="E237" s="2">
        <v>50564620.229999997</v>
      </c>
      <c r="F237" s="2">
        <v>9607277.8399999999</v>
      </c>
      <c r="G237" s="2">
        <v>1264115.53</v>
      </c>
      <c r="H237" s="4">
        <v>0</v>
      </c>
      <c r="I237" s="4">
        <v>0</v>
      </c>
      <c r="J237" s="4">
        <v>1264115.53</v>
      </c>
      <c r="K237" s="4">
        <v>58907782.539999999</v>
      </c>
      <c r="L237" s="4" t="s">
        <v>780</v>
      </c>
      <c r="M237" s="4" t="s">
        <v>781</v>
      </c>
      <c r="N237" s="4" t="s">
        <v>293</v>
      </c>
      <c r="O237" s="4" t="s">
        <v>229</v>
      </c>
      <c r="P237" s="4" t="s">
        <v>229</v>
      </c>
      <c r="Q237" s="8" t="s">
        <v>100</v>
      </c>
      <c r="R237" s="9">
        <f t="shared" si="4"/>
        <v>8.8709167023920941E-4</v>
      </c>
      <c r="S237" s="55">
        <f>Tabla3[[#This Row],[Subtotal]]/12</f>
        <v>4213718.3525</v>
      </c>
    </row>
    <row r="238" spans="1:19" x14ac:dyDescent="0.2">
      <c r="A238" s="4">
        <v>570</v>
      </c>
      <c r="B238" s="2">
        <v>50557199</v>
      </c>
      <c r="C238" s="2">
        <v>0</v>
      </c>
      <c r="D238" s="4" t="s">
        <v>785</v>
      </c>
      <c r="E238" s="2">
        <v>50557199</v>
      </c>
      <c r="F238" s="2">
        <v>9605867.8100000005</v>
      </c>
      <c r="G238" s="2">
        <v>1199236.1399999999</v>
      </c>
      <c r="H238" s="4">
        <v>0</v>
      </c>
      <c r="I238" s="4">
        <v>0</v>
      </c>
      <c r="J238" s="4">
        <v>1199236.1399999999</v>
      </c>
      <c r="K238" s="4">
        <v>58963830.670000002</v>
      </c>
      <c r="L238" s="4" t="s">
        <v>783</v>
      </c>
      <c r="M238" s="4" t="s">
        <v>784</v>
      </c>
      <c r="N238" s="4" t="s">
        <v>20</v>
      </c>
      <c r="O238" s="4" t="s">
        <v>71</v>
      </c>
      <c r="P238" s="4" t="s">
        <v>71</v>
      </c>
      <c r="Q238" s="8" t="s">
        <v>100</v>
      </c>
      <c r="R238" s="9">
        <f t="shared" si="4"/>
        <v>8.8696147423880471E-4</v>
      </c>
      <c r="S238" s="55">
        <f>Tabla3[[#This Row],[Subtotal]]/12</f>
        <v>4213099.916666667</v>
      </c>
    </row>
    <row r="239" spans="1:19" x14ac:dyDescent="0.2">
      <c r="A239" s="4">
        <v>762</v>
      </c>
      <c r="B239" s="2">
        <v>50502550</v>
      </c>
      <c r="C239" s="2">
        <v>0</v>
      </c>
      <c r="D239" s="4" t="s">
        <v>787</v>
      </c>
      <c r="E239" s="2">
        <v>50502550</v>
      </c>
      <c r="F239" s="2">
        <v>9595484.5</v>
      </c>
      <c r="G239" s="2">
        <v>1058887.21</v>
      </c>
      <c r="H239" s="4">
        <v>1207131.3999999999</v>
      </c>
      <c r="I239" s="4">
        <v>0</v>
      </c>
      <c r="J239" s="4">
        <v>2266018.61</v>
      </c>
      <c r="K239" s="4">
        <v>57832015.890000001</v>
      </c>
      <c r="L239" s="4" t="s">
        <v>786</v>
      </c>
      <c r="M239" s="4" t="s">
        <v>81</v>
      </c>
      <c r="N239" s="4" t="s">
        <v>104</v>
      </c>
      <c r="O239" s="4" t="s">
        <v>105</v>
      </c>
      <c r="P239" s="4" t="s">
        <v>105</v>
      </c>
      <c r="Q239" s="8" t="s">
        <v>28</v>
      </c>
      <c r="R239" s="9">
        <f t="shared" si="4"/>
        <v>8.8600272734292395E-4</v>
      </c>
      <c r="S239" s="55">
        <f>Tabla3[[#This Row],[Subtotal]]/12</f>
        <v>4208545.833333333</v>
      </c>
    </row>
    <row r="240" spans="1:19" x14ac:dyDescent="0.2">
      <c r="A240" s="4">
        <v>1337</v>
      </c>
      <c r="B240" s="2">
        <v>50171062</v>
      </c>
      <c r="C240" s="2">
        <v>0</v>
      </c>
      <c r="D240" s="4" t="s">
        <v>790</v>
      </c>
      <c r="E240" s="2">
        <v>50171062</v>
      </c>
      <c r="F240" s="2">
        <v>9532501.7799999993</v>
      </c>
      <c r="G240" s="2">
        <v>0</v>
      </c>
      <c r="H240" s="4">
        <v>0</v>
      </c>
      <c r="I240" s="4">
        <v>0</v>
      </c>
      <c r="J240" s="4">
        <v>0</v>
      </c>
      <c r="K240" s="4">
        <v>59703563.780000001</v>
      </c>
      <c r="L240" s="4" t="s">
        <v>788</v>
      </c>
      <c r="M240" s="4" t="s">
        <v>789</v>
      </c>
      <c r="N240" s="4" t="s">
        <v>791</v>
      </c>
      <c r="O240" s="4" t="s">
        <v>59</v>
      </c>
      <c r="P240" s="4" t="s">
        <v>59</v>
      </c>
      <c r="Q240" s="8" t="s">
        <v>100</v>
      </c>
      <c r="R240" s="9">
        <f t="shared" si="4"/>
        <v>8.8018719382864697E-4</v>
      </c>
      <c r="S240" s="55">
        <f>Tabla3[[#This Row],[Subtotal]]/12</f>
        <v>4180921.8333333335</v>
      </c>
    </row>
    <row r="241" spans="1:19" x14ac:dyDescent="0.2">
      <c r="A241" s="4">
        <v>1280</v>
      </c>
      <c r="B241" s="2">
        <v>49715043</v>
      </c>
      <c r="C241" s="2">
        <v>0</v>
      </c>
      <c r="D241" s="4" t="s">
        <v>794</v>
      </c>
      <c r="E241" s="2">
        <v>49715043</v>
      </c>
      <c r="F241" s="2">
        <v>9445858.1699999999</v>
      </c>
      <c r="G241" s="2">
        <v>1242876.0900000001</v>
      </c>
      <c r="H241" s="4">
        <v>0</v>
      </c>
      <c r="I241" s="4">
        <v>0</v>
      </c>
      <c r="J241" s="4">
        <v>1242876.0900000001</v>
      </c>
      <c r="K241" s="4">
        <v>57918025.079999998</v>
      </c>
      <c r="L241" s="4" t="s">
        <v>792</v>
      </c>
      <c r="M241" s="4" t="s">
        <v>793</v>
      </c>
      <c r="N241" s="4" t="s">
        <v>127</v>
      </c>
      <c r="O241" s="4" t="s">
        <v>67</v>
      </c>
      <c r="P241" s="4" t="s">
        <v>67</v>
      </c>
      <c r="Q241" s="8" t="s">
        <v>28</v>
      </c>
      <c r="R241" s="9">
        <f t="shared" si="4"/>
        <v>8.7218692299637817E-4</v>
      </c>
      <c r="S241" s="55">
        <f>Tabla3[[#This Row],[Subtotal]]/12</f>
        <v>4142920.25</v>
      </c>
    </row>
    <row r="242" spans="1:19" x14ac:dyDescent="0.2">
      <c r="A242" s="4">
        <v>61</v>
      </c>
      <c r="B242" s="2">
        <v>49672683</v>
      </c>
      <c r="C242" s="2">
        <v>0</v>
      </c>
      <c r="D242" s="4" t="s">
        <v>797</v>
      </c>
      <c r="E242" s="2">
        <v>49672683</v>
      </c>
      <c r="F242" s="2">
        <v>9437809.7699999996</v>
      </c>
      <c r="G242" s="2">
        <v>1191955.24</v>
      </c>
      <c r="H242" s="4">
        <v>0</v>
      </c>
      <c r="I242" s="4">
        <v>0</v>
      </c>
      <c r="J242" s="4">
        <v>1191955.24</v>
      </c>
      <c r="K242" s="4">
        <v>57918537.530000001</v>
      </c>
      <c r="L242" s="4" t="s">
        <v>795</v>
      </c>
      <c r="M242" s="4" t="s">
        <v>796</v>
      </c>
      <c r="N242" s="4" t="s">
        <v>46</v>
      </c>
      <c r="O242" s="4" t="s">
        <v>27</v>
      </c>
      <c r="P242" s="4" t="s">
        <v>27</v>
      </c>
      <c r="Q242" s="8" t="s">
        <v>22</v>
      </c>
      <c r="R242" s="9">
        <f t="shared" si="4"/>
        <v>8.7144377090741946E-4</v>
      </c>
      <c r="S242" s="55">
        <f>Tabla3[[#This Row],[Subtotal]]/12</f>
        <v>4139390.25</v>
      </c>
    </row>
    <row r="243" spans="1:19" x14ac:dyDescent="0.2">
      <c r="A243" s="4">
        <v>1739</v>
      </c>
      <c r="B243" s="2">
        <v>48967916</v>
      </c>
      <c r="C243" s="2">
        <v>0</v>
      </c>
      <c r="D243" s="4" t="s">
        <v>800</v>
      </c>
      <c r="E243" s="2">
        <v>48967916</v>
      </c>
      <c r="F243" s="2">
        <v>9303904.0399999991</v>
      </c>
      <c r="G243" s="2">
        <v>0</v>
      </c>
      <c r="H243" s="4">
        <v>0</v>
      </c>
      <c r="I243" s="4">
        <v>0</v>
      </c>
      <c r="J243" s="4">
        <v>0</v>
      </c>
      <c r="K243" s="4">
        <v>58271820.039999999</v>
      </c>
      <c r="L243" s="4" t="s">
        <v>798</v>
      </c>
      <c r="M243" s="4" t="s">
        <v>799</v>
      </c>
      <c r="N243" s="4" t="s">
        <v>801</v>
      </c>
      <c r="O243" s="4" t="s">
        <v>27</v>
      </c>
      <c r="P243" s="4" t="s">
        <v>27</v>
      </c>
      <c r="Q243" s="8" t="s">
        <v>100</v>
      </c>
      <c r="R243" s="9">
        <f t="shared" si="4"/>
        <v>8.5907953416806092E-4</v>
      </c>
      <c r="S243" s="55">
        <f>Tabla3[[#This Row],[Subtotal]]/12</f>
        <v>4080659.6666666665</v>
      </c>
    </row>
    <row r="244" spans="1:19" x14ac:dyDescent="0.2">
      <c r="A244" s="4">
        <v>149</v>
      </c>
      <c r="B244" s="2">
        <v>48912926</v>
      </c>
      <c r="C244" s="2">
        <v>0</v>
      </c>
      <c r="D244" s="4" t="s">
        <v>804</v>
      </c>
      <c r="E244" s="2">
        <v>48912926</v>
      </c>
      <c r="F244" s="2">
        <v>9293455.9399999995</v>
      </c>
      <c r="G244" s="2">
        <v>799338.9</v>
      </c>
      <c r="H244" s="4">
        <v>0</v>
      </c>
      <c r="I244" s="4">
        <v>0</v>
      </c>
      <c r="J244" s="4">
        <v>799338.9</v>
      </c>
      <c r="K244" s="4">
        <v>57407043.039999999</v>
      </c>
      <c r="L244" s="4" t="s">
        <v>802</v>
      </c>
      <c r="M244" s="4" t="s">
        <v>803</v>
      </c>
      <c r="N244" s="4" t="s">
        <v>112</v>
      </c>
      <c r="O244" s="4" t="s">
        <v>113</v>
      </c>
      <c r="P244" s="4" t="s">
        <v>113</v>
      </c>
      <c r="Q244" s="8" t="s">
        <v>100</v>
      </c>
      <c r="R244" s="9">
        <f t="shared" si="4"/>
        <v>8.5811480486277657E-4</v>
      </c>
      <c r="S244" s="55">
        <f>Tabla3[[#This Row],[Subtotal]]/12</f>
        <v>4076077.1666666665</v>
      </c>
    </row>
    <row r="245" spans="1:19" x14ac:dyDescent="0.2">
      <c r="A245" s="4">
        <v>648</v>
      </c>
      <c r="B245" s="2">
        <v>48767664</v>
      </c>
      <c r="C245" s="2">
        <v>0</v>
      </c>
      <c r="D245" s="4" t="s">
        <v>806</v>
      </c>
      <c r="E245" s="2">
        <v>48767664</v>
      </c>
      <c r="F245" s="2">
        <v>9265856.1600000001</v>
      </c>
      <c r="G245" s="2">
        <v>1082018.1200000001</v>
      </c>
      <c r="H245" s="4">
        <v>0</v>
      </c>
      <c r="I245" s="4">
        <v>0</v>
      </c>
      <c r="J245" s="4">
        <v>1082018.1200000001</v>
      </c>
      <c r="K245" s="4">
        <v>56951502.039999999</v>
      </c>
      <c r="L245" s="4" t="s">
        <v>805</v>
      </c>
      <c r="M245" s="4" t="s">
        <v>304</v>
      </c>
      <c r="N245" s="4" t="s">
        <v>41</v>
      </c>
      <c r="O245" s="4" t="s">
        <v>42</v>
      </c>
      <c r="P245" s="4" t="s">
        <v>42</v>
      </c>
      <c r="Q245" s="8" t="s">
        <v>28</v>
      </c>
      <c r="R245" s="9">
        <f t="shared" si="4"/>
        <v>8.5556636863174881E-4</v>
      </c>
      <c r="S245" s="55">
        <f>Tabla3[[#This Row],[Subtotal]]/12</f>
        <v>4063972</v>
      </c>
    </row>
    <row r="246" spans="1:19" x14ac:dyDescent="0.2">
      <c r="A246" s="4">
        <v>191</v>
      </c>
      <c r="B246" s="2">
        <v>48742218</v>
      </c>
      <c r="C246" s="2">
        <v>0</v>
      </c>
      <c r="D246" s="4" t="s">
        <v>809</v>
      </c>
      <c r="E246" s="2">
        <v>48742218</v>
      </c>
      <c r="F246" s="2">
        <v>9261021.4199999999</v>
      </c>
      <c r="G246" s="2">
        <v>0</v>
      </c>
      <c r="H246" s="4">
        <v>0</v>
      </c>
      <c r="I246" s="4">
        <v>0</v>
      </c>
      <c r="J246" s="4">
        <v>0</v>
      </c>
      <c r="K246" s="4">
        <v>58003239.420000002</v>
      </c>
      <c r="L246" s="4" t="s">
        <v>807</v>
      </c>
      <c r="M246" s="4" t="s">
        <v>808</v>
      </c>
      <c r="N246" s="4" t="s">
        <v>810</v>
      </c>
      <c r="O246" s="4" t="s">
        <v>59</v>
      </c>
      <c r="P246" s="4" t="s">
        <v>59</v>
      </c>
      <c r="Q246" s="8" t="s">
        <v>100</v>
      </c>
      <c r="R246" s="9">
        <f t="shared" si="4"/>
        <v>8.5511995106669588E-4</v>
      </c>
      <c r="S246" s="55">
        <f>Tabla3[[#This Row],[Subtotal]]/12</f>
        <v>4061851.5</v>
      </c>
    </row>
    <row r="247" spans="1:19" x14ac:dyDescent="0.2">
      <c r="A247" s="4">
        <v>27</v>
      </c>
      <c r="B247" s="2">
        <v>48661003</v>
      </c>
      <c r="C247" s="2">
        <v>0</v>
      </c>
      <c r="D247" s="4" t="s">
        <v>812</v>
      </c>
      <c r="E247" s="2">
        <v>48661003</v>
      </c>
      <c r="F247" s="2">
        <v>9245590.5700000003</v>
      </c>
      <c r="G247" s="2">
        <v>1216525.08</v>
      </c>
      <c r="H247" s="4">
        <v>1386838.61</v>
      </c>
      <c r="I247" s="4">
        <v>0</v>
      </c>
      <c r="J247" s="4">
        <v>2603363.69</v>
      </c>
      <c r="K247" s="4">
        <v>55303229.880000003</v>
      </c>
      <c r="L247" s="4" t="s">
        <v>811</v>
      </c>
      <c r="M247" s="4" t="s">
        <v>146</v>
      </c>
      <c r="N247" s="4" t="s">
        <v>32</v>
      </c>
      <c r="O247" s="4" t="s">
        <v>33</v>
      </c>
      <c r="P247" s="4" t="s">
        <v>33</v>
      </c>
      <c r="Q247" s="8" t="s">
        <v>28</v>
      </c>
      <c r="R247" s="9">
        <f t="shared" si="4"/>
        <v>8.5369513763646008E-4</v>
      </c>
      <c r="S247" s="55">
        <f>Tabla3[[#This Row],[Subtotal]]/12</f>
        <v>4055083.5833333335</v>
      </c>
    </row>
    <row r="248" spans="1:19" x14ac:dyDescent="0.2">
      <c r="A248" s="4">
        <v>177</v>
      </c>
      <c r="B248" s="2">
        <v>48441818</v>
      </c>
      <c r="C248" s="2">
        <v>0</v>
      </c>
      <c r="D248" s="4" t="s">
        <v>815</v>
      </c>
      <c r="E248" s="2">
        <v>48441818</v>
      </c>
      <c r="F248" s="2">
        <v>9203945.4199999999</v>
      </c>
      <c r="G248" s="2">
        <v>0</v>
      </c>
      <c r="H248" s="4">
        <v>0</v>
      </c>
      <c r="I248" s="4">
        <v>0</v>
      </c>
      <c r="J248" s="4">
        <v>0</v>
      </c>
      <c r="K248" s="4">
        <v>57645763.420000002</v>
      </c>
      <c r="L248" s="4" t="s">
        <v>813</v>
      </c>
      <c r="M248" s="4" t="s">
        <v>814</v>
      </c>
      <c r="N248" s="4" t="s">
        <v>186</v>
      </c>
      <c r="O248" s="4" t="s">
        <v>59</v>
      </c>
      <c r="P248" s="4" t="s">
        <v>59</v>
      </c>
      <c r="Q248" s="8" t="s">
        <v>100</v>
      </c>
      <c r="R248" s="9">
        <f t="shared" si="4"/>
        <v>8.4984981680033078E-4</v>
      </c>
      <c r="S248" s="55">
        <f>Tabla3[[#This Row],[Subtotal]]/12</f>
        <v>4036818.1666666665</v>
      </c>
    </row>
    <row r="249" spans="1:19" x14ac:dyDescent="0.2">
      <c r="A249" s="4">
        <v>55</v>
      </c>
      <c r="B249" s="2">
        <v>48232771</v>
      </c>
      <c r="C249" s="2">
        <v>0</v>
      </c>
      <c r="D249" s="4" t="s">
        <v>818</v>
      </c>
      <c r="E249" s="2">
        <v>48232771</v>
      </c>
      <c r="F249" s="2">
        <v>9164226.4900000002</v>
      </c>
      <c r="G249" s="2">
        <v>228286.38</v>
      </c>
      <c r="H249" s="4">
        <v>0</v>
      </c>
      <c r="I249" s="4">
        <v>0</v>
      </c>
      <c r="J249" s="4">
        <v>228286.38</v>
      </c>
      <c r="K249" s="4">
        <v>57168711.109999999</v>
      </c>
      <c r="L249" s="4" t="s">
        <v>816</v>
      </c>
      <c r="M249" s="4" t="s">
        <v>817</v>
      </c>
      <c r="N249" s="4" t="s">
        <v>819</v>
      </c>
      <c r="O249" s="4" t="s">
        <v>93</v>
      </c>
      <c r="P249" s="4" t="s">
        <v>93</v>
      </c>
      <c r="Q249" s="8" t="s">
        <v>100</v>
      </c>
      <c r="R249" s="9">
        <f t="shared" si="4"/>
        <v>8.4618235422383007E-4</v>
      </c>
      <c r="S249" s="55">
        <f>Tabla3[[#This Row],[Subtotal]]/12</f>
        <v>4019397.5833333335</v>
      </c>
    </row>
    <row r="250" spans="1:19" x14ac:dyDescent="0.2">
      <c r="A250" s="4">
        <v>912</v>
      </c>
      <c r="B250" s="2">
        <v>48185110</v>
      </c>
      <c r="C250" s="2">
        <v>0</v>
      </c>
      <c r="D250" s="4" t="s">
        <v>822</v>
      </c>
      <c r="E250" s="2">
        <v>48185110</v>
      </c>
      <c r="F250" s="2">
        <v>9155170.9000000004</v>
      </c>
      <c r="G250" s="2">
        <v>1204627.78</v>
      </c>
      <c r="H250" s="4">
        <v>0</v>
      </c>
      <c r="I250" s="4">
        <v>0</v>
      </c>
      <c r="J250" s="4">
        <v>1204627.78</v>
      </c>
      <c r="K250" s="4">
        <v>56135653.119999997</v>
      </c>
      <c r="L250" s="4" t="s">
        <v>820</v>
      </c>
      <c r="M250" s="4" t="s">
        <v>821</v>
      </c>
      <c r="N250" s="4" t="s">
        <v>651</v>
      </c>
      <c r="O250" s="4" t="s">
        <v>196</v>
      </c>
      <c r="P250" s="4" t="s">
        <v>196</v>
      </c>
      <c r="Q250" s="8" t="s">
        <v>28</v>
      </c>
      <c r="R250" s="9">
        <f t="shared" si="4"/>
        <v>8.4534620286141589E-4</v>
      </c>
      <c r="S250" s="55">
        <f>Tabla3[[#This Row],[Subtotal]]/12</f>
        <v>4015425.8333333335</v>
      </c>
    </row>
    <row r="251" spans="1:19" x14ac:dyDescent="0.2">
      <c r="A251" s="4">
        <v>525</v>
      </c>
      <c r="B251" s="2">
        <v>47348672</v>
      </c>
      <c r="C251" s="2">
        <v>0</v>
      </c>
      <c r="D251" s="4" t="s">
        <v>825</v>
      </c>
      <c r="E251" s="2">
        <v>47348672</v>
      </c>
      <c r="F251" s="2">
        <v>8996247.6799999997</v>
      </c>
      <c r="G251" s="2">
        <v>1046828.3</v>
      </c>
      <c r="H251" s="4">
        <v>0</v>
      </c>
      <c r="I251" s="4">
        <v>0</v>
      </c>
      <c r="J251" s="4">
        <v>1046828.3</v>
      </c>
      <c r="K251" s="4">
        <v>55298091.380000003</v>
      </c>
      <c r="L251" s="4" t="s">
        <v>823</v>
      </c>
      <c r="M251" s="4" t="s">
        <v>824</v>
      </c>
      <c r="N251" s="4" t="s">
        <v>826</v>
      </c>
      <c r="O251" s="4" t="s">
        <v>89</v>
      </c>
      <c r="P251" s="4" t="s">
        <v>89</v>
      </c>
      <c r="Q251" s="8" t="s">
        <v>100</v>
      </c>
      <c r="R251" s="9">
        <f t="shared" si="4"/>
        <v>8.3067196662476521E-4</v>
      </c>
      <c r="S251" s="55">
        <f>Tabla3[[#This Row],[Subtotal]]/12</f>
        <v>3945722.6666666665</v>
      </c>
    </row>
    <row r="252" spans="1:19" x14ac:dyDescent="0.2">
      <c r="A252" s="4">
        <v>1206</v>
      </c>
      <c r="B252" s="2">
        <v>47249088</v>
      </c>
      <c r="C252" s="2">
        <v>0</v>
      </c>
      <c r="D252" s="4" t="s">
        <v>828</v>
      </c>
      <c r="E252" s="2">
        <v>47249088</v>
      </c>
      <c r="F252" s="2">
        <v>8977326.7200000007</v>
      </c>
      <c r="G252" s="2">
        <v>1181227.21</v>
      </c>
      <c r="H252" s="4">
        <v>0</v>
      </c>
      <c r="I252" s="4">
        <v>0</v>
      </c>
      <c r="J252" s="4">
        <v>1181227.21</v>
      </c>
      <c r="K252" s="4">
        <v>55045187.509999998</v>
      </c>
      <c r="L252" s="4" t="s">
        <v>827</v>
      </c>
      <c r="M252" s="4" t="s">
        <v>320</v>
      </c>
      <c r="N252" s="4" t="s">
        <v>829</v>
      </c>
      <c r="O252" s="4" t="s">
        <v>229</v>
      </c>
      <c r="P252" s="4" t="s">
        <v>229</v>
      </c>
      <c r="Q252" s="8" t="s">
        <v>28</v>
      </c>
      <c r="R252" s="9">
        <f t="shared" si="4"/>
        <v>8.2892489255425358E-4</v>
      </c>
      <c r="S252" s="55">
        <f>Tabla3[[#This Row],[Subtotal]]/12</f>
        <v>3937424</v>
      </c>
    </row>
    <row r="253" spans="1:19" x14ac:dyDescent="0.2">
      <c r="A253" s="4">
        <v>22</v>
      </c>
      <c r="B253" s="2">
        <v>47227851</v>
      </c>
      <c r="C253" s="2">
        <v>0</v>
      </c>
      <c r="D253" s="4" t="s">
        <v>831</v>
      </c>
      <c r="E253" s="2">
        <v>47227851</v>
      </c>
      <c r="F253" s="2">
        <v>8973291.6899999995</v>
      </c>
      <c r="G253" s="2">
        <v>1180696.31</v>
      </c>
      <c r="H253" s="4">
        <v>1345993.76</v>
      </c>
      <c r="I253" s="4">
        <v>0</v>
      </c>
      <c r="J253" s="4">
        <v>2526690.0699999998</v>
      </c>
      <c r="K253" s="4">
        <v>53674452.619999997</v>
      </c>
      <c r="L253" s="4" t="s">
        <v>830</v>
      </c>
      <c r="M253" s="4" t="s">
        <v>146</v>
      </c>
      <c r="N253" s="4" t="s">
        <v>127</v>
      </c>
      <c r="O253" s="4" t="s">
        <v>67</v>
      </c>
      <c r="P253" s="4" t="s">
        <v>67</v>
      </c>
      <c r="Q253" s="8" t="s">
        <v>28</v>
      </c>
      <c r="R253" s="9">
        <f t="shared" si="4"/>
        <v>8.2855231651758653E-4</v>
      </c>
      <c r="S253" s="55">
        <f>Tabla3[[#This Row],[Subtotal]]/12</f>
        <v>3935654.25</v>
      </c>
    </row>
    <row r="254" spans="1:19" x14ac:dyDescent="0.2">
      <c r="A254" s="4">
        <v>689</v>
      </c>
      <c r="B254" s="2">
        <v>47109537</v>
      </c>
      <c r="C254" s="2">
        <v>0</v>
      </c>
      <c r="D254" s="4" t="s">
        <v>834</v>
      </c>
      <c r="E254" s="2">
        <v>47109537</v>
      </c>
      <c r="F254" s="2">
        <v>8950812.0299999993</v>
      </c>
      <c r="G254" s="2">
        <v>1167456.6499999999</v>
      </c>
      <c r="H254" s="4">
        <v>0</v>
      </c>
      <c r="I254" s="4">
        <v>0</v>
      </c>
      <c r="J254" s="4">
        <v>1167456.6499999999</v>
      </c>
      <c r="K254" s="4">
        <v>54892892.380000003</v>
      </c>
      <c r="L254" s="4" t="s">
        <v>832</v>
      </c>
      <c r="M254" s="4" t="s">
        <v>833</v>
      </c>
      <c r="N254" s="4" t="s">
        <v>415</v>
      </c>
      <c r="O254" s="4" t="s">
        <v>382</v>
      </c>
      <c r="P254" s="4" t="s">
        <v>382</v>
      </c>
      <c r="Q254" s="8" t="s">
        <v>100</v>
      </c>
      <c r="R254" s="9">
        <f t="shared" si="4"/>
        <v>8.2647664852294361E-4</v>
      </c>
      <c r="S254" s="55">
        <f>Tabla3[[#This Row],[Subtotal]]/12</f>
        <v>3925794.75</v>
      </c>
    </row>
    <row r="255" spans="1:19" x14ac:dyDescent="0.2">
      <c r="A255" s="4">
        <v>1703</v>
      </c>
      <c r="B255" s="2">
        <v>47048315</v>
      </c>
      <c r="C255" s="2">
        <v>0</v>
      </c>
      <c r="D255" s="4" t="s">
        <v>837</v>
      </c>
      <c r="E255" s="2">
        <v>47048315</v>
      </c>
      <c r="F255" s="2">
        <v>8939179.8499999996</v>
      </c>
      <c r="G255" s="2">
        <v>1176207.8799999999</v>
      </c>
      <c r="H255" s="4">
        <v>0</v>
      </c>
      <c r="I255" s="4">
        <v>0</v>
      </c>
      <c r="J255" s="4">
        <v>1176207.8799999999</v>
      </c>
      <c r="K255" s="4">
        <v>54811286.969999999</v>
      </c>
      <c r="L255" s="4" t="s">
        <v>835</v>
      </c>
      <c r="M255" s="4" t="s">
        <v>836</v>
      </c>
      <c r="N255" s="4" t="s">
        <v>46</v>
      </c>
      <c r="O255" s="4" t="s">
        <v>27</v>
      </c>
      <c r="P255" s="4" t="s">
        <v>27</v>
      </c>
      <c r="Q255" s="8" t="s">
        <v>100</v>
      </c>
      <c r="R255" s="9">
        <f t="shared" si="4"/>
        <v>8.2540258673847165E-4</v>
      </c>
      <c r="S255" s="55">
        <f>Tabla3[[#This Row],[Subtotal]]/12</f>
        <v>3920692.9166666665</v>
      </c>
    </row>
    <row r="256" spans="1:19" x14ac:dyDescent="0.2">
      <c r="A256" s="4">
        <v>130</v>
      </c>
      <c r="B256" s="2">
        <v>46920984</v>
      </c>
      <c r="C256" s="2">
        <v>0</v>
      </c>
      <c r="D256" s="4" t="s">
        <v>840</v>
      </c>
      <c r="E256" s="2">
        <v>46920984</v>
      </c>
      <c r="F256" s="2">
        <v>8914986.9600000009</v>
      </c>
      <c r="G256" s="2">
        <v>1173024.6399999999</v>
      </c>
      <c r="H256" s="4">
        <v>1337248.06</v>
      </c>
      <c r="I256" s="4">
        <v>0</v>
      </c>
      <c r="J256" s="4">
        <v>2510272.7000000002</v>
      </c>
      <c r="K256" s="4">
        <v>53325698.259999998</v>
      </c>
      <c r="L256" s="4" t="s">
        <v>838</v>
      </c>
      <c r="M256" s="4" t="s">
        <v>839</v>
      </c>
      <c r="N256" s="4" t="s">
        <v>20</v>
      </c>
      <c r="O256" s="4" t="s">
        <v>76</v>
      </c>
      <c r="P256" s="4" t="s">
        <v>76</v>
      </c>
      <c r="Q256" s="8" t="s">
        <v>100</v>
      </c>
      <c r="R256" s="9">
        <f t="shared" si="4"/>
        <v>8.2316872699722489E-4</v>
      </c>
      <c r="S256" s="55">
        <f>Tabla3[[#This Row],[Subtotal]]/12</f>
        <v>3910082</v>
      </c>
    </row>
    <row r="257" spans="1:19" x14ac:dyDescent="0.2">
      <c r="A257" s="4">
        <v>1457</v>
      </c>
      <c r="B257" s="2">
        <v>46743696</v>
      </c>
      <c r="C257" s="2">
        <v>0</v>
      </c>
      <c r="D257" s="4" t="s">
        <v>843</v>
      </c>
      <c r="E257" s="2">
        <v>46743696</v>
      </c>
      <c r="F257" s="2">
        <v>8881302.2400000002</v>
      </c>
      <c r="G257" s="2">
        <v>1108070.6200000001</v>
      </c>
      <c r="H257" s="4">
        <v>0</v>
      </c>
      <c r="I257" s="4">
        <v>0</v>
      </c>
      <c r="J257" s="4">
        <v>1108070.6200000001</v>
      </c>
      <c r="K257" s="4">
        <v>54516927.619999997</v>
      </c>
      <c r="L257" s="4" t="s">
        <v>841</v>
      </c>
      <c r="M257" s="4" t="s">
        <v>842</v>
      </c>
      <c r="N257" s="4" t="s">
        <v>468</v>
      </c>
      <c r="O257" s="4" t="s">
        <v>105</v>
      </c>
      <c r="P257" s="4" t="s">
        <v>105</v>
      </c>
      <c r="Q257" s="8" t="s">
        <v>100</v>
      </c>
      <c r="R257" s="9">
        <f t="shared" si="4"/>
        <v>8.2005843550649472E-4</v>
      </c>
      <c r="S257" s="55">
        <f>Tabla3[[#This Row],[Subtotal]]/12</f>
        <v>3895308</v>
      </c>
    </row>
    <row r="258" spans="1:19" x14ac:dyDescent="0.2">
      <c r="A258" s="4">
        <v>1471</v>
      </c>
      <c r="B258" s="2">
        <v>46698936</v>
      </c>
      <c r="C258" s="2">
        <v>0</v>
      </c>
      <c r="D258" s="4" t="s">
        <v>846</v>
      </c>
      <c r="E258" s="2">
        <v>46698936</v>
      </c>
      <c r="F258" s="2">
        <v>8872797.8399999999</v>
      </c>
      <c r="G258" s="2">
        <v>0</v>
      </c>
      <c r="H258" s="4">
        <v>0</v>
      </c>
      <c r="I258" s="4">
        <v>0</v>
      </c>
      <c r="J258" s="4">
        <v>0</v>
      </c>
      <c r="K258" s="4">
        <v>55571733.840000004</v>
      </c>
      <c r="L258" s="4" t="s">
        <v>844</v>
      </c>
      <c r="M258" s="4" t="s">
        <v>845</v>
      </c>
      <c r="N258" s="4" t="s">
        <v>627</v>
      </c>
      <c r="O258" s="4" t="s">
        <v>27</v>
      </c>
      <c r="P258" s="4" t="s">
        <v>27</v>
      </c>
      <c r="Q258" s="8" t="s">
        <v>100</v>
      </c>
      <c r="R258" s="9">
        <f t="shared" si="4"/>
        <v>8.1927317848331735E-4</v>
      </c>
      <c r="S258" s="55">
        <f>Tabla3[[#This Row],[Subtotal]]/12</f>
        <v>3891578</v>
      </c>
    </row>
    <row r="259" spans="1:19" x14ac:dyDescent="0.2">
      <c r="A259" s="4">
        <v>289</v>
      </c>
      <c r="B259" s="2">
        <v>46246681</v>
      </c>
      <c r="C259" s="2">
        <v>0</v>
      </c>
      <c r="D259" s="4" t="s">
        <v>849</v>
      </c>
      <c r="E259" s="2">
        <v>46246681</v>
      </c>
      <c r="F259" s="2">
        <v>8786869.3900000006</v>
      </c>
      <c r="G259" s="2">
        <v>0</v>
      </c>
      <c r="H259" s="4">
        <v>0</v>
      </c>
      <c r="I259" s="4">
        <v>0</v>
      </c>
      <c r="J259" s="4">
        <v>0</v>
      </c>
      <c r="K259" s="4">
        <v>55033550.390000001</v>
      </c>
      <c r="L259" s="4" t="s">
        <v>847</v>
      </c>
      <c r="M259" s="4" t="s">
        <v>848</v>
      </c>
      <c r="N259" s="4" t="s">
        <v>482</v>
      </c>
      <c r="O259" s="4" t="s">
        <v>89</v>
      </c>
      <c r="P259" s="4" t="s">
        <v>89</v>
      </c>
      <c r="Q259" s="8" t="s">
        <v>100</v>
      </c>
      <c r="R259" s="9">
        <f t="shared" ref="R259:R322" si="5">E259/$E$1757</f>
        <v>8.1133894222288141E-4</v>
      </c>
      <c r="S259" s="55">
        <f>Tabla3[[#This Row],[Subtotal]]/12</f>
        <v>3853890.0833333335</v>
      </c>
    </row>
    <row r="260" spans="1:19" x14ac:dyDescent="0.2">
      <c r="A260" s="4">
        <v>1238</v>
      </c>
      <c r="B260" s="2">
        <v>46139792</v>
      </c>
      <c r="C260" s="2">
        <v>0</v>
      </c>
      <c r="D260" s="4" t="s">
        <v>852</v>
      </c>
      <c r="E260" s="2">
        <v>46139792</v>
      </c>
      <c r="F260" s="2">
        <v>8766560.4800000004</v>
      </c>
      <c r="G260" s="2">
        <v>0</v>
      </c>
      <c r="H260" s="4">
        <v>0</v>
      </c>
      <c r="I260" s="4">
        <v>0</v>
      </c>
      <c r="J260" s="4">
        <v>0</v>
      </c>
      <c r="K260" s="4">
        <v>54906352.479999997</v>
      </c>
      <c r="L260" s="4" t="s">
        <v>850</v>
      </c>
      <c r="M260" s="4" t="s">
        <v>851</v>
      </c>
      <c r="N260" s="4" t="s">
        <v>853</v>
      </c>
      <c r="O260" s="4" t="s">
        <v>196</v>
      </c>
      <c r="P260" s="4" t="s">
        <v>196</v>
      </c>
      <c r="Q260" s="8" t="s">
        <v>100</v>
      </c>
      <c r="R260" s="9">
        <f t="shared" si="5"/>
        <v>8.0946371125884182E-4</v>
      </c>
      <c r="S260" s="55">
        <f>Tabla3[[#This Row],[Subtotal]]/12</f>
        <v>3844982.6666666665</v>
      </c>
    </row>
    <row r="261" spans="1:19" x14ac:dyDescent="0.2">
      <c r="A261" s="4">
        <v>614</v>
      </c>
      <c r="B261" s="2">
        <v>45701067</v>
      </c>
      <c r="C261" s="2">
        <v>0</v>
      </c>
      <c r="D261" s="4" t="s">
        <v>856</v>
      </c>
      <c r="E261" s="2">
        <v>45701067</v>
      </c>
      <c r="F261" s="2">
        <v>8683202.7300000004</v>
      </c>
      <c r="G261" s="2">
        <v>0</v>
      </c>
      <c r="H261" s="4">
        <v>0</v>
      </c>
      <c r="I261" s="4">
        <v>0</v>
      </c>
      <c r="J261" s="4">
        <v>0</v>
      </c>
      <c r="K261" s="4">
        <v>54384269.729999997</v>
      </c>
      <c r="L261" s="4" t="s">
        <v>854</v>
      </c>
      <c r="M261" s="4" t="s">
        <v>855</v>
      </c>
      <c r="N261" s="4" t="s">
        <v>32</v>
      </c>
      <c r="O261" s="4" t="s">
        <v>33</v>
      </c>
      <c r="P261" s="4" t="s">
        <v>33</v>
      </c>
      <c r="Q261" s="8" t="s">
        <v>100</v>
      </c>
      <c r="R261" s="9">
        <f t="shared" si="5"/>
        <v>8.0176684156506349E-4</v>
      </c>
      <c r="S261" s="55">
        <f>Tabla3[[#This Row],[Subtotal]]/12</f>
        <v>3808422.25</v>
      </c>
    </row>
    <row r="262" spans="1:19" x14ac:dyDescent="0.2">
      <c r="A262" s="4">
        <v>1213</v>
      </c>
      <c r="B262" s="2">
        <v>45599615</v>
      </c>
      <c r="C262" s="2">
        <v>0</v>
      </c>
      <c r="D262" s="4" t="s">
        <v>859</v>
      </c>
      <c r="E262" s="2">
        <v>45599615</v>
      </c>
      <c r="F262" s="2">
        <v>8663926.8499999996</v>
      </c>
      <c r="G262" s="2">
        <v>1139990.3899999999</v>
      </c>
      <c r="H262" s="4">
        <v>0</v>
      </c>
      <c r="I262" s="4">
        <v>0</v>
      </c>
      <c r="J262" s="4">
        <v>1139990.3899999999</v>
      </c>
      <c r="K262" s="4">
        <v>53123551.460000001</v>
      </c>
      <c r="L262" s="4" t="s">
        <v>857</v>
      </c>
      <c r="M262" s="4" t="s">
        <v>858</v>
      </c>
      <c r="N262" s="4" t="s">
        <v>46</v>
      </c>
      <c r="O262" s="4" t="s">
        <v>27</v>
      </c>
      <c r="P262" s="4" t="s">
        <v>27</v>
      </c>
      <c r="Q262" s="8" t="s">
        <v>100</v>
      </c>
      <c r="R262" s="9">
        <f t="shared" si="5"/>
        <v>7.9998699582075174E-4</v>
      </c>
      <c r="S262" s="55">
        <f>Tabla3[[#This Row],[Subtotal]]/12</f>
        <v>3799967.9166666665</v>
      </c>
    </row>
    <row r="263" spans="1:19" x14ac:dyDescent="0.2">
      <c r="A263" s="4">
        <v>40</v>
      </c>
      <c r="B263" s="2">
        <v>45561890</v>
      </c>
      <c r="C263" s="2">
        <v>0</v>
      </c>
      <c r="D263" s="4" t="s">
        <v>862</v>
      </c>
      <c r="E263" s="2">
        <v>45561890</v>
      </c>
      <c r="F263" s="2">
        <v>8656759.0999999996</v>
      </c>
      <c r="G263" s="2">
        <v>1029169.55</v>
      </c>
      <c r="H263" s="4">
        <v>0</v>
      </c>
      <c r="I263" s="4">
        <v>0</v>
      </c>
      <c r="J263" s="4">
        <v>1029169.55</v>
      </c>
      <c r="K263" s="4">
        <v>53189479.549999997</v>
      </c>
      <c r="L263" s="4" t="s">
        <v>860</v>
      </c>
      <c r="M263" s="4" t="s">
        <v>861</v>
      </c>
      <c r="N263" s="4" t="s">
        <v>863</v>
      </c>
      <c r="O263" s="4" t="s">
        <v>59</v>
      </c>
      <c r="P263" s="4" t="s">
        <v>59</v>
      </c>
      <c r="Q263" s="8" t="s">
        <v>100</v>
      </c>
      <c r="R263" s="9">
        <f t="shared" si="5"/>
        <v>7.993251588860027E-4</v>
      </c>
      <c r="S263" s="55">
        <f>Tabla3[[#This Row],[Subtotal]]/12</f>
        <v>3796824.1666666665</v>
      </c>
    </row>
    <row r="264" spans="1:19" x14ac:dyDescent="0.2">
      <c r="A264" s="4">
        <v>357</v>
      </c>
      <c r="B264" s="2">
        <v>45371398</v>
      </c>
      <c r="C264" s="2">
        <v>0</v>
      </c>
      <c r="D264" s="4" t="s">
        <v>866</v>
      </c>
      <c r="E264" s="2">
        <v>45371398</v>
      </c>
      <c r="F264" s="2">
        <v>8620565.6199999992</v>
      </c>
      <c r="G264" s="2">
        <v>1134284.95</v>
      </c>
      <c r="H264" s="4">
        <v>1293084.8400000001</v>
      </c>
      <c r="I264" s="4">
        <v>0</v>
      </c>
      <c r="J264" s="4">
        <v>2427369.79</v>
      </c>
      <c r="K264" s="4">
        <v>51564593.829999998</v>
      </c>
      <c r="L264" s="4" t="s">
        <v>864</v>
      </c>
      <c r="M264" s="4" t="s">
        <v>865</v>
      </c>
      <c r="N264" s="4" t="s">
        <v>867</v>
      </c>
      <c r="O264" s="4" t="s">
        <v>21</v>
      </c>
      <c r="P264" s="4" t="s">
        <v>21</v>
      </c>
      <c r="Q264" s="8" t="s">
        <v>28</v>
      </c>
      <c r="R264" s="9">
        <f t="shared" si="5"/>
        <v>7.9598322008217969E-4</v>
      </c>
      <c r="S264" s="55">
        <f>Tabla3[[#This Row],[Subtotal]]/12</f>
        <v>3780949.8333333335</v>
      </c>
    </row>
    <row r="265" spans="1:19" x14ac:dyDescent="0.2">
      <c r="A265" s="4">
        <v>20</v>
      </c>
      <c r="B265" s="2">
        <v>45183028</v>
      </c>
      <c r="C265" s="2">
        <v>0</v>
      </c>
      <c r="D265" s="4" t="s">
        <v>869</v>
      </c>
      <c r="E265" s="2">
        <v>45183028</v>
      </c>
      <c r="F265" s="2">
        <v>8584775.3200000003</v>
      </c>
      <c r="G265" s="2">
        <v>1129575.7</v>
      </c>
      <c r="H265" s="4">
        <v>1287716.3</v>
      </c>
      <c r="I265" s="4">
        <v>0</v>
      </c>
      <c r="J265" s="4">
        <v>2417292</v>
      </c>
      <c r="K265" s="4">
        <v>51350511.32</v>
      </c>
      <c r="L265" s="4" t="s">
        <v>868</v>
      </c>
      <c r="M265" s="4" t="s">
        <v>146</v>
      </c>
      <c r="N265" s="4" t="s">
        <v>112</v>
      </c>
      <c r="O265" s="4" t="s">
        <v>113</v>
      </c>
      <c r="P265" s="4" t="s">
        <v>113</v>
      </c>
      <c r="Q265" s="8" t="s">
        <v>28</v>
      </c>
      <c r="R265" s="9">
        <f t="shared" si="5"/>
        <v>7.9267850905769509E-4</v>
      </c>
      <c r="S265" s="55">
        <f>Tabla3[[#This Row],[Subtotal]]/12</f>
        <v>3765252.3333333335</v>
      </c>
    </row>
    <row r="266" spans="1:19" x14ac:dyDescent="0.2">
      <c r="A266" s="4">
        <v>183</v>
      </c>
      <c r="B266" s="2">
        <v>45143756</v>
      </c>
      <c r="C266" s="2">
        <v>85977.78</v>
      </c>
      <c r="D266" s="4" t="s">
        <v>872</v>
      </c>
      <c r="E266" s="2">
        <v>45057778.219999999</v>
      </c>
      <c r="F266" s="2">
        <v>8560977.8599999994</v>
      </c>
      <c r="G266" s="2">
        <v>1081697.45</v>
      </c>
      <c r="H266" s="4">
        <v>0</v>
      </c>
      <c r="I266" s="4">
        <v>0</v>
      </c>
      <c r="J266" s="4">
        <v>1081697.45</v>
      </c>
      <c r="K266" s="4">
        <v>52537058.630000003</v>
      </c>
      <c r="L266" s="4" t="s">
        <v>870</v>
      </c>
      <c r="M266" s="4" t="s">
        <v>871</v>
      </c>
      <c r="N266" s="4" t="s">
        <v>88</v>
      </c>
      <c r="O266" s="4" t="s">
        <v>89</v>
      </c>
      <c r="P266" s="4" t="s">
        <v>89</v>
      </c>
      <c r="Q266" s="8" t="s">
        <v>100</v>
      </c>
      <c r="R266" s="9">
        <f t="shared" si="5"/>
        <v>7.904811616627793E-4</v>
      </c>
      <c r="S266" s="55">
        <f>Tabla3[[#This Row],[Subtotal]]/12</f>
        <v>3754814.8516666666</v>
      </c>
    </row>
    <row r="267" spans="1:19" x14ac:dyDescent="0.2">
      <c r="A267" s="4">
        <v>1536</v>
      </c>
      <c r="B267" s="2">
        <v>44568372</v>
      </c>
      <c r="C267" s="2">
        <v>0</v>
      </c>
      <c r="D267" s="4" t="s">
        <v>875</v>
      </c>
      <c r="E267" s="2">
        <v>44568372</v>
      </c>
      <c r="F267" s="2">
        <v>8467990.6799999997</v>
      </c>
      <c r="G267" s="2">
        <v>1114209.32</v>
      </c>
      <c r="H267" s="4">
        <v>0</v>
      </c>
      <c r="I267" s="4">
        <v>0</v>
      </c>
      <c r="J267" s="4">
        <v>1114209.32</v>
      </c>
      <c r="K267" s="4">
        <v>51922153.359999999</v>
      </c>
      <c r="L267" s="4" t="s">
        <v>873</v>
      </c>
      <c r="M267" s="4" t="s">
        <v>874</v>
      </c>
      <c r="N267" s="4" t="s">
        <v>714</v>
      </c>
      <c r="O267" s="4" t="s">
        <v>382</v>
      </c>
      <c r="P267" s="4" t="s">
        <v>382</v>
      </c>
      <c r="Q267" s="8" t="s">
        <v>100</v>
      </c>
      <c r="R267" s="9">
        <f t="shared" si="5"/>
        <v>7.8189515470474273E-4</v>
      </c>
      <c r="S267" s="55">
        <f>Tabla3[[#This Row],[Subtotal]]/12</f>
        <v>3714031</v>
      </c>
    </row>
    <row r="268" spans="1:19" x14ac:dyDescent="0.2">
      <c r="A268" s="4">
        <v>621</v>
      </c>
      <c r="B268" s="2">
        <v>44447966</v>
      </c>
      <c r="C268" s="2">
        <v>0</v>
      </c>
      <c r="D268" s="4" t="s">
        <v>878</v>
      </c>
      <c r="E268" s="2">
        <v>44447966</v>
      </c>
      <c r="F268" s="2">
        <v>8445113.5399999991</v>
      </c>
      <c r="G268" s="2">
        <v>942934.8</v>
      </c>
      <c r="H268" s="4">
        <v>0</v>
      </c>
      <c r="I268" s="4">
        <v>0</v>
      </c>
      <c r="J268" s="4">
        <v>942934.8</v>
      </c>
      <c r="K268" s="4">
        <v>51950144.740000002</v>
      </c>
      <c r="L268" s="4" t="s">
        <v>876</v>
      </c>
      <c r="M268" s="4" t="s">
        <v>877</v>
      </c>
      <c r="N268" s="4" t="s">
        <v>272</v>
      </c>
      <c r="O268" s="4" t="s">
        <v>89</v>
      </c>
      <c r="P268" s="4" t="s">
        <v>89</v>
      </c>
      <c r="Q268" s="8" t="s">
        <v>100</v>
      </c>
      <c r="R268" s="9">
        <f t="shared" si="5"/>
        <v>7.7978278524243935E-4</v>
      </c>
      <c r="S268" s="55">
        <f>Tabla3[[#This Row],[Subtotal]]/12</f>
        <v>3703997.1666666665</v>
      </c>
    </row>
    <row r="269" spans="1:19" x14ac:dyDescent="0.2">
      <c r="A269" s="4">
        <v>918</v>
      </c>
      <c r="B269" s="2">
        <v>43895193</v>
      </c>
      <c r="C269" s="2">
        <v>0</v>
      </c>
      <c r="D269" s="4" t="s">
        <v>881</v>
      </c>
      <c r="E269" s="2">
        <v>43895193</v>
      </c>
      <c r="F269" s="2">
        <v>8340086.6699999999</v>
      </c>
      <c r="G269" s="2">
        <v>1080024.8600000001</v>
      </c>
      <c r="H269" s="4">
        <v>0</v>
      </c>
      <c r="I269" s="4">
        <v>0</v>
      </c>
      <c r="J269" s="4">
        <v>1080024.8600000001</v>
      </c>
      <c r="K269" s="4">
        <v>51155254.810000002</v>
      </c>
      <c r="L269" s="4" t="s">
        <v>879</v>
      </c>
      <c r="M269" s="4" t="s">
        <v>880</v>
      </c>
      <c r="N269" s="4" t="s">
        <v>464</v>
      </c>
      <c r="O269" s="4" t="s">
        <v>105</v>
      </c>
      <c r="P269" s="4" t="s">
        <v>105</v>
      </c>
      <c r="Q269" s="8" t="s">
        <v>100</v>
      </c>
      <c r="R269" s="9">
        <f t="shared" si="5"/>
        <v>7.7008508907459178E-4</v>
      </c>
      <c r="S269" s="55">
        <f>Tabla3[[#This Row],[Subtotal]]/12</f>
        <v>3657932.75</v>
      </c>
    </row>
    <row r="270" spans="1:19" x14ac:dyDescent="0.2">
      <c r="A270" s="4">
        <v>72</v>
      </c>
      <c r="B270" s="2">
        <v>43854090</v>
      </c>
      <c r="C270" s="2">
        <v>0</v>
      </c>
      <c r="D270" s="4" t="s">
        <v>884</v>
      </c>
      <c r="E270" s="2">
        <v>43854090</v>
      </c>
      <c r="F270" s="2">
        <v>8332277.0999999996</v>
      </c>
      <c r="G270" s="2">
        <v>1081199.76</v>
      </c>
      <c r="H270" s="4">
        <v>0</v>
      </c>
      <c r="I270" s="4">
        <v>0</v>
      </c>
      <c r="J270" s="4">
        <v>1081199.76</v>
      </c>
      <c r="K270" s="4">
        <v>51105167.340000004</v>
      </c>
      <c r="L270" s="4" t="s">
        <v>882</v>
      </c>
      <c r="M270" s="4" t="s">
        <v>883</v>
      </c>
      <c r="N270" s="4" t="s">
        <v>172</v>
      </c>
      <c r="O270" s="4" t="s">
        <v>173</v>
      </c>
      <c r="P270" s="4" t="s">
        <v>173</v>
      </c>
      <c r="Q270" s="8" t="s">
        <v>100</v>
      </c>
      <c r="R270" s="9">
        <f t="shared" si="5"/>
        <v>7.6936398944492997E-4</v>
      </c>
      <c r="S270" s="55">
        <f>Tabla3[[#This Row],[Subtotal]]/12</f>
        <v>3654507.5</v>
      </c>
    </row>
    <row r="271" spans="1:19" x14ac:dyDescent="0.2">
      <c r="A271" s="4">
        <v>1598</v>
      </c>
      <c r="B271" s="2">
        <v>44229252</v>
      </c>
      <c r="C271" s="2">
        <v>734932.53</v>
      </c>
      <c r="D271" s="4" t="s">
        <v>886</v>
      </c>
      <c r="E271" s="2">
        <v>43494319.469999999</v>
      </c>
      <c r="F271" s="2">
        <v>8263920.7199999997</v>
      </c>
      <c r="G271" s="2">
        <v>690885.99</v>
      </c>
      <c r="H271" s="4">
        <v>1157513.92</v>
      </c>
      <c r="I271" s="4">
        <v>0</v>
      </c>
      <c r="J271" s="4">
        <v>1848399.91</v>
      </c>
      <c r="K271" s="4">
        <v>49909840.280000001</v>
      </c>
      <c r="L271" s="4" t="s">
        <v>885</v>
      </c>
      <c r="M271" s="4" t="s">
        <v>61</v>
      </c>
      <c r="N271" s="4" t="s">
        <v>32</v>
      </c>
      <c r="O271" s="4" t="s">
        <v>33</v>
      </c>
      <c r="P271" s="4" t="s">
        <v>33</v>
      </c>
      <c r="Q271" s="8" t="s">
        <v>28</v>
      </c>
      <c r="R271" s="9">
        <f t="shared" si="5"/>
        <v>7.6305227507015856E-4</v>
      </c>
      <c r="S271" s="55">
        <f>Tabla3[[#This Row],[Subtotal]]/12</f>
        <v>3624526.6225000001</v>
      </c>
    </row>
    <row r="272" spans="1:19" x14ac:dyDescent="0.2">
      <c r="A272" s="4">
        <v>1250</v>
      </c>
      <c r="B272" s="2">
        <v>44004966</v>
      </c>
      <c r="C272" s="2">
        <v>776233.2</v>
      </c>
      <c r="D272" s="4" t="s">
        <v>888</v>
      </c>
      <c r="E272" s="2">
        <v>43228732.799999997</v>
      </c>
      <c r="F272" s="2">
        <v>8213459.2300000004</v>
      </c>
      <c r="G272" s="2">
        <v>1014364.07</v>
      </c>
      <c r="H272" s="4">
        <v>0</v>
      </c>
      <c r="I272" s="4">
        <v>0</v>
      </c>
      <c r="J272" s="4">
        <v>1014364.07</v>
      </c>
      <c r="K272" s="4">
        <v>50427827.960000001</v>
      </c>
      <c r="L272" s="4" t="s">
        <v>887</v>
      </c>
      <c r="M272" s="4" t="s">
        <v>417</v>
      </c>
      <c r="N272" s="4" t="s">
        <v>20</v>
      </c>
      <c r="O272" s="4" t="s">
        <v>257</v>
      </c>
      <c r="P272" s="4" t="s">
        <v>257</v>
      </c>
      <c r="Q272" s="8" t="s">
        <v>28</v>
      </c>
      <c r="R272" s="9">
        <f t="shared" si="5"/>
        <v>7.5839289620778581E-4</v>
      </c>
      <c r="S272" s="55">
        <f>Tabla3[[#This Row],[Subtotal]]/12</f>
        <v>3602394.4</v>
      </c>
    </row>
    <row r="273" spans="1:19" x14ac:dyDescent="0.2">
      <c r="A273" s="4">
        <v>616</v>
      </c>
      <c r="B273" s="2">
        <v>42721139</v>
      </c>
      <c r="C273" s="2">
        <v>0</v>
      </c>
      <c r="D273" s="4" t="s">
        <v>891</v>
      </c>
      <c r="E273" s="2">
        <v>42721139</v>
      </c>
      <c r="F273" s="2">
        <v>8117016.4100000001</v>
      </c>
      <c r="G273" s="2">
        <v>1016463.45</v>
      </c>
      <c r="H273" s="4">
        <v>0</v>
      </c>
      <c r="I273" s="4">
        <v>0</v>
      </c>
      <c r="J273" s="4">
        <v>1016463.45</v>
      </c>
      <c r="K273" s="4">
        <v>49821691.960000001</v>
      </c>
      <c r="L273" s="4" t="s">
        <v>889</v>
      </c>
      <c r="M273" s="4" t="s">
        <v>890</v>
      </c>
      <c r="N273" s="4" t="s">
        <v>819</v>
      </c>
      <c r="O273" s="4" t="s">
        <v>93</v>
      </c>
      <c r="P273" s="4" t="s">
        <v>93</v>
      </c>
      <c r="Q273" s="8" t="s">
        <v>100</v>
      </c>
      <c r="R273" s="9">
        <f t="shared" si="5"/>
        <v>7.4948781139162583E-4</v>
      </c>
      <c r="S273" s="55">
        <f>Tabla3[[#This Row],[Subtotal]]/12</f>
        <v>3560094.9166666665</v>
      </c>
    </row>
    <row r="274" spans="1:19" x14ac:dyDescent="0.2">
      <c r="A274" s="4">
        <v>24</v>
      </c>
      <c r="B274" s="2">
        <v>42586390</v>
      </c>
      <c r="C274" s="2">
        <v>0</v>
      </c>
      <c r="D274" s="4" t="s">
        <v>893</v>
      </c>
      <c r="E274" s="2">
        <v>42586390</v>
      </c>
      <c r="F274" s="2">
        <v>8091414.0999999996</v>
      </c>
      <c r="G274" s="2">
        <v>1064659.75</v>
      </c>
      <c r="H274" s="4">
        <v>1213712.1200000001</v>
      </c>
      <c r="I274" s="4">
        <v>0</v>
      </c>
      <c r="J274" s="4">
        <v>2278371.87</v>
      </c>
      <c r="K274" s="4">
        <v>48399432.229999997</v>
      </c>
      <c r="L274" s="4" t="s">
        <v>892</v>
      </c>
      <c r="M274" s="4" t="s">
        <v>146</v>
      </c>
      <c r="N274" s="4" t="s">
        <v>46</v>
      </c>
      <c r="O274" s="4" t="s">
        <v>27</v>
      </c>
      <c r="P274" s="4" t="s">
        <v>27</v>
      </c>
      <c r="Q274" s="8" t="s">
        <v>28</v>
      </c>
      <c r="R274" s="9">
        <f t="shared" si="5"/>
        <v>7.4712381231619839E-4</v>
      </c>
      <c r="S274" s="55">
        <f>Tabla3[[#This Row],[Subtotal]]/12</f>
        <v>3548865.8333333335</v>
      </c>
    </row>
    <row r="275" spans="1:19" x14ac:dyDescent="0.2">
      <c r="A275" s="4">
        <v>345</v>
      </c>
      <c r="B275" s="2">
        <v>41811449</v>
      </c>
      <c r="C275" s="2">
        <v>0</v>
      </c>
      <c r="D275" s="4" t="s">
        <v>896</v>
      </c>
      <c r="E275" s="2">
        <v>41811449</v>
      </c>
      <c r="F275" s="2">
        <v>7944175.3099999996</v>
      </c>
      <c r="G275" s="2">
        <v>1045286.25</v>
      </c>
      <c r="H275" s="4">
        <v>0</v>
      </c>
      <c r="I275" s="4">
        <v>0</v>
      </c>
      <c r="J275" s="4">
        <v>1045286.25</v>
      </c>
      <c r="K275" s="4">
        <v>48710338.060000002</v>
      </c>
      <c r="L275" s="4" t="s">
        <v>894</v>
      </c>
      <c r="M275" s="4" t="s">
        <v>895</v>
      </c>
      <c r="N275" s="4" t="s">
        <v>20</v>
      </c>
      <c r="O275" s="4" t="s">
        <v>386</v>
      </c>
      <c r="P275" s="4" t="s">
        <v>386</v>
      </c>
      <c r="Q275" s="8" t="s">
        <v>585</v>
      </c>
      <c r="R275" s="9">
        <f t="shared" si="5"/>
        <v>7.3352846238773227E-4</v>
      </c>
      <c r="S275" s="55">
        <f>Tabla3[[#This Row],[Subtotal]]/12</f>
        <v>3484287.4166666665</v>
      </c>
    </row>
    <row r="276" spans="1:19" x14ac:dyDescent="0.2">
      <c r="A276" s="4">
        <v>1635</v>
      </c>
      <c r="B276" s="2">
        <v>41779110.829999998</v>
      </c>
      <c r="C276" s="2">
        <v>0</v>
      </c>
      <c r="D276" s="4" t="s">
        <v>899</v>
      </c>
      <c r="E276" s="2">
        <v>41779110.829999998</v>
      </c>
      <c r="F276" s="2">
        <v>7938031.0499999998</v>
      </c>
      <c r="G276" s="2">
        <v>1044477.78</v>
      </c>
      <c r="H276" s="4">
        <v>0</v>
      </c>
      <c r="I276" s="4">
        <v>0</v>
      </c>
      <c r="J276" s="4">
        <v>1044477.78</v>
      </c>
      <c r="K276" s="4">
        <v>48672664.100000001</v>
      </c>
      <c r="L276" s="4" t="s">
        <v>897</v>
      </c>
      <c r="M276" s="4" t="s">
        <v>898</v>
      </c>
      <c r="N276" s="4" t="s">
        <v>88</v>
      </c>
      <c r="O276" s="4" t="s">
        <v>900</v>
      </c>
      <c r="P276" s="4" t="s">
        <v>900</v>
      </c>
      <c r="Q276" s="8" t="s">
        <v>144</v>
      </c>
      <c r="R276" s="9">
        <f t="shared" si="5"/>
        <v>7.3296113050414858E-4</v>
      </c>
      <c r="S276" s="55">
        <f>Tabla3[[#This Row],[Subtotal]]/12</f>
        <v>3481592.5691666664</v>
      </c>
    </row>
    <row r="277" spans="1:19" x14ac:dyDescent="0.2">
      <c r="A277" s="4">
        <v>1282</v>
      </c>
      <c r="B277" s="2">
        <v>41675522</v>
      </c>
      <c r="C277" s="2">
        <v>0</v>
      </c>
      <c r="D277" s="4" t="s">
        <v>903</v>
      </c>
      <c r="E277" s="2">
        <v>41675522</v>
      </c>
      <c r="F277" s="2">
        <v>7918349.1799999997</v>
      </c>
      <c r="G277" s="2">
        <v>0</v>
      </c>
      <c r="H277" s="4">
        <v>0</v>
      </c>
      <c r="I277" s="4">
        <v>0</v>
      </c>
      <c r="J277" s="4">
        <v>0</v>
      </c>
      <c r="K277" s="4">
        <v>49593871.18</v>
      </c>
      <c r="L277" s="4" t="s">
        <v>901</v>
      </c>
      <c r="M277" s="4" t="s">
        <v>902</v>
      </c>
      <c r="N277" s="4" t="s">
        <v>58</v>
      </c>
      <c r="O277" s="4" t="s">
        <v>59</v>
      </c>
      <c r="P277" s="4" t="s">
        <v>59</v>
      </c>
      <c r="Q277" s="8" t="s">
        <v>100</v>
      </c>
      <c r="R277" s="9">
        <f t="shared" si="5"/>
        <v>7.3114379680709249E-4</v>
      </c>
      <c r="S277" s="55">
        <f>Tabla3[[#This Row],[Subtotal]]/12</f>
        <v>3472960.1666666665</v>
      </c>
    </row>
    <row r="278" spans="1:19" x14ac:dyDescent="0.2">
      <c r="A278" s="4">
        <v>1309</v>
      </c>
      <c r="B278" s="2">
        <v>41017123</v>
      </c>
      <c r="C278" s="2">
        <v>0</v>
      </c>
      <c r="D278" s="4" t="s">
        <v>906</v>
      </c>
      <c r="E278" s="2">
        <v>41017123</v>
      </c>
      <c r="F278" s="2">
        <v>7793253.3700000001</v>
      </c>
      <c r="G278" s="2">
        <v>1025428.1</v>
      </c>
      <c r="H278" s="4">
        <v>0</v>
      </c>
      <c r="I278" s="4">
        <v>0</v>
      </c>
      <c r="J278" s="4">
        <v>1025428.1</v>
      </c>
      <c r="K278" s="4">
        <v>47784948.270000003</v>
      </c>
      <c r="L278" s="4" t="s">
        <v>904</v>
      </c>
      <c r="M278" s="4" t="s">
        <v>905</v>
      </c>
      <c r="N278" s="4" t="s">
        <v>58</v>
      </c>
      <c r="O278" s="4" t="s">
        <v>59</v>
      </c>
      <c r="P278" s="4" t="s">
        <v>59</v>
      </c>
      <c r="Q278" s="8" t="s">
        <v>100</v>
      </c>
      <c r="R278" s="9">
        <f t="shared" si="5"/>
        <v>7.1959302739683787E-4</v>
      </c>
      <c r="S278" s="55">
        <f>Tabla3[[#This Row],[Subtotal]]/12</f>
        <v>3418093.5833333335</v>
      </c>
    </row>
    <row r="279" spans="1:19" x14ac:dyDescent="0.2">
      <c r="A279" s="4">
        <v>423</v>
      </c>
      <c r="B279" s="2">
        <v>40881479</v>
      </c>
      <c r="C279" s="2">
        <v>0</v>
      </c>
      <c r="D279" s="4" t="s">
        <v>909</v>
      </c>
      <c r="E279" s="2">
        <v>40881479</v>
      </c>
      <c r="F279" s="2">
        <v>7767481.0099999998</v>
      </c>
      <c r="G279" s="2">
        <v>0</v>
      </c>
      <c r="H279" s="4">
        <v>0</v>
      </c>
      <c r="I279" s="4">
        <v>0</v>
      </c>
      <c r="J279" s="4">
        <v>0</v>
      </c>
      <c r="K279" s="4">
        <v>48648960.009999998</v>
      </c>
      <c r="L279" s="4" t="s">
        <v>907</v>
      </c>
      <c r="M279" s="4" t="s">
        <v>908</v>
      </c>
      <c r="N279" s="4" t="s">
        <v>20</v>
      </c>
      <c r="O279" s="4" t="s">
        <v>316</v>
      </c>
      <c r="P279" s="4" t="s">
        <v>316</v>
      </c>
      <c r="Q279" s="8" t="s">
        <v>100</v>
      </c>
      <c r="R279" s="9">
        <f t="shared" si="5"/>
        <v>7.1721332668969132E-4</v>
      </c>
      <c r="S279" s="55">
        <f>Tabla3[[#This Row],[Subtotal]]/12</f>
        <v>3406789.9166666665</v>
      </c>
    </row>
    <row r="280" spans="1:19" x14ac:dyDescent="0.2">
      <c r="A280" s="4">
        <v>1368</v>
      </c>
      <c r="B280" s="2">
        <v>40854994</v>
      </c>
      <c r="C280" s="2">
        <v>0</v>
      </c>
      <c r="D280" s="4" t="s">
        <v>912</v>
      </c>
      <c r="E280" s="2">
        <v>40854994</v>
      </c>
      <c r="F280" s="2">
        <v>7762448.8600000003</v>
      </c>
      <c r="G280" s="2">
        <v>1001824.61</v>
      </c>
      <c r="H280" s="4">
        <v>0</v>
      </c>
      <c r="I280" s="4">
        <v>0</v>
      </c>
      <c r="J280" s="4">
        <v>1001824.61</v>
      </c>
      <c r="K280" s="4">
        <v>47615618.25</v>
      </c>
      <c r="L280" s="4" t="s">
        <v>910</v>
      </c>
      <c r="M280" s="4" t="s">
        <v>911</v>
      </c>
      <c r="N280" s="4" t="s">
        <v>20</v>
      </c>
      <c r="O280" s="4" t="s">
        <v>359</v>
      </c>
      <c r="P280" s="4" t="s">
        <v>359</v>
      </c>
      <c r="Q280" s="8" t="s">
        <v>100</v>
      </c>
      <c r="R280" s="9">
        <f t="shared" si="5"/>
        <v>7.1674868119686618E-4</v>
      </c>
      <c r="S280" s="55">
        <f>Tabla3[[#This Row],[Subtotal]]/12</f>
        <v>3404582.8333333335</v>
      </c>
    </row>
    <row r="281" spans="1:19" x14ac:dyDescent="0.2">
      <c r="A281" s="4">
        <v>346</v>
      </c>
      <c r="B281" s="2">
        <v>40476706</v>
      </c>
      <c r="C281" s="2">
        <v>0</v>
      </c>
      <c r="D281" s="4" t="s">
        <v>915</v>
      </c>
      <c r="E281" s="2">
        <v>40476706</v>
      </c>
      <c r="F281" s="2">
        <v>7690574.1399999997</v>
      </c>
      <c r="G281" s="2">
        <v>894351</v>
      </c>
      <c r="H281" s="4">
        <v>0</v>
      </c>
      <c r="I281" s="4">
        <v>0</v>
      </c>
      <c r="J281" s="4">
        <v>894351</v>
      </c>
      <c r="K281" s="4">
        <v>47272929.140000001</v>
      </c>
      <c r="L281" s="4" t="s">
        <v>913</v>
      </c>
      <c r="M281" s="4" t="s">
        <v>914</v>
      </c>
      <c r="N281" s="4" t="s">
        <v>58</v>
      </c>
      <c r="O281" s="4" t="s">
        <v>59</v>
      </c>
      <c r="P281" s="4" t="s">
        <v>59</v>
      </c>
      <c r="Q281" s="8" t="s">
        <v>100</v>
      </c>
      <c r="R281" s="9">
        <f t="shared" si="5"/>
        <v>7.1011210146532588E-4</v>
      </c>
      <c r="S281" s="55">
        <f>Tabla3[[#This Row],[Subtotal]]/12</f>
        <v>3373058.8333333335</v>
      </c>
    </row>
    <row r="282" spans="1:19" x14ac:dyDescent="0.2">
      <c r="A282" s="4">
        <v>358</v>
      </c>
      <c r="B282" s="2">
        <v>40338732</v>
      </c>
      <c r="C282" s="2">
        <v>0</v>
      </c>
      <c r="D282" s="4" t="s">
        <v>918</v>
      </c>
      <c r="E282" s="2">
        <v>40338732</v>
      </c>
      <c r="F282" s="2">
        <v>7664359.0800000001</v>
      </c>
      <c r="G282" s="2">
        <v>453190.03</v>
      </c>
      <c r="H282" s="4">
        <v>0</v>
      </c>
      <c r="I282" s="4">
        <v>0</v>
      </c>
      <c r="J282" s="4">
        <v>453190.03</v>
      </c>
      <c r="K282" s="4">
        <v>47549901.049999997</v>
      </c>
      <c r="L282" s="4" t="s">
        <v>916</v>
      </c>
      <c r="M282" s="4" t="s">
        <v>917</v>
      </c>
      <c r="N282" s="4" t="s">
        <v>20</v>
      </c>
      <c r="O282" s="4" t="s">
        <v>316</v>
      </c>
      <c r="P282" s="4" t="s">
        <v>316</v>
      </c>
      <c r="Q282" s="8" t="s">
        <v>100</v>
      </c>
      <c r="R282" s="9">
        <f t="shared" si="5"/>
        <v>7.0769152388454207E-4</v>
      </c>
      <c r="S282" s="55">
        <f>Tabla3[[#This Row],[Subtotal]]/12</f>
        <v>3361561</v>
      </c>
    </row>
    <row r="283" spans="1:19" x14ac:dyDescent="0.2">
      <c r="A283" s="4">
        <v>82</v>
      </c>
      <c r="B283" s="2">
        <v>40286192</v>
      </c>
      <c r="C283" s="2">
        <v>0</v>
      </c>
      <c r="D283" s="4" t="s">
        <v>921</v>
      </c>
      <c r="E283" s="2">
        <v>40286192</v>
      </c>
      <c r="F283" s="2">
        <v>7654376.4800000004</v>
      </c>
      <c r="G283" s="2">
        <v>0</v>
      </c>
      <c r="H283" s="4">
        <v>0</v>
      </c>
      <c r="I283" s="4">
        <v>0</v>
      </c>
      <c r="J283" s="4">
        <v>0</v>
      </c>
      <c r="K283" s="4">
        <v>47940568.479999997</v>
      </c>
      <c r="L283" s="4" t="s">
        <v>919</v>
      </c>
      <c r="M283" s="4" t="s">
        <v>920</v>
      </c>
      <c r="N283" s="4" t="s">
        <v>92</v>
      </c>
      <c r="O283" s="4" t="s">
        <v>93</v>
      </c>
      <c r="P283" s="4" t="s">
        <v>93</v>
      </c>
      <c r="Q283" s="8" t="s">
        <v>100</v>
      </c>
      <c r="R283" s="9">
        <f t="shared" si="5"/>
        <v>7.0676977669960599E-4</v>
      </c>
      <c r="S283" s="55">
        <f>Tabla3[[#This Row],[Subtotal]]/12</f>
        <v>3357182.6666666665</v>
      </c>
    </row>
    <row r="284" spans="1:19" x14ac:dyDescent="0.2">
      <c r="A284" s="4">
        <v>595</v>
      </c>
      <c r="B284" s="2">
        <v>40271134</v>
      </c>
      <c r="C284" s="2">
        <v>0</v>
      </c>
      <c r="D284" s="4" t="s">
        <v>924</v>
      </c>
      <c r="E284" s="2">
        <v>40271134</v>
      </c>
      <c r="F284" s="2">
        <v>7651515.46</v>
      </c>
      <c r="G284" s="2">
        <v>861903.83</v>
      </c>
      <c r="H284" s="4">
        <v>0</v>
      </c>
      <c r="I284" s="4">
        <v>0</v>
      </c>
      <c r="J284" s="4">
        <v>861903.83</v>
      </c>
      <c r="K284" s="4">
        <v>47060745.630000003</v>
      </c>
      <c r="L284" s="4" t="s">
        <v>922</v>
      </c>
      <c r="M284" s="4" t="s">
        <v>923</v>
      </c>
      <c r="N284" s="4" t="s">
        <v>20</v>
      </c>
      <c r="O284" s="4" t="s">
        <v>925</v>
      </c>
      <c r="P284" s="4" t="s">
        <v>925</v>
      </c>
      <c r="Q284" s="8" t="s">
        <v>100</v>
      </c>
      <c r="R284" s="9">
        <f t="shared" si="5"/>
        <v>7.0650560332482918E-4</v>
      </c>
      <c r="S284" s="55">
        <f>Tabla3[[#This Row],[Subtotal]]/12</f>
        <v>3355927.8333333335</v>
      </c>
    </row>
    <row r="285" spans="1:19" x14ac:dyDescent="0.2">
      <c r="A285" s="4">
        <v>931</v>
      </c>
      <c r="B285" s="2">
        <v>40227638</v>
      </c>
      <c r="C285" s="2">
        <v>0</v>
      </c>
      <c r="D285" s="4" t="s">
        <v>928</v>
      </c>
      <c r="E285" s="2">
        <v>40227638</v>
      </c>
      <c r="F285" s="2">
        <v>7643251.2199999997</v>
      </c>
      <c r="G285" s="2">
        <v>916802.62</v>
      </c>
      <c r="H285" s="4">
        <v>0</v>
      </c>
      <c r="I285" s="4">
        <v>0</v>
      </c>
      <c r="J285" s="4">
        <v>916802.62</v>
      </c>
      <c r="K285" s="4">
        <v>46954086.600000001</v>
      </c>
      <c r="L285" s="4" t="s">
        <v>926</v>
      </c>
      <c r="M285" s="4" t="s">
        <v>927</v>
      </c>
      <c r="N285" s="4" t="s">
        <v>124</v>
      </c>
      <c r="O285" s="4" t="s">
        <v>33</v>
      </c>
      <c r="P285" s="4" t="s">
        <v>33</v>
      </c>
      <c r="Q285" s="8" t="s">
        <v>100</v>
      </c>
      <c r="R285" s="9">
        <f t="shared" si="5"/>
        <v>7.057425215670069E-4</v>
      </c>
      <c r="S285" s="55">
        <f>Tabla3[[#This Row],[Subtotal]]/12</f>
        <v>3352303.1666666665</v>
      </c>
    </row>
    <row r="286" spans="1:19" x14ac:dyDescent="0.2">
      <c r="A286" s="4">
        <v>1600</v>
      </c>
      <c r="B286" s="2">
        <v>40175713</v>
      </c>
      <c r="C286" s="2">
        <v>0</v>
      </c>
      <c r="D286" s="4" t="s">
        <v>930</v>
      </c>
      <c r="E286" s="2">
        <v>40175713</v>
      </c>
      <c r="F286" s="2">
        <v>7633385.4699999997</v>
      </c>
      <c r="G286" s="2">
        <v>835311.24</v>
      </c>
      <c r="H286" s="4">
        <v>-1427.42</v>
      </c>
      <c r="I286" s="4">
        <v>0</v>
      </c>
      <c r="J286" s="4">
        <v>833883.82</v>
      </c>
      <c r="K286" s="4">
        <v>46975214.649999999</v>
      </c>
      <c r="L286" s="4" t="s">
        <v>929</v>
      </c>
      <c r="M286" s="4" t="s">
        <v>61</v>
      </c>
      <c r="N286" s="4" t="s">
        <v>124</v>
      </c>
      <c r="O286" s="4" t="s">
        <v>33</v>
      </c>
      <c r="P286" s="4" t="s">
        <v>33</v>
      </c>
      <c r="Q286" s="8" t="s">
        <v>28</v>
      </c>
      <c r="R286" s="9">
        <f t="shared" si="5"/>
        <v>7.0483156377146436E-4</v>
      </c>
      <c r="S286" s="55">
        <f>Tabla3[[#This Row],[Subtotal]]/12</f>
        <v>3347976.0833333335</v>
      </c>
    </row>
    <row r="287" spans="1:19" x14ac:dyDescent="0.2">
      <c r="A287" s="4">
        <v>1032</v>
      </c>
      <c r="B287" s="2">
        <v>39941622</v>
      </c>
      <c r="C287" s="2">
        <v>0</v>
      </c>
      <c r="D287" s="4" t="s">
        <v>932</v>
      </c>
      <c r="E287" s="2">
        <v>39941622</v>
      </c>
      <c r="F287" s="2">
        <v>7588908.1799999997</v>
      </c>
      <c r="G287" s="2">
        <v>962959.95</v>
      </c>
      <c r="H287" s="4">
        <v>1138336.24</v>
      </c>
      <c r="I287" s="4">
        <v>231110.39</v>
      </c>
      <c r="J287" s="4">
        <v>2332406.58</v>
      </c>
      <c r="K287" s="4">
        <v>45198123.600000001</v>
      </c>
      <c r="L287" s="4" t="s">
        <v>931</v>
      </c>
      <c r="M287" s="4" t="s">
        <v>178</v>
      </c>
      <c r="N287" s="4" t="s">
        <v>20</v>
      </c>
      <c r="O287" s="4" t="s">
        <v>71</v>
      </c>
      <c r="P287" s="4" t="s">
        <v>71</v>
      </c>
      <c r="Q287" s="8" t="s">
        <v>28</v>
      </c>
      <c r="R287" s="9">
        <f t="shared" si="5"/>
        <v>7.0072473620639219E-4</v>
      </c>
      <c r="S287" s="55">
        <f>Tabla3[[#This Row],[Subtotal]]/12</f>
        <v>3328468.5</v>
      </c>
    </row>
    <row r="288" spans="1:19" x14ac:dyDescent="0.2">
      <c r="A288" s="4">
        <v>1735</v>
      </c>
      <c r="B288" s="2">
        <v>39849742</v>
      </c>
      <c r="C288" s="2">
        <v>0</v>
      </c>
      <c r="D288" s="4" t="s">
        <v>935</v>
      </c>
      <c r="E288" s="2">
        <v>39849742</v>
      </c>
      <c r="F288" s="2">
        <v>7571450.9800000004</v>
      </c>
      <c r="G288" s="2">
        <v>0</v>
      </c>
      <c r="H288" s="4">
        <v>0</v>
      </c>
      <c r="I288" s="4">
        <v>0</v>
      </c>
      <c r="J288" s="4">
        <v>0</v>
      </c>
      <c r="K288" s="4">
        <v>47421192.979999997</v>
      </c>
      <c r="L288" s="4" t="s">
        <v>933</v>
      </c>
      <c r="M288" s="4" t="s">
        <v>934</v>
      </c>
      <c r="N288" s="4" t="s">
        <v>20</v>
      </c>
      <c r="O288" s="4" t="s">
        <v>316</v>
      </c>
      <c r="P288" s="4" t="s">
        <v>316</v>
      </c>
      <c r="Q288" s="8" t="s">
        <v>100</v>
      </c>
      <c r="R288" s="9">
        <f t="shared" si="5"/>
        <v>6.9911281897472235E-4</v>
      </c>
      <c r="S288" s="55">
        <f>Tabla3[[#This Row],[Subtotal]]/12</f>
        <v>3320811.8333333335</v>
      </c>
    </row>
    <row r="289" spans="1:19" x14ac:dyDescent="0.2">
      <c r="A289" s="4">
        <v>518</v>
      </c>
      <c r="B289" s="2">
        <v>39390362</v>
      </c>
      <c r="C289" s="2">
        <v>0</v>
      </c>
      <c r="D289" s="4" t="s">
        <v>938</v>
      </c>
      <c r="E289" s="2">
        <v>39390362</v>
      </c>
      <c r="F289" s="2">
        <v>7484168.7800000003</v>
      </c>
      <c r="G289" s="2">
        <v>984759.06</v>
      </c>
      <c r="H289" s="4">
        <v>0</v>
      </c>
      <c r="I289" s="4">
        <v>0</v>
      </c>
      <c r="J289" s="4">
        <v>984759.06</v>
      </c>
      <c r="K289" s="4">
        <v>45889771.719999999</v>
      </c>
      <c r="L289" s="4" t="s">
        <v>936</v>
      </c>
      <c r="M289" s="4" t="s">
        <v>937</v>
      </c>
      <c r="N289" s="4" t="s">
        <v>939</v>
      </c>
      <c r="O289" s="4" t="s">
        <v>940</v>
      </c>
      <c r="P289" s="4" t="s">
        <v>940</v>
      </c>
      <c r="Q289" s="8" t="s">
        <v>100</v>
      </c>
      <c r="R289" s="9">
        <f t="shared" si="5"/>
        <v>6.9105358369082502E-4</v>
      </c>
      <c r="S289" s="55">
        <f>Tabla3[[#This Row],[Subtotal]]/12</f>
        <v>3282530.1666666665</v>
      </c>
    </row>
    <row r="290" spans="1:19" x14ac:dyDescent="0.2">
      <c r="A290" s="4">
        <v>1394</v>
      </c>
      <c r="B290" s="2">
        <v>39323253</v>
      </c>
      <c r="C290" s="2">
        <v>0</v>
      </c>
      <c r="D290" s="4" t="s">
        <v>943</v>
      </c>
      <c r="E290" s="2">
        <v>39323253</v>
      </c>
      <c r="F290" s="2">
        <v>7471418.0700000003</v>
      </c>
      <c r="G290" s="2">
        <v>926603.43</v>
      </c>
      <c r="H290" s="4">
        <v>0</v>
      </c>
      <c r="I290" s="4">
        <v>0</v>
      </c>
      <c r="J290" s="4">
        <v>926603.43</v>
      </c>
      <c r="K290" s="4">
        <v>45868067.640000001</v>
      </c>
      <c r="L290" s="4" t="s">
        <v>941</v>
      </c>
      <c r="M290" s="4" t="s">
        <v>942</v>
      </c>
      <c r="N290" s="4" t="s">
        <v>92</v>
      </c>
      <c r="O290" s="4" t="s">
        <v>93</v>
      </c>
      <c r="P290" s="4" t="s">
        <v>93</v>
      </c>
      <c r="Q290" s="8" t="s">
        <v>100</v>
      </c>
      <c r="R290" s="9">
        <f t="shared" si="5"/>
        <v>6.8987624201145912E-4</v>
      </c>
      <c r="S290" s="55">
        <f>Tabla3[[#This Row],[Subtotal]]/12</f>
        <v>3276937.75</v>
      </c>
    </row>
    <row r="291" spans="1:19" x14ac:dyDescent="0.2">
      <c r="A291" s="4">
        <v>1252</v>
      </c>
      <c r="B291" s="2">
        <v>39153358</v>
      </c>
      <c r="C291" s="2">
        <v>0</v>
      </c>
      <c r="D291" s="4" t="s">
        <v>946</v>
      </c>
      <c r="E291" s="2">
        <v>39153358</v>
      </c>
      <c r="F291" s="2">
        <v>7439138.0199999996</v>
      </c>
      <c r="G291" s="2">
        <v>919768.72</v>
      </c>
      <c r="H291" s="4">
        <v>0</v>
      </c>
      <c r="I291" s="4">
        <v>0</v>
      </c>
      <c r="J291" s="4">
        <v>919768.72</v>
      </c>
      <c r="K291" s="4">
        <v>45672727.299999997</v>
      </c>
      <c r="L291" s="4" t="s">
        <v>944</v>
      </c>
      <c r="M291" s="4" t="s">
        <v>945</v>
      </c>
      <c r="N291" s="4" t="s">
        <v>381</v>
      </c>
      <c r="O291" s="4" t="s">
        <v>382</v>
      </c>
      <c r="P291" s="4" t="s">
        <v>382</v>
      </c>
      <c r="Q291" s="8" t="s">
        <v>100</v>
      </c>
      <c r="R291" s="9">
        <f t="shared" si="5"/>
        <v>6.8689565126184499E-4</v>
      </c>
      <c r="S291" s="55">
        <f>Tabla3[[#This Row],[Subtotal]]/12</f>
        <v>3262779.8333333335</v>
      </c>
    </row>
    <row r="292" spans="1:19" x14ac:dyDescent="0.2">
      <c r="A292" s="4">
        <v>1646</v>
      </c>
      <c r="B292" s="2">
        <v>38976164</v>
      </c>
      <c r="C292" s="2">
        <v>0</v>
      </c>
      <c r="D292" s="4" t="s">
        <v>949</v>
      </c>
      <c r="E292" s="2">
        <v>38976164</v>
      </c>
      <c r="F292" s="2">
        <v>7405471.1600000001</v>
      </c>
      <c r="G292" s="2">
        <v>0</v>
      </c>
      <c r="H292" s="4">
        <v>0</v>
      </c>
      <c r="I292" s="4">
        <v>0</v>
      </c>
      <c r="J292" s="4">
        <v>0</v>
      </c>
      <c r="K292" s="4">
        <v>46381635.159999996</v>
      </c>
      <c r="L292" s="4" t="s">
        <v>947</v>
      </c>
      <c r="M292" s="4" t="s">
        <v>948</v>
      </c>
      <c r="N292" s="4" t="s">
        <v>368</v>
      </c>
      <c r="O292" s="4" t="s">
        <v>89</v>
      </c>
      <c r="P292" s="4" t="s">
        <v>89</v>
      </c>
      <c r="Q292" s="8" t="s">
        <v>100</v>
      </c>
      <c r="R292" s="9">
        <f t="shared" si="5"/>
        <v>6.8378700888103842E-4</v>
      </c>
      <c r="S292" s="55">
        <f>Tabla3[[#This Row],[Subtotal]]/12</f>
        <v>3248013.6666666665</v>
      </c>
    </row>
    <row r="293" spans="1:19" x14ac:dyDescent="0.2">
      <c r="A293" s="4">
        <v>1393</v>
      </c>
      <c r="B293" s="2">
        <v>38917337</v>
      </c>
      <c r="C293" s="2">
        <v>0</v>
      </c>
      <c r="D293" s="4" t="s">
        <v>952</v>
      </c>
      <c r="E293" s="2">
        <v>38917337</v>
      </c>
      <c r="F293" s="2">
        <v>7394294.0300000003</v>
      </c>
      <c r="G293" s="2">
        <v>0</v>
      </c>
      <c r="H293" s="4">
        <v>0</v>
      </c>
      <c r="I293" s="4">
        <v>0</v>
      </c>
      <c r="J293" s="4">
        <v>0</v>
      </c>
      <c r="K293" s="4">
        <v>46311631.030000001</v>
      </c>
      <c r="L293" s="4" t="s">
        <v>950</v>
      </c>
      <c r="M293" s="4" t="s">
        <v>951</v>
      </c>
      <c r="N293" s="4" t="s">
        <v>953</v>
      </c>
      <c r="O293" s="4" t="s">
        <v>27</v>
      </c>
      <c r="P293" s="4" t="s">
        <v>27</v>
      </c>
      <c r="Q293" s="8" t="s">
        <v>100</v>
      </c>
      <c r="R293" s="9">
        <f t="shared" si="5"/>
        <v>6.8275496431217204E-4</v>
      </c>
      <c r="S293" s="55">
        <f>Tabla3[[#This Row],[Subtotal]]/12</f>
        <v>3243111.4166666665</v>
      </c>
    </row>
    <row r="294" spans="1:19" x14ac:dyDescent="0.2">
      <c r="A294" s="4">
        <v>276</v>
      </c>
      <c r="B294" s="2">
        <v>38512596</v>
      </c>
      <c r="C294" s="2">
        <v>0</v>
      </c>
      <c r="D294" s="4" t="s">
        <v>956</v>
      </c>
      <c r="E294" s="2">
        <v>38512596</v>
      </c>
      <c r="F294" s="2">
        <v>7317393.2400000002</v>
      </c>
      <c r="G294" s="2">
        <v>0</v>
      </c>
      <c r="H294" s="4">
        <v>0</v>
      </c>
      <c r="I294" s="4">
        <v>0</v>
      </c>
      <c r="J294" s="4">
        <v>0</v>
      </c>
      <c r="K294" s="4">
        <v>45829989.240000002</v>
      </c>
      <c r="L294" s="4" t="s">
        <v>954</v>
      </c>
      <c r="M294" s="4" t="s">
        <v>955</v>
      </c>
      <c r="N294" s="4" t="s">
        <v>272</v>
      </c>
      <c r="O294" s="4" t="s">
        <v>89</v>
      </c>
      <c r="P294" s="4" t="s">
        <v>89</v>
      </c>
      <c r="Q294" s="8" t="s">
        <v>100</v>
      </c>
      <c r="R294" s="9">
        <f t="shared" si="5"/>
        <v>6.7565430048692953E-4</v>
      </c>
      <c r="S294" s="55">
        <f>Tabla3[[#This Row],[Subtotal]]/12</f>
        <v>3209383</v>
      </c>
    </row>
    <row r="295" spans="1:19" x14ac:dyDescent="0.2">
      <c r="A295" s="4">
        <v>1733</v>
      </c>
      <c r="B295" s="2">
        <v>38256290.770000003</v>
      </c>
      <c r="C295" s="2">
        <v>0</v>
      </c>
      <c r="D295" s="4" t="s">
        <v>959</v>
      </c>
      <c r="E295" s="2">
        <v>38256290.770000003</v>
      </c>
      <c r="F295" s="2">
        <v>7268695.25</v>
      </c>
      <c r="G295" s="2">
        <v>94019.4</v>
      </c>
      <c r="H295" s="4">
        <v>0</v>
      </c>
      <c r="I295" s="4">
        <v>0</v>
      </c>
      <c r="J295" s="4">
        <v>94019.4</v>
      </c>
      <c r="K295" s="4">
        <v>45430966.619999997</v>
      </c>
      <c r="L295" s="4" t="s">
        <v>957</v>
      </c>
      <c r="M295" s="4" t="s">
        <v>958</v>
      </c>
      <c r="N295" s="4" t="s">
        <v>401</v>
      </c>
      <c r="O295" s="4" t="s">
        <v>27</v>
      </c>
      <c r="P295" s="4" t="s">
        <v>27</v>
      </c>
      <c r="Q295" s="8" t="s">
        <v>28</v>
      </c>
      <c r="R295" s="9">
        <f t="shared" si="5"/>
        <v>6.7115775263316274E-4</v>
      </c>
      <c r="S295" s="55">
        <f>Tabla3[[#This Row],[Subtotal]]/12</f>
        <v>3188024.2308333335</v>
      </c>
    </row>
    <row r="296" spans="1:19" x14ac:dyDescent="0.2">
      <c r="A296" s="4">
        <v>636</v>
      </c>
      <c r="B296" s="2">
        <v>38212247</v>
      </c>
      <c r="C296" s="2">
        <v>0</v>
      </c>
      <c r="D296" s="4" t="s">
        <v>961</v>
      </c>
      <c r="E296" s="2">
        <v>38212247</v>
      </c>
      <c r="F296" s="2">
        <v>7260326.9299999997</v>
      </c>
      <c r="G296" s="2">
        <v>781504</v>
      </c>
      <c r="H296" s="4">
        <v>0</v>
      </c>
      <c r="I296" s="4">
        <v>0</v>
      </c>
      <c r="J296" s="4">
        <v>781504</v>
      </c>
      <c r="K296" s="4">
        <v>44691069.93</v>
      </c>
      <c r="L296" s="4" t="s">
        <v>960</v>
      </c>
      <c r="M296" s="4" t="s">
        <v>304</v>
      </c>
      <c r="N296" s="4" t="s">
        <v>41</v>
      </c>
      <c r="O296" s="4" t="s">
        <v>42</v>
      </c>
      <c r="P296" s="4" t="s">
        <v>42</v>
      </c>
      <c r="Q296" s="8" t="s">
        <v>28</v>
      </c>
      <c r="R296" s="9">
        <f t="shared" si="5"/>
        <v>6.703850609504166E-4</v>
      </c>
      <c r="S296" s="55">
        <f>Tabla3[[#This Row],[Subtotal]]/12</f>
        <v>3184353.9166666665</v>
      </c>
    </row>
    <row r="297" spans="1:19" x14ac:dyDescent="0.2">
      <c r="A297" s="4">
        <v>329</v>
      </c>
      <c r="B297" s="2">
        <v>38122030</v>
      </c>
      <c r="C297" s="2">
        <v>0</v>
      </c>
      <c r="D297" s="4" t="s">
        <v>964</v>
      </c>
      <c r="E297" s="2">
        <v>38122030</v>
      </c>
      <c r="F297" s="2">
        <v>7243185.7000000002</v>
      </c>
      <c r="G297" s="2">
        <v>763614.66</v>
      </c>
      <c r="H297" s="4">
        <v>0</v>
      </c>
      <c r="I297" s="4">
        <v>0</v>
      </c>
      <c r="J297" s="4">
        <v>763614.66</v>
      </c>
      <c r="K297" s="4">
        <v>44601601.039999999</v>
      </c>
      <c r="L297" s="4" t="s">
        <v>962</v>
      </c>
      <c r="M297" s="4" t="s">
        <v>963</v>
      </c>
      <c r="N297" s="4" t="s">
        <v>20</v>
      </c>
      <c r="O297" s="4" t="s">
        <v>386</v>
      </c>
      <c r="P297" s="4" t="s">
        <v>386</v>
      </c>
      <c r="Q297" s="8" t="s">
        <v>585</v>
      </c>
      <c r="R297" s="9">
        <f t="shared" si="5"/>
        <v>6.6880231892941578E-4</v>
      </c>
      <c r="S297" s="55">
        <f>Tabla3[[#This Row],[Subtotal]]/12</f>
        <v>3176835.8333333335</v>
      </c>
    </row>
    <row r="298" spans="1:19" x14ac:dyDescent="0.2">
      <c r="A298" s="4">
        <v>376</v>
      </c>
      <c r="B298" s="2">
        <v>37991498</v>
      </c>
      <c r="C298" s="2">
        <v>0</v>
      </c>
      <c r="D298" s="4" t="s">
        <v>967</v>
      </c>
      <c r="E298" s="2">
        <v>37991498</v>
      </c>
      <c r="F298" s="2">
        <v>7218384.6200000001</v>
      </c>
      <c r="G298" s="2">
        <v>901692.86</v>
      </c>
      <c r="H298" s="4">
        <v>0</v>
      </c>
      <c r="I298" s="4">
        <v>0</v>
      </c>
      <c r="J298" s="4">
        <v>901692.86</v>
      </c>
      <c r="K298" s="4">
        <v>44308189.759999998</v>
      </c>
      <c r="L298" s="4" t="s">
        <v>965</v>
      </c>
      <c r="M298" s="4" t="s">
        <v>966</v>
      </c>
      <c r="N298" s="4" t="s">
        <v>968</v>
      </c>
      <c r="O298" s="4" t="s">
        <v>59</v>
      </c>
      <c r="P298" s="4" t="s">
        <v>59</v>
      </c>
      <c r="Q298" s="8" t="s">
        <v>100</v>
      </c>
      <c r="R298" s="9">
        <f t="shared" si="5"/>
        <v>6.6651230173215496E-4</v>
      </c>
      <c r="S298" s="55">
        <f>Tabla3[[#This Row],[Subtotal]]/12</f>
        <v>3165958.1666666665</v>
      </c>
    </row>
    <row r="299" spans="1:19" x14ac:dyDescent="0.2">
      <c r="A299" s="4">
        <v>225</v>
      </c>
      <c r="B299" s="2">
        <v>38010558</v>
      </c>
      <c r="C299" s="2">
        <v>140455.32</v>
      </c>
      <c r="D299" s="4" t="s">
        <v>971</v>
      </c>
      <c r="E299" s="2">
        <v>37870102.68</v>
      </c>
      <c r="F299" s="2">
        <v>7195319.5099999998</v>
      </c>
      <c r="G299" s="2">
        <v>0</v>
      </c>
      <c r="H299" s="4">
        <v>0</v>
      </c>
      <c r="I299" s="4">
        <v>0</v>
      </c>
      <c r="J299" s="4">
        <v>0</v>
      </c>
      <c r="K299" s="4">
        <v>45065422.189999998</v>
      </c>
      <c r="L299" s="4" t="s">
        <v>969</v>
      </c>
      <c r="M299" s="4" t="s">
        <v>970</v>
      </c>
      <c r="N299" s="4" t="s">
        <v>20</v>
      </c>
      <c r="O299" s="4" t="s">
        <v>372</v>
      </c>
      <c r="P299" s="4" t="s">
        <v>372</v>
      </c>
      <c r="Q299" s="8" t="s">
        <v>100</v>
      </c>
      <c r="R299" s="9">
        <f t="shared" si="5"/>
        <v>6.6438257591421772E-4</v>
      </c>
      <c r="S299" s="55">
        <f>Tabla3[[#This Row],[Subtotal]]/12</f>
        <v>3155841.89</v>
      </c>
    </row>
    <row r="300" spans="1:19" x14ac:dyDescent="0.2">
      <c r="A300" s="4">
        <v>1390</v>
      </c>
      <c r="B300" s="2">
        <v>37756418</v>
      </c>
      <c r="C300" s="2">
        <v>0</v>
      </c>
      <c r="D300" s="4" t="s">
        <v>974</v>
      </c>
      <c r="E300" s="2">
        <v>37756418</v>
      </c>
      <c r="F300" s="2">
        <v>7173719.4199999999</v>
      </c>
      <c r="G300" s="2">
        <v>0</v>
      </c>
      <c r="H300" s="4">
        <v>0</v>
      </c>
      <c r="I300" s="4">
        <v>0</v>
      </c>
      <c r="J300" s="4">
        <v>0</v>
      </c>
      <c r="K300" s="4">
        <v>44930137.420000002</v>
      </c>
      <c r="L300" s="4" t="s">
        <v>972</v>
      </c>
      <c r="M300" s="4" t="s">
        <v>973</v>
      </c>
      <c r="N300" s="4" t="s">
        <v>975</v>
      </c>
      <c r="O300" s="4" t="s">
        <v>89</v>
      </c>
      <c r="P300" s="4" t="s">
        <v>89</v>
      </c>
      <c r="Q300" s="8" t="s">
        <v>100</v>
      </c>
      <c r="R300" s="9">
        <f t="shared" si="5"/>
        <v>6.623881234254402E-4</v>
      </c>
      <c r="S300" s="55">
        <f>Tabla3[[#This Row],[Subtotal]]/12</f>
        <v>3146368.1666666665</v>
      </c>
    </row>
    <row r="301" spans="1:19" x14ac:dyDescent="0.2">
      <c r="A301" s="4">
        <v>808</v>
      </c>
      <c r="B301" s="2">
        <v>37665513</v>
      </c>
      <c r="C301" s="2">
        <v>0</v>
      </c>
      <c r="D301" s="4" t="s">
        <v>978</v>
      </c>
      <c r="E301" s="2">
        <v>37665513</v>
      </c>
      <c r="F301" s="2">
        <v>7156447.4699999997</v>
      </c>
      <c r="G301" s="2">
        <v>0</v>
      </c>
      <c r="H301" s="4">
        <v>0</v>
      </c>
      <c r="I301" s="4">
        <v>0</v>
      </c>
      <c r="J301" s="4">
        <v>0</v>
      </c>
      <c r="K301" s="4">
        <v>44821960.469999999</v>
      </c>
      <c r="L301" s="4" t="s">
        <v>976</v>
      </c>
      <c r="M301" s="4" t="s">
        <v>977</v>
      </c>
      <c r="N301" s="4" t="s">
        <v>979</v>
      </c>
      <c r="O301" s="4" t="s">
        <v>105</v>
      </c>
      <c r="P301" s="4" t="s">
        <v>105</v>
      </c>
      <c r="Q301" s="8" t="s">
        <v>100</v>
      </c>
      <c r="R301" s="9">
        <f t="shared" si="5"/>
        <v>6.6079331132329669E-4</v>
      </c>
      <c r="S301" s="55">
        <f>Tabla3[[#This Row],[Subtotal]]/12</f>
        <v>3138792.75</v>
      </c>
    </row>
    <row r="302" spans="1:19" x14ac:dyDescent="0.2">
      <c r="A302" s="4">
        <v>633</v>
      </c>
      <c r="B302" s="2">
        <v>37582727</v>
      </c>
      <c r="C302" s="2">
        <v>0</v>
      </c>
      <c r="D302" s="4" t="s">
        <v>982</v>
      </c>
      <c r="E302" s="2">
        <v>37582727</v>
      </c>
      <c r="F302" s="2">
        <v>7140718.1299999999</v>
      </c>
      <c r="G302" s="2">
        <v>468525.91</v>
      </c>
      <c r="H302" s="4">
        <v>0</v>
      </c>
      <c r="I302" s="4">
        <v>0</v>
      </c>
      <c r="J302" s="4">
        <v>468525.91</v>
      </c>
      <c r="K302" s="4">
        <v>44254919.219999999</v>
      </c>
      <c r="L302" s="4" t="s">
        <v>980</v>
      </c>
      <c r="M302" s="4" t="s">
        <v>981</v>
      </c>
      <c r="N302" s="4" t="s">
        <v>674</v>
      </c>
      <c r="O302" s="4" t="s">
        <v>89</v>
      </c>
      <c r="P302" s="4" t="s">
        <v>89</v>
      </c>
      <c r="Q302" s="8" t="s">
        <v>100</v>
      </c>
      <c r="R302" s="9">
        <f t="shared" si="5"/>
        <v>6.5934093670487026E-4</v>
      </c>
      <c r="S302" s="55">
        <f>Tabla3[[#This Row],[Subtotal]]/12</f>
        <v>3131893.9166666665</v>
      </c>
    </row>
    <row r="303" spans="1:19" x14ac:dyDescent="0.2">
      <c r="A303" s="4">
        <v>1138</v>
      </c>
      <c r="B303" s="2">
        <v>37565856</v>
      </c>
      <c r="C303" s="2">
        <v>0</v>
      </c>
      <c r="D303" s="4" t="s">
        <v>985</v>
      </c>
      <c r="E303" s="2">
        <v>37565856</v>
      </c>
      <c r="F303" s="2">
        <v>7137512.6399999997</v>
      </c>
      <c r="G303" s="2">
        <v>939146.41</v>
      </c>
      <c r="H303" s="4">
        <v>0</v>
      </c>
      <c r="I303" s="4">
        <v>0</v>
      </c>
      <c r="J303" s="4">
        <v>939146.41</v>
      </c>
      <c r="K303" s="4">
        <v>43764222.229999997</v>
      </c>
      <c r="L303" s="4" t="s">
        <v>983</v>
      </c>
      <c r="M303" s="4" t="s">
        <v>984</v>
      </c>
      <c r="N303" s="4" t="s">
        <v>172</v>
      </c>
      <c r="O303" s="4" t="s">
        <v>173</v>
      </c>
      <c r="P303" s="4" t="s">
        <v>173</v>
      </c>
      <c r="Q303" s="8" t="s">
        <v>100</v>
      </c>
      <c r="R303" s="9">
        <f t="shared" si="5"/>
        <v>6.5904495656103591E-4</v>
      </c>
      <c r="S303" s="55">
        <f>Tabla3[[#This Row],[Subtotal]]/12</f>
        <v>3130488</v>
      </c>
    </row>
    <row r="304" spans="1:19" x14ac:dyDescent="0.2">
      <c r="A304" s="4">
        <v>884</v>
      </c>
      <c r="B304" s="2">
        <v>37090792</v>
      </c>
      <c r="C304" s="2">
        <v>0</v>
      </c>
      <c r="D304" s="4" t="s">
        <v>988</v>
      </c>
      <c r="E304" s="2">
        <v>37090792</v>
      </c>
      <c r="F304" s="2">
        <v>7047250.4800000004</v>
      </c>
      <c r="G304" s="2">
        <v>839612.71</v>
      </c>
      <c r="H304" s="4">
        <v>0</v>
      </c>
      <c r="I304" s="4">
        <v>0</v>
      </c>
      <c r="J304" s="4">
        <v>839612.71</v>
      </c>
      <c r="K304" s="4">
        <v>43298429.770000003</v>
      </c>
      <c r="L304" s="4" t="s">
        <v>986</v>
      </c>
      <c r="M304" s="4" t="s">
        <v>987</v>
      </c>
      <c r="N304" s="4" t="s">
        <v>221</v>
      </c>
      <c r="O304" s="4" t="s">
        <v>33</v>
      </c>
      <c r="P304" s="4" t="s">
        <v>33</v>
      </c>
      <c r="Q304" s="8" t="s">
        <v>100</v>
      </c>
      <c r="R304" s="9">
        <f t="shared" si="5"/>
        <v>6.5071056553201974E-4</v>
      </c>
      <c r="S304" s="55">
        <f>Tabla3[[#This Row],[Subtotal]]/12</f>
        <v>3090899.3333333335</v>
      </c>
    </row>
    <row r="305" spans="1:19" x14ac:dyDescent="0.2">
      <c r="A305" s="4">
        <v>549</v>
      </c>
      <c r="B305" s="2">
        <v>36902540</v>
      </c>
      <c r="C305" s="2">
        <v>0</v>
      </c>
      <c r="D305" s="4" t="s">
        <v>991</v>
      </c>
      <c r="E305" s="2">
        <v>36902540</v>
      </c>
      <c r="F305" s="2">
        <v>7011482.5999999996</v>
      </c>
      <c r="G305" s="2">
        <v>481499.9</v>
      </c>
      <c r="H305" s="4">
        <v>0</v>
      </c>
      <c r="I305" s="4">
        <v>0</v>
      </c>
      <c r="J305" s="4">
        <v>481499.9</v>
      </c>
      <c r="K305" s="4">
        <v>43432522.700000003</v>
      </c>
      <c r="L305" s="4" t="s">
        <v>989</v>
      </c>
      <c r="M305" s="4" t="s">
        <v>990</v>
      </c>
      <c r="N305" s="4" t="s">
        <v>482</v>
      </c>
      <c r="O305" s="4" t="s">
        <v>89</v>
      </c>
      <c r="P305" s="4" t="s">
        <v>89</v>
      </c>
      <c r="Q305" s="8" t="s">
        <v>100</v>
      </c>
      <c r="R305" s="9">
        <f t="shared" si="5"/>
        <v>6.4740792466680094E-4</v>
      </c>
      <c r="S305" s="55">
        <f>Tabla3[[#This Row],[Subtotal]]/12</f>
        <v>3075211.6666666665</v>
      </c>
    </row>
    <row r="306" spans="1:19" x14ac:dyDescent="0.2">
      <c r="A306" s="4">
        <v>798</v>
      </c>
      <c r="B306" s="2">
        <v>36829708</v>
      </c>
      <c r="C306" s="2">
        <v>0</v>
      </c>
      <c r="D306" s="4" t="s">
        <v>994</v>
      </c>
      <c r="E306" s="2">
        <v>36829708</v>
      </c>
      <c r="F306" s="2">
        <v>6997644.5199999996</v>
      </c>
      <c r="G306" s="2">
        <v>0</v>
      </c>
      <c r="H306" s="4">
        <v>0</v>
      </c>
      <c r="I306" s="4">
        <v>0</v>
      </c>
      <c r="J306" s="4">
        <v>0</v>
      </c>
      <c r="K306" s="4">
        <v>43827352.520000003</v>
      </c>
      <c r="L306" s="4" t="s">
        <v>992</v>
      </c>
      <c r="M306" s="4" t="s">
        <v>993</v>
      </c>
      <c r="N306" s="4" t="s">
        <v>66</v>
      </c>
      <c r="O306" s="4" t="s">
        <v>67</v>
      </c>
      <c r="P306" s="4" t="s">
        <v>67</v>
      </c>
      <c r="Q306" s="8" t="s">
        <v>100</v>
      </c>
      <c r="R306" s="9">
        <f t="shared" si="5"/>
        <v>6.4613018026304621E-4</v>
      </c>
      <c r="S306" s="55">
        <f>Tabla3[[#This Row],[Subtotal]]/12</f>
        <v>3069142.3333333335</v>
      </c>
    </row>
    <row r="307" spans="1:19" x14ac:dyDescent="0.2">
      <c r="A307" s="4">
        <v>585</v>
      </c>
      <c r="B307" s="2">
        <v>36653610</v>
      </c>
      <c r="C307" s="2">
        <v>0</v>
      </c>
      <c r="D307" s="4" t="s">
        <v>997</v>
      </c>
      <c r="E307" s="2">
        <v>36653610</v>
      </c>
      <c r="F307" s="2">
        <v>6964185.9000000004</v>
      </c>
      <c r="G307" s="2">
        <v>0</v>
      </c>
      <c r="H307" s="4">
        <v>0</v>
      </c>
      <c r="I307" s="4">
        <v>0</v>
      </c>
      <c r="J307" s="4">
        <v>0</v>
      </c>
      <c r="K307" s="4">
        <v>43617795.899999999</v>
      </c>
      <c r="L307" s="4" t="s">
        <v>995</v>
      </c>
      <c r="M307" s="4" t="s">
        <v>996</v>
      </c>
      <c r="N307" s="4" t="s">
        <v>998</v>
      </c>
      <c r="O307" s="4" t="s">
        <v>27</v>
      </c>
      <c r="P307" s="4" t="s">
        <v>27</v>
      </c>
      <c r="Q307" s="8" t="s">
        <v>100</v>
      </c>
      <c r="R307" s="9">
        <f t="shared" si="5"/>
        <v>6.4304076580219954E-4</v>
      </c>
      <c r="S307" s="55">
        <f>Tabla3[[#This Row],[Subtotal]]/12</f>
        <v>3054467.5</v>
      </c>
    </row>
    <row r="308" spans="1:19" x14ac:dyDescent="0.2">
      <c r="A308" s="4">
        <v>642</v>
      </c>
      <c r="B308" s="2">
        <v>36275326</v>
      </c>
      <c r="C308" s="2">
        <v>0</v>
      </c>
      <c r="D308" s="4" t="s">
        <v>1000</v>
      </c>
      <c r="E308" s="2">
        <v>36275326</v>
      </c>
      <c r="F308" s="2">
        <v>6892311.9400000004</v>
      </c>
      <c r="G308" s="2">
        <v>752508.3</v>
      </c>
      <c r="H308" s="4">
        <v>0</v>
      </c>
      <c r="I308" s="4">
        <v>0</v>
      </c>
      <c r="J308" s="4">
        <v>752508.3</v>
      </c>
      <c r="K308" s="4">
        <v>42415129.640000001</v>
      </c>
      <c r="L308" s="4" t="s">
        <v>999</v>
      </c>
      <c r="M308" s="4" t="s">
        <v>304</v>
      </c>
      <c r="N308" s="4" t="s">
        <v>1001</v>
      </c>
      <c r="O308" s="4" t="s">
        <v>42</v>
      </c>
      <c r="P308" s="4" t="s">
        <v>42</v>
      </c>
      <c r="Q308" s="8" t="s">
        <v>28</v>
      </c>
      <c r="R308" s="9">
        <f t="shared" si="5"/>
        <v>6.3640425624554955E-4</v>
      </c>
      <c r="S308" s="55">
        <f>Tabla3[[#This Row],[Subtotal]]/12</f>
        <v>3022943.8333333335</v>
      </c>
    </row>
    <row r="309" spans="1:19" x14ac:dyDescent="0.2">
      <c r="A309" s="4">
        <v>1000</v>
      </c>
      <c r="B309" s="2">
        <v>36275289</v>
      </c>
      <c r="C309" s="2">
        <v>0</v>
      </c>
      <c r="D309" s="4" t="s">
        <v>1004</v>
      </c>
      <c r="E309" s="2">
        <v>36275289</v>
      </c>
      <c r="F309" s="2">
        <v>6892304.9100000001</v>
      </c>
      <c r="G309" s="2">
        <v>760087.23</v>
      </c>
      <c r="H309" s="4">
        <v>0</v>
      </c>
      <c r="I309" s="4">
        <v>0</v>
      </c>
      <c r="J309" s="4">
        <v>760087.23</v>
      </c>
      <c r="K309" s="4">
        <v>42407506.68</v>
      </c>
      <c r="L309" s="4" t="s">
        <v>1002</v>
      </c>
      <c r="M309" s="4" t="s">
        <v>1003</v>
      </c>
      <c r="N309" s="4" t="s">
        <v>368</v>
      </c>
      <c r="O309" s="4" t="s">
        <v>89</v>
      </c>
      <c r="P309" s="4" t="s">
        <v>89</v>
      </c>
      <c r="Q309" s="8" t="s">
        <v>100</v>
      </c>
      <c r="R309" s="9">
        <f t="shared" si="5"/>
        <v>6.3640360712781375E-4</v>
      </c>
      <c r="S309" s="55">
        <f>Tabla3[[#This Row],[Subtotal]]/12</f>
        <v>3022940.75</v>
      </c>
    </row>
    <row r="310" spans="1:19" x14ac:dyDescent="0.2">
      <c r="A310" s="4">
        <v>1221</v>
      </c>
      <c r="B310" s="2">
        <v>35721440</v>
      </c>
      <c r="C310" s="2">
        <v>0</v>
      </c>
      <c r="D310" s="4" t="s">
        <v>1007</v>
      </c>
      <c r="E310" s="2">
        <v>35721440</v>
      </c>
      <c r="F310" s="2">
        <v>6787073.5999999996</v>
      </c>
      <c r="G310" s="2">
        <v>893036.03</v>
      </c>
      <c r="H310" s="4">
        <v>1018061.04</v>
      </c>
      <c r="I310" s="4">
        <v>214328.65</v>
      </c>
      <c r="J310" s="4">
        <v>2125425.7200000002</v>
      </c>
      <c r="K310" s="4">
        <v>40383087.880000003</v>
      </c>
      <c r="L310" s="4" t="s">
        <v>1005</v>
      </c>
      <c r="M310" s="4" t="s">
        <v>1006</v>
      </c>
      <c r="N310" s="4" t="s">
        <v>92</v>
      </c>
      <c r="O310" s="4" t="s">
        <v>93</v>
      </c>
      <c r="P310" s="4" t="s">
        <v>93</v>
      </c>
      <c r="Q310" s="8" t="s">
        <v>28</v>
      </c>
      <c r="R310" s="9">
        <f t="shared" si="5"/>
        <v>6.2668703391445817E-4</v>
      </c>
      <c r="S310" s="55">
        <f>Tabla3[[#This Row],[Subtotal]]/12</f>
        <v>2976786.6666666665</v>
      </c>
    </row>
    <row r="311" spans="1:19" x14ac:dyDescent="0.2">
      <c r="A311" s="4">
        <v>418</v>
      </c>
      <c r="B311" s="2">
        <v>35709766</v>
      </c>
      <c r="C311" s="2">
        <v>0</v>
      </c>
      <c r="D311" s="4" t="s">
        <v>1010</v>
      </c>
      <c r="E311" s="2">
        <v>35709766</v>
      </c>
      <c r="F311" s="2">
        <v>6784855.54</v>
      </c>
      <c r="G311" s="2">
        <v>473370.85</v>
      </c>
      <c r="H311" s="4">
        <v>0</v>
      </c>
      <c r="I311" s="4">
        <v>0</v>
      </c>
      <c r="J311" s="4">
        <v>473370.85</v>
      </c>
      <c r="K311" s="4">
        <v>42021250.689999998</v>
      </c>
      <c r="L311" s="4" t="s">
        <v>1008</v>
      </c>
      <c r="M311" s="4" t="s">
        <v>1009</v>
      </c>
      <c r="N311" s="4" t="s">
        <v>20</v>
      </c>
      <c r="O311" s="4" t="s">
        <v>1011</v>
      </c>
      <c r="P311" s="4" t="s">
        <v>1011</v>
      </c>
      <c r="Q311" s="8" t="s">
        <v>100</v>
      </c>
      <c r="R311" s="9">
        <f t="shared" si="5"/>
        <v>6.2648222849692964E-4</v>
      </c>
      <c r="S311" s="55">
        <f>Tabla3[[#This Row],[Subtotal]]/12</f>
        <v>2975813.8333333335</v>
      </c>
    </row>
    <row r="312" spans="1:19" x14ac:dyDescent="0.2">
      <c r="A312" s="4">
        <v>424</v>
      </c>
      <c r="B312" s="2">
        <v>35606740</v>
      </c>
      <c r="C312" s="2">
        <v>0</v>
      </c>
      <c r="D312" s="4" t="s">
        <v>1014</v>
      </c>
      <c r="E312" s="2">
        <v>35606740</v>
      </c>
      <c r="F312" s="2">
        <v>6765280.5999999996</v>
      </c>
      <c r="G312" s="2">
        <v>785661.78</v>
      </c>
      <c r="H312" s="4">
        <v>0</v>
      </c>
      <c r="I312" s="4">
        <v>0</v>
      </c>
      <c r="J312" s="4">
        <v>785661.78</v>
      </c>
      <c r="K312" s="4">
        <v>41586358.82</v>
      </c>
      <c r="L312" s="4" t="s">
        <v>1012</v>
      </c>
      <c r="M312" s="4" t="s">
        <v>1013</v>
      </c>
      <c r="N312" s="4" t="s">
        <v>1015</v>
      </c>
      <c r="O312" s="4" t="s">
        <v>89</v>
      </c>
      <c r="P312" s="4" t="s">
        <v>89</v>
      </c>
      <c r="Q312" s="8" t="s">
        <v>100</v>
      </c>
      <c r="R312" s="9">
        <f t="shared" si="5"/>
        <v>6.2467476893325949E-4</v>
      </c>
      <c r="S312" s="55">
        <f>Tabla3[[#This Row],[Subtotal]]/12</f>
        <v>2967228.3333333335</v>
      </c>
    </row>
    <row r="313" spans="1:19" x14ac:dyDescent="0.2">
      <c r="A313" s="4">
        <v>917</v>
      </c>
      <c r="B313" s="2">
        <v>35035313</v>
      </c>
      <c r="C313" s="2">
        <v>0</v>
      </c>
      <c r="D313" s="4" t="s">
        <v>1018</v>
      </c>
      <c r="E313" s="2">
        <v>35035313</v>
      </c>
      <c r="F313" s="2">
        <v>6656709.4699999997</v>
      </c>
      <c r="G313" s="2">
        <v>869210.69</v>
      </c>
      <c r="H313" s="4">
        <v>0</v>
      </c>
      <c r="I313" s="4">
        <v>0</v>
      </c>
      <c r="J313" s="4">
        <v>869210.69</v>
      </c>
      <c r="K313" s="4">
        <v>40822811.780000001</v>
      </c>
      <c r="L313" s="4" t="s">
        <v>1016</v>
      </c>
      <c r="M313" s="4" t="s">
        <v>1017</v>
      </c>
      <c r="N313" s="4" t="s">
        <v>522</v>
      </c>
      <c r="O313" s="4" t="s">
        <v>105</v>
      </c>
      <c r="P313" s="4" t="s">
        <v>105</v>
      </c>
      <c r="Q313" s="8" t="s">
        <v>100</v>
      </c>
      <c r="R313" s="9">
        <f t="shared" si="5"/>
        <v>6.1464981216419765E-4</v>
      </c>
      <c r="S313" s="55">
        <f>Tabla3[[#This Row],[Subtotal]]/12</f>
        <v>2919609.4166666665</v>
      </c>
    </row>
    <row r="314" spans="1:19" x14ac:dyDescent="0.2">
      <c r="A314" s="4">
        <v>1573</v>
      </c>
      <c r="B314" s="2">
        <v>35011951</v>
      </c>
      <c r="C314" s="2">
        <v>66684.06</v>
      </c>
      <c r="D314" s="4" t="s">
        <v>1021</v>
      </c>
      <c r="E314" s="2">
        <v>34945266.939999998</v>
      </c>
      <c r="F314" s="2">
        <v>6639600.7199999997</v>
      </c>
      <c r="G314" s="2">
        <v>871595.21</v>
      </c>
      <c r="H314" s="4">
        <v>0</v>
      </c>
      <c r="I314" s="4">
        <v>0</v>
      </c>
      <c r="J314" s="4">
        <v>871595.21</v>
      </c>
      <c r="K314" s="4">
        <v>40713272.450000003</v>
      </c>
      <c r="L314" s="4" t="s">
        <v>1019</v>
      </c>
      <c r="M314" s="4" t="s">
        <v>1020</v>
      </c>
      <c r="N314" s="4" t="s">
        <v>714</v>
      </c>
      <c r="O314" s="4" t="s">
        <v>382</v>
      </c>
      <c r="P314" s="4" t="s">
        <v>382</v>
      </c>
      <c r="Q314" s="8" t="s">
        <v>28</v>
      </c>
      <c r="R314" s="9">
        <f t="shared" si="5"/>
        <v>6.1307006906713651E-4</v>
      </c>
      <c r="S314" s="55">
        <f>Tabla3[[#This Row],[Subtotal]]/12</f>
        <v>2912105.5783333331</v>
      </c>
    </row>
    <row r="315" spans="1:19" x14ac:dyDescent="0.2">
      <c r="A315" s="4">
        <v>34</v>
      </c>
      <c r="B315" s="2">
        <v>34900438</v>
      </c>
      <c r="C315" s="2">
        <v>0</v>
      </c>
      <c r="D315" s="4" t="s">
        <v>1023</v>
      </c>
      <c r="E315" s="2">
        <v>34900438</v>
      </c>
      <c r="F315" s="2">
        <v>6631083.2199999997</v>
      </c>
      <c r="G315" s="2">
        <v>872510.96</v>
      </c>
      <c r="H315" s="4">
        <v>994662.49</v>
      </c>
      <c r="I315" s="4">
        <v>0</v>
      </c>
      <c r="J315" s="4">
        <v>1867173.45</v>
      </c>
      <c r="K315" s="4">
        <v>39664347.770000003</v>
      </c>
      <c r="L315" s="4" t="s">
        <v>1022</v>
      </c>
      <c r="M315" s="4" t="s">
        <v>146</v>
      </c>
      <c r="N315" s="4" t="s">
        <v>58</v>
      </c>
      <c r="O315" s="4" t="s">
        <v>59</v>
      </c>
      <c r="P315" s="4" t="s">
        <v>59</v>
      </c>
      <c r="Q315" s="8" t="s">
        <v>28</v>
      </c>
      <c r="R315" s="9">
        <f t="shared" si="5"/>
        <v>6.1228360257972367E-4</v>
      </c>
      <c r="S315" s="55">
        <f>Tabla3[[#This Row],[Subtotal]]/12</f>
        <v>2908369.8333333335</v>
      </c>
    </row>
    <row r="316" spans="1:19" x14ac:dyDescent="0.2">
      <c r="A316" s="4">
        <v>1251</v>
      </c>
      <c r="B316" s="2">
        <v>34747658</v>
      </c>
      <c r="C316" s="2">
        <v>0</v>
      </c>
      <c r="D316" s="4" t="s">
        <v>1026</v>
      </c>
      <c r="E316" s="2">
        <v>34747658</v>
      </c>
      <c r="F316" s="2">
        <v>6602055.0199999996</v>
      </c>
      <c r="G316" s="2">
        <v>0</v>
      </c>
      <c r="H316" s="4">
        <v>0</v>
      </c>
      <c r="I316" s="4">
        <v>0</v>
      </c>
      <c r="J316" s="4">
        <v>0</v>
      </c>
      <c r="K316" s="4">
        <v>41349713.020000003</v>
      </c>
      <c r="L316" s="4" t="s">
        <v>1024</v>
      </c>
      <c r="M316" s="4" t="s">
        <v>1025</v>
      </c>
      <c r="N316" s="4" t="s">
        <v>482</v>
      </c>
      <c r="O316" s="4" t="s">
        <v>89</v>
      </c>
      <c r="P316" s="4" t="s">
        <v>89</v>
      </c>
      <c r="Q316" s="8" t="s">
        <v>100</v>
      </c>
      <c r="R316" s="9">
        <f t="shared" si="5"/>
        <v>6.0960327264225611E-4</v>
      </c>
      <c r="S316" s="55">
        <f>Tabla3[[#This Row],[Subtotal]]/12</f>
        <v>2895638.1666666665</v>
      </c>
    </row>
    <row r="317" spans="1:19" x14ac:dyDescent="0.2">
      <c r="A317" s="4">
        <v>573</v>
      </c>
      <c r="B317" s="2">
        <v>34708329</v>
      </c>
      <c r="C317" s="2">
        <v>0</v>
      </c>
      <c r="D317" s="4" t="s">
        <v>1029</v>
      </c>
      <c r="E317" s="2">
        <v>34708329</v>
      </c>
      <c r="F317" s="2">
        <v>6594582.5099999998</v>
      </c>
      <c r="G317" s="2">
        <v>867708.25</v>
      </c>
      <c r="H317" s="4">
        <v>0</v>
      </c>
      <c r="I317" s="4">
        <v>0</v>
      </c>
      <c r="J317" s="4">
        <v>867708.25</v>
      </c>
      <c r="K317" s="4">
        <v>40435203.259999998</v>
      </c>
      <c r="L317" s="4" t="s">
        <v>1027</v>
      </c>
      <c r="M317" s="4" t="s">
        <v>1028</v>
      </c>
      <c r="N317" s="4" t="s">
        <v>127</v>
      </c>
      <c r="O317" s="4" t="s">
        <v>67</v>
      </c>
      <c r="P317" s="4" t="s">
        <v>67</v>
      </c>
      <c r="Q317" s="8" t="s">
        <v>28</v>
      </c>
      <c r="R317" s="9">
        <f t="shared" si="5"/>
        <v>6.0891329557647095E-4</v>
      </c>
      <c r="S317" s="55">
        <f>Tabla3[[#This Row],[Subtotal]]/12</f>
        <v>2892360.75</v>
      </c>
    </row>
    <row r="318" spans="1:19" x14ac:dyDescent="0.2">
      <c r="A318" s="4">
        <v>907</v>
      </c>
      <c r="B318" s="2">
        <v>34645901</v>
      </c>
      <c r="C318" s="2">
        <v>0</v>
      </c>
      <c r="D318" s="4" t="s">
        <v>1031</v>
      </c>
      <c r="E318" s="2">
        <v>34645901</v>
      </c>
      <c r="F318" s="2">
        <v>6582721.1900000004</v>
      </c>
      <c r="G318" s="2">
        <v>656900.88</v>
      </c>
      <c r="H318" s="4">
        <v>748867</v>
      </c>
      <c r="I318" s="4">
        <v>0</v>
      </c>
      <c r="J318" s="4">
        <v>1405767.88</v>
      </c>
      <c r="K318" s="4">
        <v>39822854.310000002</v>
      </c>
      <c r="L318" s="4" t="s">
        <v>1030</v>
      </c>
      <c r="M318" s="4" t="s">
        <v>95</v>
      </c>
      <c r="N318" s="4" t="s">
        <v>1032</v>
      </c>
      <c r="O318" s="4" t="s">
        <v>67</v>
      </c>
      <c r="P318" s="4" t="s">
        <v>67</v>
      </c>
      <c r="Q318" s="8" t="s">
        <v>28</v>
      </c>
      <c r="R318" s="9">
        <f t="shared" si="5"/>
        <v>6.0781807606255403E-4</v>
      </c>
      <c r="S318" s="55">
        <f>Tabla3[[#This Row],[Subtotal]]/12</f>
        <v>2887158.4166666665</v>
      </c>
    </row>
    <row r="319" spans="1:19" x14ac:dyDescent="0.2">
      <c r="A319" s="4">
        <v>90</v>
      </c>
      <c r="B319" s="2">
        <v>34512325</v>
      </c>
      <c r="C319" s="2">
        <v>0</v>
      </c>
      <c r="D319" s="4" t="s">
        <v>1035</v>
      </c>
      <c r="E319" s="2">
        <v>34512325</v>
      </c>
      <c r="F319" s="2">
        <v>6557341.75</v>
      </c>
      <c r="G319" s="2">
        <v>862808.13</v>
      </c>
      <c r="H319" s="4">
        <v>0</v>
      </c>
      <c r="I319" s="4">
        <v>0</v>
      </c>
      <c r="J319" s="4">
        <v>862808.13</v>
      </c>
      <c r="K319" s="4">
        <v>40206858.619999997</v>
      </c>
      <c r="L319" s="4" t="s">
        <v>1033</v>
      </c>
      <c r="M319" s="4" t="s">
        <v>1034</v>
      </c>
      <c r="N319" s="4" t="s">
        <v>20</v>
      </c>
      <c r="O319" s="4" t="s">
        <v>76</v>
      </c>
      <c r="P319" s="4" t="s">
        <v>76</v>
      </c>
      <c r="Q319" s="8" t="s">
        <v>408</v>
      </c>
      <c r="R319" s="9">
        <f t="shared" si="5"/>
        <v>6.0547465577372585E-4</v>
      </c>
      <c r="S319" s="55">
        <f>Tabla3[[#This Row],[Subtotal]]/12</f>
        <v>2876027.0833333335</v>
      </c>
    </row>
    <row r="320" spans="1:19" x14ac:dyDescent="0.2">
      <c r="A320" s="4">
        <v>706</v>
      </c>
      <c r="B320" s="2">
        <v>34353088</v>
      </c>
      <c r="C320" s="2">
        <v>0</v>
      </c>
      <c r="D320" s="4" t="s">
        <v>1038</v>
      </c>
      <c r="E320" s="2">
        <v>34353088</v>
      </c>
      <c r="F320" s="2">
        <v>6527086.7199999997</v>
      </c>
      <c r="G320" s="2">
        <v>554819.46</v>
      </c>
      <c r="H320" s="4">
        <v>0</v>
      </c>
      <c r="I320" s="4">
        <v>0</v>
      </c>
      <c r="J320" s="4">
        <v>554819.46</v>
      </c>
      <c r="K320" s="4">
        <v>40325355.259999998</v>
      </c>
      <c r="L320" s="4" t="s">
        <v>1036</v>
      </c>
      <c r="M320" s="4" t="s">
        <v>1037</v>
      </c>
      <c r="N320" s="4" t="s">
        <v>32</v>
      </c>
      <c r="O320" s="4" t="s">
        <v>33</v>
      </c>
      <c r="P320" s="4" t="s">
        <v>1039</v>
      </c>
      <c r="Q320" s="8" t="s">
        <v>100</v>
      </c>
      <c r="R320" s="9">
        <f t="shared" si="5"/>
        <v>6.0268104601948758E-4</v>
      </c>
      <c r="S320" s="55">
        <f>Tabla3[[#This Row],[Subtotal]]/12</f>
        <v>2862757.3333333335</v>
      </c>
    </row>
    <row r="321" spans="1:19" x14ac:dyDescent="0.2">
      <c r="A321" s="4">
        <v>231</v>
      </c>
      <c r="B321" s="2">
        <v>34310636</v>
      </c>
      <c r="C321" s="2">
        <v>0</v>
      </c>
      <c r="D321" s="4" t="s">
        <v>1042</v>
      </c>
      <c r="E321" s="2">
        <v>34310636</v>
      </c>
      <c r="F321" s="2">
        <v>6519020.8399999999</v>
      </c>
      <c r="G321" s="2">
        <v>0</v>
      </c>
      <c r="H321" s="4">
        <v>0</v>
      </c>
      <c r="I321" s="4">
        <v>0</v>
      </c>
      <c r="J321" s="4">
        <v>0</v>
      </c>
      <c r="K321" s="4">
        <v>40829656.840000004</v>
      </c>
      <c r="L321" s="4" t="s">
        <v>1040</v>
      </c>
      <c r="M321" s="4" t="s">
        <v>1041</v>
      </c>
      <c r="N321" s="4" t="s">
        <v>20</v>
      </c>
      <c r="O321" s="4" t="s">
        <v>1043</v>
      </c>
      <c r="P321" s="4" t="s">
        <v>1043</v>
      </c>
      <c r="Q321" s="8" t="s">
        <v>100</v>
      </c>
      <c r="R321" s="9">
        <f t="shared" si="5"/>
        <v>6.0193627990805037E-4</v>
      </c>
      <c r="S321" s="55">
        <f>Tabla3[[#This Row],[Subtotal]]/12</f>
        <v>2859219.6666666665</v>
      </c>
    </row>
    <row r="322" spans="1:19" x14ac:dyDescent="0.2">
      <c r="A322" s="4">
        <v>338</v>
      </c>
      <c r="B322" s="2">
        <v>34208843</v>
      </c>
      <c r="C322" s="2">
        <v>0</v>
      </c>
      <c r="D322" s="4" t="s">
        <v>1046</v>
      </c>
      <c r="E322" s="2">
        <v>34208843</v>
      </c>
      <c r="F322" s="2">
        <v>6499680.1699999999</v>
      </c>
      <c r="G322" s="2">
        <v>855221.08</v>
      </c>
      <c r="H322" s="4">
        <v>0</v>
      </c>
      <c r="I322" s="4">
        <v>0</v>
      </c>
      <c r="J322" s="4">
        <v>855221.08</v>
      </c>
      <c r="K322" s="4">
        <v>39853302.090000004</v>
      </c>
      <c r="L322" s="4" t="s">
        <v>1044</v>
      </c>
      <c r="M322" s="4" t="s">
        <v>1045</v>
      </c>
      <c r="N322" s="4" t="s">
        <v>1047</v>
      </c>
      <c r="O322" s="4" t="s">
        <v>229</v>
      </c>
      <c r="P322" s="4" t="s">
        <v>229</v>
      </c>
      <c r="Q322" s="8" t="s">
        <v>100</v>
      </c>
      <c r="R322" s="9">
        <f t="shared" si="5"/>
        <v>6.0015045175433504E-4</v>
      </c>
      <c r="S322" s="55">
        <f>Tabla3[[#This Row],[Subtotal]]/12</f>
        <v>2850736.9166666665</v>
      </c>
    </row>
    <row r="323" spans="1:19" x14ac:dyDescent="0.2">
      <c r="A323" s="4">
        <v>152</v>
      </c>
      <c r="B323" s="2">
        <v>33946193</v>
      </c>
      <c r="C323" s="2">
        <v>0</v>
      </c>
      <c r="D323" s="4" t="s">
        <v>1050</v>
      </c>
      <c r="E323" s="2">
        <v>33946193</v>
      </c>
      <c r="F323" s="2">
        <v>6449776.6699999999</v>
      </c>
      <c r="G323" s="2">
        <v>0</v>
      </c>
      <c r="H323" s="4">
        <v>0</v>
      </c>
      <c r="I323" s="4">
        <v>0</v>
      </c>
      <c r="J323" s="4">
        <v>0</v>
      </c>
      <c r="K323" s="4">
        <v>40395969.670000002</v>
      </c>
      <c r="L323" s="4" t="s">
        <v>1048</v>
      </c>
      <c r="M323" s="4" t="s">
        <v>1049</v>
      </c>
      <c r="N323" s="4" t="s">
        <v>186</v>
      </c>
      <c r="O323" s="4" t="s">
        <v>59</v>
      </c>
      <c r="P323" s="4" t="s">
        <v>59</v>
      </c>
      <c r="Q323" s="8" t="s">
        <v>100</v>
      </c>
      <c r="R323" s="9">
        <f t="shared" ref="R323:R386" si="6">E323/$E$1757</f>
        <v>5.9554259301578384E-4</v>
      </c>
      <c r="S323" s="55">
        <f>Tabla3[[#This Row],[Subtotal]]/12</f>
        <v>2828849.4166666665</v>
      </c>
    </row>
    <row r="324" spans="1:19" x14ac:dyDescent="0.2">
      <c r="A324" s="4">
        <v>930</v>
      </c>
      <c r="B324" s="2">
        <v>33909998</v>
      </c>
      <c r="C324" s="2">
        <v>0</v>
      </c>
      <c r="D324" s="4" t="s">
        <v>1053</v>
      </c>
      <c r="E324" s="2">
        <v>33909998</v>
      </c>
      <c r="F324" s="2">
        <v>6442899.6200000001</v>
      </c>
      <c r="G324" s="2">
        <v>0</v>
      </c>
      <c r="H324" s="4">
        <v>0</v>
      </c>
      <c r="I324" s="4">
        <v>0</v>
      </c>
      <c r="J324" s="4">
        <v>0</v>
      </c>
      <c r="K324" s="4">
        <v>40352897.619999997</v>
      </c>
      <c r="L324" s="4" t="s">
        <v>1051</v>
      </c>
      <c r="M324" s="4" t="s">
        <v>1052</v>
      </c>
      <c r="N324" s="4" t="s">
        <v>1054</v>
      </c>
      <c r="O324" s="4" t="s">
        <v>89</v>
      </c>
      <c r="P324" s="4" t="s">
        <v>89</v>
      </c>
      <c r="Q324" s="8" t="s">
        <v>100</v>
      </c>
      <c r="R324" s="9">
        <f t="shared" si="6"/>
        <v>5.9490759797659911E-4</v>
      </c>
      <c r="S324" s="55">
        <f>Tabla3[[#This Row],[Subtotal]]/12</f>
        <v>2825833.1666666665</v>
      </c>
    </row>
    <row r="325" spans="1:19" x14ac:dyDescent="0.2">
      <c r="A325" s="4">
        <v>1243</v>
      </c>
      <c r="B325" s="2">
        <v>33697980</v>
      </c>
      <c r="C325" s="2">
        <v>0</v>
      </c>
      <c r="D325" s="4" t="s">
        <v>1057</v>
      </c>
      <c r="E325" s="2">
        <v>33697980</v>
      </c>
      <c r="F325" s="2">
        <v>6402616.2000000002</v>
      </c>
      <c r="G325" s="2">
        <v>0</v>
      </c>
      <c r="H325" s="4">
        <v>0</v>
      </c>
      <c r="I325" s="4">
        <v>0</v>
      </c>
      <c r="J325" s="4">
        <v>0</v>
      </c>
      <c r="K325" s="4">
        <v>40100596.200000003</v>
      </c>
      <c r="L325" s="4" t="s">
        <v>1055</v>
      </c>
      <c r="M325" s="4" t="s">
        <v>1056</v>
      </c>
      <c r="N325" s="4" t="s">
        <v>1058</v>
      </c>
      <c r="O325" s="4" t="s">
        <v>196</v>
      </c>
      <c r="P325" s="4" t="s">
        <v>196</v>
      </c>
      <c r="Q325" s="8" t="s">
        <v>100</v>
      </c>
      <c r="R325" s="9">
        <f t="shared" si="6"/>
        <v>5.911880130002803E-4</v>
      </c>
      <c r="S325" s="55">
        <f>Tabla3[[#This Row],[Subtotal]]/12</f>
        <v>2808165</v>
      </c>
    </row>
    <row r="326" spans="1:19" x14ac:dyDescent="0.2">
      <c r="A326" s="4">
        <v>1116</v>
      </c>
      <c r="B326" s="2">
        <v>33670393</v>
      </c>
      <c r="C326" s="2">
        <v>0</v>
      </c>
      <c r="D326" s="4" t="s">
        <v>1061</v>
      </c>
      <c r="E326" s="2">
        <v>33670393</v>
      </c>
      <c r="F326" s="2">
        <v>6397374.6699999999</v>
      </c>
      <c r="G326" s="2">
        <v>841759.83</v>
      </c>
      <c r="H326" s="4">
        <v>0</v>
      </c>
      <c r="I326" s="4">
        <v>0</v>
      </c>
      <c r="J326" s="4">
        <v>841759.83</v>
      </c>
      <c r="K326" s="4">
        <v>39226007.840000004</v>
      </c>
      <c r="L326" s="4" t="s">
        <v>1059</v>
      </c>
      <c r="M326" s="4" t="s">
        <v>1060</v>
      </c>
      <c r="N326" s="4" t="s">
        <v>1062</v>
      </c>
      <c r="O326" s="4" t="s">
        <v>747</v>
      </c>
      <c r="P326" s="4" t="s">
        <v>747</v>
      </c>
      <c r="Q326" s="8" t="s">
        <v>28</v>
      </c>
      <c r="R326" s="9">
        <f t="shared" si="6"/>
        <v>5.9070403432515974E-4</v>
      </c>
      <c r="S326" s="55">
        <f>Tabla3[[#This Row],[Subtotal]]/12</f>
        <v>2805866.0833333335</v>
      </c>
    </row>
    <row r="327" spans="1:19" x14ac:dyDescent="0.2">
      <c r="A327" s="4">
        <v>1342</v>
      </c>
      <c r="B327" s="2">
        <v>33633660</v>
      </c>
      <c r="C327" s="2">
        <v>0</v>
      </c>
      <c r="D327" s="4" t="s">
        <v>1065</v>
      </c>
      <c r="E327" s="2">
        <v>33633660</v>
      </c>
      <c r="F327" s="2">
        <v>6390395.4000000004</v>
      </c>
      <c r="G327" s="2">
        <v>0</v>
      </c>
      <c r="H327" s="4">
        <v>0</v>
      </c>
      <c r="I327" s="4">
        <v>0</v>
      </c>
      <c r="J327" s="4">
        <v>0</v>
      </c>
      <c r="K327" s="4">
        <v>40024055.399999999</v>
      </c>
      <c r="L327" s="4" t="s">
        <v>1063</v>
      </c>
      <c r="M327" s="4" t="s">
        <v>1064</v>
      </c>
      <c r="N327" s="4" t="s">
        <v>104</v>
      </c>
      <c r="O327" s="4" t="s">
        <v>105</v>
      </c>
      <c r="P327" s="4" t="s">
        <v>105</v>
      </c>
      <c r="Q327" s="8" t="s">
        <v>100</v>
      </c>
      <c r="R327" s="9">
        <f t="shared" si="6"/>
        <v>5.9005960076322105E-4</v>
      </c>
      <c r="S327" s="55">
        <f>Tabla3[[#This Row],[Subtotal]]/12</f>
        <v>2802805</v>
      </c>
    </row>
    <row r="328" spans="1:19" x14ac:dyDescent="0.2">
      <c r="A328" s="4">
        <v>1562</v>
      </c>
      <c r="B328" s="2">
        <v>33349787</v>
      </c>
      <c r="C328" s="2">
        <v>0</v>
      </c>
      <c r="D328" s="4" t="s">
        <v>1068</v>
      </c>
      <c r="E328" s="2">
        <v>33349787</v>
      </c>
      <c r="F328" s="2">
        <v>6336459.5300000003</v>
      </c>
      <c r="G328" s="2">
        <v>0</v>
      </c>
      <c r="H328" s="4">
        <v>0</v>
      </c>
      <c r="I328" s="4">
        <v>0</v>
      </c>
      <c r="J328" s="4">
        <v>0</v>
      </c>
      <c r="K328" s="4">
        <v>39686246.530000001</v>
      </c>
      <c r="L328" s="4" t="s">
        <v>1066</v>
      </c>
      <c r="M328" s="4" t="s">
        <v>1067</v>
      </c>
      <c r="N328" s="4" t="s">
        <v>195</v>
      </c>
      <c r="O328" s="4" t="s">
        <v>196</v>
      </c>
      <c r="P328" s="4" t="s">
        <v>196</v>
      </c>
      <c r="Q328" s="8" t="s">
        <v>100</v>
      </c>
      <c r="R328" s="9">
        <f t="shared" si="6"/>
        <v>5.8507941160011896E-4</v>
      </c>
      <c r="S328" s="55">
        <f>Tabla3[[#This Row],[Subtotal]]/12</f>
        <v>2779148.9166666665</v>
      </c>
    </row>
    <row r="329" spans="1:19" x14ac:dyDescent="0.2">
      <c r="A329" s="4">
        <v>1219</v>
      </c>
      <c r="B329" s="2">
        <v>33344246</v>
      </c>
      <c r="C329" s="2">
        <v>0</v>
      </c>
      <c r="D329" s="4" t="s">
        <v>1070</v>
      </c>
      <c r="E329" s="2">
        <v>33344246</v>
      </c>
      <c r="F329" s="2">
        <v>6335406.7400000002</v>
      </c>
      <c r="G329" s="2">
        <v>833606.16</v>
      </c>
      <c r="H329" s="4">
        <v>950311.02</v>
      </c>
      <c r="I329" s="4">
        <v>198224.01</v>
      </c>
      <c r="J329" s="4">
        <v>1982141.19</v>
      </c>
      <c r="K329" s="4">
        <v>37697511.549999997</v>
      </c>
      <c r="L329" s="4" t="s">
        <v>1069</v>
      </c>
      <c r="M329" s="4" t="s">
        <v>1006</v>
      </c>
      <c r="N329" s="4" t="s">
        <v>20</v>
      </c>
      <c r="O329" s="4" t="s">
        <v>71</v>
      </c>
      <c r="P329" s="4" t="s">
        <v>71</v>
      </c>
      <c r="Q329" s="8" t="s">
        <v>28</v>
      </c>
      <c r="R329" s="9">
        <f t="shared" si="6"/>
        <v>5.8498220183324169E-4</v>
      </c>
      <c r="S329" s="55">
        <f>Tabla3[[#This Row],[Subtotal]]/12</f>
        <v>2778687.1666666665</v>
      </c>
    </row>
    <row r="330" spans="1:19" x14ac:dyDescent="0.2">
      <c r="A330" s="4">
        <v>1270</v>
      </c>
      <c r="B330" s="2">
        <v>33251558</v>
      </c>
      <c r="C330" s="2">
        <v>0</v>
      </c>
      <c r="D330" s="4" t="s">
        <v>1073</v>
      </c>
      <c r="E330" s="2">
        <v>33251558</v>
      </c>
      <c r="F330" s="2">
        <v>6317796.0199999996</v>
      </c>
      <c r="G330" s="2">
        <v>811762.57</v>
      </c>
      <c r="H330" s="4">
        <v>0</v>
      </c>
      <c r="I330" s="4">
        <v>0</v>
      </c>
      <c r="J330" s="4">
        <v>811762.57</v>
      </c>
      <c r="K330" s="4">
        <v>38757591.450000003</v>
      </c>
      <c r="L330" s="4" t="s">
        <v>1071</v>
      </c>
      <c r="M330" s="4" t="s">
        <v>1072</v>
      </c>
      <c r="N330" s="4" t="s">
        <v>104</v>
      </c>
      <c r="O330" s="4" t="s">
        <v>105</v>
      </c>
      <c r="P330" s="4" t="s">
        <v>105</v>
      </c>
      <c r="Q330" s="8" t="s">
        <v>28</v>
      </c>
      <c r="R330" s="9">
        <f t="shared" si="6"/>
        <v>5.8335610927371826E-4</v>
      </c>
      <c r="S330" s="55">
        <f>Tabla3[[#This Row],[Subtotal]]/12</f>
        <v>2770963.1666666665</v>
      </c>
    </row>
    <row r="331" spans="1:19" x14ac:dyDescent="0.2">
      <c r="A331" s="4">
        <v>789</v>
      </c>
      <c r="B331" s="2">
        <v>33228866</v>
      </c>
      <c r="C331" s="2">
        <v>0</v>
      </c>
      <c r="D331" s="4" t="s">
        <v>1076</v>
      </c>
      <c r="E331" s="2">
        <v>33228866</v>
      </c>
      <c r="F331" s="2">
        <v>6313484.54</v>
      </c>
      <c r="G331" s="2">
        <v>0</v>
      </c>
      <c r="H331" s="4">
        <v>0</v>
      </c>
      <c r="I331" s="4">
        <v>0</v>
      </c>
      <c r="J331" s="4">
        <v>0</v>
      </c>
      <c r="K331" s="4">
        <v>39542350.539999999</v>
      </c>
      <c r="L331" s="4" t="s">
        <v>1074</v>
      </c>
      <c r="M331" s="4" t="s">
        <v>1075</v>
      </c>
      <c r="N331" s="4" t="s">
        <v>1077</v>
      </c>
      <c r="O331" s="4" t="s">
        <v>105</v>
      </c>
      <c r="P331" s="4" t="s">
        <v>105</v>
      </c>
      <c r="Q331" s="8" t="s">
        <v>100</v>
      </c>
      <c r="R331" s="9">
        <f t="shared" si="6"/>
        <v>5.8295800712068117E-4</v>
      </c>
      <c r="S331" s="55">
        <f>Tabla3[[#This Row],[Subtotal]]/12</f>
        <v>2769072.1666666665</v>
      </c>
    </row>
    <row r="332" spans="1:19" x14ac:dyDescent="0.2">
      <c r="A332" s="4">
        <v>976</v>
      </c>
      <c r="B332" s="2">
        <v>33351176</v>
      </c>
      <c r="C332" s="2">
        <v>135460.65</v>
      </c>
      <c r="D332" s="4" t="s">
        <v>1080</v>
      </c>
      <c r="E332" s="2">
        <v>33215715.350000001</v>
      </c>
      <c r="F332" s="2">
        <v>6310985.9199999999</v>
      </c>
      <c r="G332" s="2">
        <v>169760.6</v>
      </c>
      <c r="H332" s="4">
        <v>0</v>
      </c>
      <c r="I332" s="4">
        <v>0</v>
      </c>
      <c r="J332" s="4">
        <v>169760.6</v>
      </c>
      <c r="K332" s="4">
        <v>39356940.670000002</v>
      </c>
      <c r="L332" s="4" t="s">
        <v>1078</v>
      </c>
      <c r="M332" s="4" t="s">
        <v>1079</v>
      </c>
      <c r="N332" s="4" t="s">
        <v>233</v>
      </c>
      <c r="O332" s="4" t="s">
        <v>229</v>
      </c>
      <c r="P332" s="4" t="s">
        <v>229</v>
      </c>
      <c r="Q332" s="8" t="s">
        <v>100</v>
      </c>
      <c r="R332" s="9">
        <f t="shared" si="6"/>
        <v>5.8272729576518861E-4</v>
      </c>
      <c r="S332" s="55">
        <f>Tabla3[[#This Row],[Subtotal]]/12</f>
        <v>2767976.2791666668</v>
      </c>
    </row>
    <row r="333" spans="1:19" x14ac:dyDescent="0.2">
      <c r="A333" s="4">
        <v>699</v>
      </c>
      <c r="B333" s="2">
        <v>32930138</v>
      </c>
      <c r="C333" s="2">
        <v>0</v>
      </c>
      <c r="D333" s="4" t="s">
        <v>1083</v>
      </c>
      <c r="E333" s="2">
        <v>32930138</v>
      </c>
      <c r="F333" s="2">
        <v>6256726.2199999997</v>
      </c>
      <c r="G333" s="2">
        <v>0</v>
      </c>
      <c r="H333" s="4">
        <v>0</v>
      </c>
      <c r="I333" s="4">
        <v>0</v>
      </c>
      <c r="J333" s="4">
        <v>0</v>
      </c>
      <c r="K333" s="4">
        <v>39186864.219999999</v>
      </c>
      <c r="L333" s="4" t="s">
        <v>1081</v>
      </c>
      <c r="M333" s="4" t="s">
        <v>1082</v>
      </c>
      <c r="N333" s="4" t="s">
        <v>112</v>
      </c>
      <c r="O333" s="4" t="s">
        <v>113</v>
      </c>
      <c r="P333" s="4" t="s">
        <v>113</v>
      </c>
      <c r="Q333" s="8" t="s">
        <v>100</v>
      </c>
      <c r="R333" s="9">
        <f t="shared" si="6"/>
        <v>5.7771720595848838E-4</v>
      </c>
      <c r="S333" s="55">
        <f>Tabla3[[#This Row],[Subtotal]]/12</f>
        <v>2744178.1666666665</v>
      </c>
    </row>
    <row r="334" spans="1:19" x14ac:dyDescent="0.2">
      <c r="A334" s="4">
        <v>915</v>
      </c>
      <c r="B334" s="2">
        <v>32599651</v>
      </c>
      <c r="C334" s="2">
        <v>0</v>
      </c>
      <c r="D334" s="4" t="s">
        <v>1085</v>
      </c>
      <c r="E334" s="2">
        <v>32599651</v>
      </c>
      <c r="F334" s="2">
        <v>6193933.6900000004</v>
      </c>
      <c r="G334" s="2">
        <v>814991.28</v>
      </c>
      <c r="H334" s="4">
        <v>929090.05</v>
      </c>
      <c r="I334" s="4">
        <v>0</v>
      </c>
      <c r="J334" s="4">
        <v>1744081.33</v>
      </c>
      <c r="K334" s="4">
        <v>37049503.359999999</v>
      </c>
      <c r="L334" s="4" t="s">
        <v>1084</v>
      </c>
      <c r="M334" s="4" t="s">
        <v>175</v>
      </c>
      <c r="N334" s="4" t="s">
        <v>306</v>
      </c>
      <c r="O334" s="4" t="s">
        <v>42</v>
      </c>
      <c r="P334" s="4" t="s">
        <v>42</v>
      </c>
      <c r="Q334" s="8" t="s">
        <v>28</v>
      </c>
      <c r="R334" s="9">
        <f t="shared" si="6"/>
        <v>5.7191923371052505E-4</v>
      </c>
      <c r="S334" s="55">
        <f>Tabla3[[#This Row],[Subtotal]]/12</f>
        <v>2716637.5833333335</v>
      </c>
    </row>
    <row r="335" spans="1:19" x14ac:dyDescent="0.2">
      <c r="A335" s="4">
        <v>746</v>
      </c>
      <c r="B335" s="2">
        <v>32570978</v>
      </c>
      <c r="C335" s="2">
        <v>0</v>
      </c>
      <c r="D335" s="4" t="s">
        <v>1087</v>
      </c>
      <c r="E335" s="2">
        <v>32570978</v>
      </c>
      <c r="F335" s="2">
        <v>6188485.8200000003</v>
      </c>
      <c r="G335" s="2">
        <v>787562.46</v>
      </c>
      <c r="H335" s="4">
        <v>928272.88</v>
      </c>
      <c r="I335" s="4">
        <v>0</v>
      </c>
      <c r="J335" s="4">
        <v>1715835.34</v>
      </c>
      <c r="K335" s="4">
        <v>37043628.479999997</v>
      </c>
      <c r="L335" s="4" t="s">
        <v>1086</v>
      </c>
      <c r="M335" s="4" t="s">
        <v>81</v>
      </c>
      <c r="N335" s="4" t="s">
        <v>32</v>
      </c>
      <c r="O335" s="4" t="s">
        <v>33</v>
      </c>
      <c r="P335" s="4" t="s">
        <v>33</v>
      </c>
      <c r="Q335" s="8" t="s">
        <v>28</v>
      </c>
      <c r="R335" s="9">
        <f t="shared" si="6"/>
        <v>5.7141620255267065E-4</v>
      </c>
      <c r="S335" s="55">
        <f>Tabla3[[#This Row],[Subtotal]]/12</f>
        <v>2714248.1666666665</v>
      </c>
    </row>
    <row r="336" spans="1:19" x14ac:dyDescent="0.2">
      <c r="A336" s="4">
        <v>1607</v>
      </c>
      <c r="B336" s="2">
        <v>32557808</v>
      </c>
      <c r="C336" s="2">
        <v>0</v>
      </c>
      <c r="D336" s="4" t="s">
        <v>1090</v>
      </c>
      <c r="E336" s="2">
        <v>32557808</v>
      </c>
      <c r="F336" s="2">
        <v>6185983.5199999996</v>
      </c>
      <c r="G336" s="2">
        <v>0</v>
      </c>
      <c r="H336" s="4">
        <v>0</v>
      </c>
      <c r="I336" s="4">
        <v>0</v>
      </c>
      <c r="J336" s="4">
        <v>0</v>
      </c>
      <c r="K336" s="4">
        <v>38743791.520000003</v>
      </c>
      <c r="L336" s="4" t="s">
        <v>1088</v>
      </c>
      <c r="M336" s="4" t="s">
        <v>1089</v>
      </c>
      <c r="N336" s="4" t="s">
        <v>581</v>
      </c>
      <c r="O336" s="4" t="s">
        <v>59</v>
      </c>
      <c r="P336" s="4" t="s">
        <v>59</v>
      </c>
      <c r="Q336" s="8" t="s">
        <v>100</v>
      </c>
      <c r="R336" s="9">
        <f t="shared" si="6"/>
        <v>5.7118515172614585E-4</v>
      </c>
      <c r="S336" s="55">
        <f>Tabla3[[#This Row],[Subtotal]]/12</f>
        <v>2713150.6666666665</v>
      </c>
    </row>
    <row r="337" spans="1:19" x14ac:dyDescent="0.2">
      <c r="A337" s="4">
        <v>745</v>
      </c>
      <c r="B337" s="2">
        <v>32521289</v>
      </c>
      <c r="C337" s="2">
        <v>0</v>
      </c>
      <c r="D337" s="4" t="s">
        <v>1092</v>
      </c>
      <c r="E337" s="2">
        <v>32521289</v>
      </c>
      <c r="F337" s="2">
        <v>6179044.9100000001</v>
      </c>
      <c r="G337" s="2">
        <v>794134.93</v>
      </c>
      <c r="H337" s="4">
        <v>926856.74</v>
      </c>
      <c r="I337" s="4">
        <v>0</v>
      </c>
      <c r="J337" s="4">
        <v>1720991.67</v>
      </c>
      <c r="K337" s="4">
        <v>36979342.240000002</v>
      </c>
      <c r="L337" s="4" t="s">
        <v>1091</v>
      </c>
      <c r="M337" s="4" t="s">
        <v>81</v>
      </c>
      <c r="N337" s="4" t="s">
        <v>565</v>
      </c>
      <c r="O337" s="4" t="s">
        <v>42</v>
      </c>
      <c r="P337" s="4" t="s">
        <v>42</v>
      </c>
      <c r="Q337" s="8" t="s">
        <v>28</v>
      </c>
      <c r="R337" s="9">
        <f t="shared" si="6"/>
        <v>5.7054447252084166E-4</v>
      </c>
      <c r="S337" s="55">
        <f>Tabla3[[#This Row],[Subtotal]]/12</f>
        <v>2710107.4166666665</v>
      </c>
    </row>
    <row r="338" spans="1:19" x14ac:dyDescent="0.2">
      <c r="A338" s="4">
        <v>618</v>
      </c>
      <c r="B338" s="2">
        <v>32471176</v>
      </c>
      <c r="C338" s="2">
        <v>0</v>
      </c>
      <c r="D338" s="4" t="s">
        <v>1095</v>
      </c>
      <c r="E338" s="2">
        <v>32471176</v>
      </c>
      <c r="F338" s="2">
        <v>6169523.4400000004</v>
      </c>
      <c r="G338" s="2">
        <v>753663.38</v>
      </c>
      <c r="H338" s="4">
        <v>0</v>
      </c>
      <c r="I338" s="4">
        <v>0</v>
      </c>
      <c r="J338" s="4">
        <v>753663.38</v>
      </c>
      <c r="K338" s="4">
        <v>37887036.060000002</v>
      </c>
      <c r="L338" s="4" t="s">
        <v>1093</v>
      </c>
      <c r="M338" s="4" t="s">
        <v>1094</v>
      </c>
      <c r="N338" s="4" t="s">
        <v>1096</v>
      </c>
      <c r="O338" s="4" t="s">
        <v>89</v>
      </c>
      <c r="P338" s="4" t="s">
        <v>89</v>
      </c>
      <c r="Q338" s="8" t="s">
        <v>100</v>
      </c>
      <c r="R338" s="9">
        <f t="shared" si="6"/>
        <v>5.696653039506341E-4</v>
      </c>
      <c r="S338" s="55">
        <f>Tabla3[[#This Row],[Subtotal]]/12</f>
        <v>2705931.3333333335</v>
      </c>
    </row>
    <row r="339" spans="1:19" x14ac:dyDescent="0.2">
      <c r="A339" s="4">
        <v>514</v>
      </c>
      <c r="B339" s="2">
        <v>32468864</v>
      </c>
      <c r="C339" s="2">
        <v>0</v>
      </c>
      <c r="D339" s="4" t="s">
        <v>1099</v>
      </c>
      <c r="E339" s="2">
        <v>32468864</v>
      </c>
      <c r="F339" s="2">
        <v>6169084.1600000001</v>
      </c>
      <c r="G339" s="2">
        <v>782307.81</v>
      </c>
      <c r="H339" s="4">
        <v>0</v>
      </c>
      <c r="I339" s="4">
        <v>0</v>
      </c>
      <c r="J339" s="4">
        <v>782307.81</v>
      </c>
      <c r="K339" s="4">
        <v>37855640.350000001</v>
      </c>
      <c r="L339" s="4" t="s">
        <v>1097</v>
      </c>
      <c r="M339" s="4" t="s">
        <v>1098</v>
      </c>
      <c r="N339" s="4" t="s">
        <v>1100</v>
      </c>
      <c r="O339" s="4" t="s">
        <v>229</v>
      </c>
      <c r="P339" s="4" t="s">
        <v>229</v>
      </c>
      <c r="Q339" s="8" t="s">
        <v>100</v>
      </c>
      <c r="R339" s="9">
        <f t="shared" si="6"/>
        <v>5.6962474286400351E-4</v>
      </c>
      <c r="S339" s="55">
        <f>Tabla3[[#This Row],[Subtotal]]/12</f>
        <v>2705738.6666666665</v>
      </c>
    </row>
    <row r="340" spans="1:19" x14ac:dyDescent="0.2">
      <c r="A340" s="4">
        <v>1203</v>
      </c>
      <c r="B340" s="2">
        <v>32345972</v>
      </c>
      <c r="C340" s="2">
        <v>0</v>
      </c>
      <c r="D340" s="4" t="s">
        <v>1103</v>
      </c>
      <c r="E340" s="2">
        <v>32345972</v>
      </c>
      <c r="F340" s="2">
        <v>6145734.6799999997</v>
      </c>
      <c r="G340" s="2">
        <v>808649.32</v>
      </c>
      <c r="H340" s="4">
        <v>0</v>
      </c>
      <c r="I340" s="4">
        <v>0</v>
      </c>
      <c r="J340" s="4">
        <v>808649.32</v>
      </c>
      <c r="K340" s="4">
        <v>37683057.359999999</v>
      </c>
      <c r="L340" s="4" t="s">
        <v>1101</v>
      </c>
      <c r="M340" s="4" t="s">
        <v>1102</v>
      </c>
      <c r="N340" s="4" t="s">
        <v>322</v>
      </c>
      <c r="O340" s="4" t="s">
        <v>229</v>
      </c>
      <c r="P340" s="4" t="s">
        <v>229</v>
      </c>
      <c r="Q340" s="8" t="s">
        <v>100</v>
      </c>
      <c r="R340" s="9">
        <f t="shared" si="6"/>
        <v>5.674687597073386E-4</v>
      </c>
      <c r="S340" s="55">
        <f>Tabla3[[#This Row],[Subtotal]]/12</f>
        <v>2695497.6666666665</v>
      </c>
    </row>
    <row r="341" spans="1:19" x14ac:dyDescent="0.2">
      <c r="A341" s="4">
        <v>936</v>
      </c>
      <c r="B341" s="2">
        <v>33855746</v>
      </c>
      <c r="C341" s="2">
        <v>1543315.5</v>
      </c>
      <c r="D341" s="4" t="s">
        <v>1106</v>
      </c>
      <c r="E341" s="2">
        <v>32312430.5</v>
      </c>
      <c r="F341" s="2">
        <v>6139361.7999999998</v>
      </c>
      <c r="G341" s="2">
        <v>807810.76</v>
      </c>
      <c r="H341" s="4">
        <v>0</v>
      </c>
      <c r="I341" s="4">
        <v>0</v>
      </c>
      <c r="J341" s="4">
        <v>807810.76</v>
      </c>
      <c r="K341" s="4">
        <v>37643981.539999999</v>
      </c>
      <c r="L341" s="4" t="s">
        <v>1104</v>
      </c>
      <c r="M341" s="4" t="s">
        <v>1105</v>
      </c>
      <c r="N341" s="4" t="s">
        <v>1107</v>
      </c>
      <c r="O341" s="4" t="s">
        <v>76</v>
      </c>
      <c r="P341" s="4" t="s">
        <v>76</v>
      </c>
      <c r="Q341" s="8" t="s">
        <v>408</v>
      </c>
      <c r="R341" s="9">
        <f t="shared" si="6"/>
        <v>5.6688031693604942E-4</v>
      </c>
      <c r="S341" s="55">
        <f>Tabla3[[#This Row],[Subtotal]]/12</f>
        <v>2692702.5416666665</v>
      </c>
    </row>
    <row r="342" spans="1:19" x14ac:dyDescent="0.2">
      <c r="A342" s="4">
        <v>1038</v>
      </c>
      <c r="B342" s="2">
        <v>32234992</v>
      </c>
      <c r="C342" s="2">
        <v>113418.72</v>
      </c>
      <c r="D342" s="4" t="s">
        <v>1109</v>
      </c>
      <c r="E342" s="2">
        <v>32121573.280000001</v>
      </c>
      <c r="F342" s="2">
        <v>6103098.9199999999</v>
      </c>
      <c r="G342" s="2">
        <v>803039.33</v>
      </c>
      <c r="H342" s="4">
        <v>915464.84</v>
      </c>
      <c r="I342" s="4">
        <v>192729.44</v>
      </c>
      <c r="J342" s="4">
        <v>1911233.61</v>
      </c>
      <c r="K342" s="4">
        <v>36313438.590000004</v>
      </c>
      <c r="L342" s="4" t="s">
        <v>1108</v>
      </c>
      <c r="M342" s="4" t="s">
        <v>178</v>
      </c>
      <c r="N342" s="4" t="s">
        <v>293</v>
      </c>
      <c r="O342" s="4" t="s">
        <v>229</v>
      </c>
      <c r="P342" s="4" t="s">
        <v>229</v>
      </c>
      <c r="Q342" s="8" t="s">
        <v>28</v>
      </c>
      <c r="R342" s="9">
        <f t="shared" si="6"/>
        <v>5.6353197081386174E-4</v>
      </c>
      <c r="S342" s="55">
        <f>Tabla3[[#This Row],[Subtotal]]/12</f>
        <v>2676797.7733333334</v>
      </c>
    </row>
    <row r="343" spans="1:19" x14ac:dyDescent="0.2">
      <c r="A343" s="4">
        <v>429</v>
      </c>
      <c r="B343" s="2">
        <v>32054616</v>
      </c>
      <c r="C343" s="2">
        <v>0</v>
      </c>
      <c r="D343" s="4" t="s">
        <v>1112</v>
      </c>
      <c r="E343" s="2">
        <v>32054616</v>
      </c>
      <c r="F343" s="2">
        <v>6090377.04</v>
      </c>
      <c r="G343" s="2">
        <v>0</v>
      </c>
      <c r="H343" s="4">
        <v>0</v>
      </c>
      <c r="I343" s="4">
        <v>0</v>
      </c>
      <c r="J343" s="4">
        <v>0</v>
      </c>
      <c r="K343" s="4">
        <v>38144993.039999999</v>
      </c>
      <c r="L343" s="4" t="s">
        <v>1110</v>
      </c>
      <c r="M343" s="4" t="s">
        <v>1111</v>
      </c>
      <c r="N343" s="4" t="s">
        <v>88</v>
      </c>
      <c r="O343" s="4" t="s">
        <v>89</v>
      </c>
      <c r="P343" s="4" t="s">
        <v>89</v>
      </c>
      <c r="Q343" s="8" t="s">
        <v>100</v>
      </c>
      <c r="R343" s="9">
        <f t="shared" si="6"/>
        <v>5.6235729086808741E-4</v>
      </c>
      <c r="S343" s="55">
        <f>Tabla3[[#This Row],[Subtotal]]/12</f>
        <v>2671218</v>
      </c>
    </row>
    <row r="344" spans="1:19" x14ac:dyDescent="0.2">
      <c r="A344" s="4">
        <v>1659</v>
      </c>
      <c r="B344" s="2">
        <v>32021611</v>
      </c>
      <c r="C344" s="2">
        <v>52787.4</v>
      </c>
      <c r="D344" s="4" t="s">
        <v>1115</v>
      </c>
      <c r="E344" s="2">
        <v>31968823.600000001</v>
      </c>
      <c r="F344" s="2">
        <v>6074076.4800000004</v>
      </c>
      <c r="G344" s="2">
        <v>663947.04</v>
      </c>
      <c r="H344" s="4">
        <v>0</v>
      </c>
      <c r="I344" s="4">
        <v>0</v>
      </c>
      <c r="J344" s="4">
        <v>663947.04</v>
      </c>
      <c r="K344" s="4">
        <v>37378953.039999999</v>
      </c>
      <c r="L344" s="4" t="s">
        <v>1113</v>
      </c>
      <c r="M344" s="4" t="s">
        <v>1114</v>
      </c>
      <c r="N344" s="4" t="s">
        <v>20</v>
      </c>
      <c r="O344" s="4" t="s">
        <v>89</v>
      </c>
      <c r="P344" s="4" t="s">
        <v>89</v>
      </c>
      <c r="Q344" s="8" t="s">
        <v>100</v>
      </c>
      <c r="R344" s="9">
        <f t="shared" si="6"/>
        <v>5.6085217280206316E-4</v>
      </c>
      <c r="S344" s="55">
        <f>Tabla3[[#This Row],[Subtotal]]/12</f>
        <v>2664068.6333333333</v>
      </c>
    </row>
    <row r="345" spans="1:19" x14ac:dyDescent="0.2">
      <c r="A345" s="4">
        <v>680</v>
      </c>
      <c r="B345" s="2">
        <v>31678829</v>
      </c>
      <c r="C345" s="2">
        <v>0</v>
      </c>
      <c r="D345" s="4" t="s">
        <v>1118</v>
      </c>
      <c r="E345" s="2">
        <v>31678829</v>
      </c>
      <c r="F345" s="2">
        <v>6018977.5099999998</v>
      </c>
      <c r="G345" s="2">
        <v>665643.68999999994</v>
      </c>
      <c r="H345" s="4">
        <v>0</v>
      </c>
      <c r="I345" s="4">
        <v>0</v>
      </c>
      <c r="J345" s="4">
        <v>665643.68999999994</v>
      </c>
      <c r="K345" s="4">
        <v>37032162.82</v>
      </c>
      <c r="L345" s="4" t="s">
        <v>1116</v>
      </c>
      <c r="M345" s="4" t="s">
        <v>1117</v>
      </c>
      <c r="N345" s="4" t="s">
        <v>20</v>
      </c>
      <c r="O345" s="4" t="s">
        <v>257</v>
      </c>
      <c r="P345" s="4" t="s">
        <v>257</v>
      </c>
      <c r="Q345" s="8" t="s">
        <v>100</v>
      </c>
      <c r="R345" s="9">
        <f t="shared" si="6"/>
        <v>5.5576458798674744E-4</v>
      </c>
      <c r="S345" s="55">
        <f>Tabla3[[#This Row],[Subtotal]]/12</f>
        <v>2639902.4166666665</v>
      </c>
    </row>
    <row r="346" spans="1:19" x14ac:dyDescent="0.2">
      <c r="A346" s="4">
        <v>1479</v>
      </c>
      <c r="B346" s="2">
        <v>31430136</v>
      </c>
      <c r="C346" s="2">
        <v>0</v>
      </c>
      <c r="D346" s="4" t="s">
        <v>1121</v>
      </c>
      <c r="E346" s="2">
        <v>31430136</v>
      </c>
      <c r="F346" s="2">
        <v>5971725.8399999999</v>
      </c>
      <c r="G346" s="2">
        <v>0</v>
      </c>
      <c r="H346" s="4">
        <v>0</v>
      </c>
      <c r="I346" s="4">
        <v>0</v>
      </c>
      <c r="J346" s="4">
        <v>0</v>
      </c>
      <c r="K346" s="4">
        <v>37401861.840000004</v>
      </c>
      <c r="L346" s="4" t="s">
        <v>1119</v>
      </c>
      <c r="M346" s="4" t="s">
        <v>1120</v>
      </c>
      <c r="N346" s="4" t="s">
        <v>975</v>
      </c>
      <c r="O346" s="4" t="s">
        <v>89</v>
      </c>
      <c r="P346" s="4" t="s">
        <v>89</v>
      </c>
      <c r="Q346" s="8" t="s">
        <v>28</v>
      </c>
      <c r="R346" s="9">
        <f t="shared" si="6"/>
        <v>5.5140158698440019E-4</v>
      </c>
      <c r="S346" s="55">
        <f>Tabla3[[#This Row],[Subtotal]]/12</f>
        <v>2619178</v>
      </c>
    </row>
    <row r="347" spans="1:19" x14ac:dyDescent="0.2">
      <c r="A347" s="4">
        <v>916</v>
      </c>
      <c r="B347" s="2">
        <v>31322461</v>
      </c>
      <c r="C347" s="2">
        <v>0</v>
      </c>
      <c r="D347" s="4" t="s">
        <v>1123</v>
      </c>
      <c r="E347" s="2">
        <v>31322461</v>
      </c>
      <c r="F347" s="2">
        <v>5951267.5899999999</v>
      </c>
      <c r="G347" s="2">
        <v>783061.53</v>
      </c>
      <c r="H347" s="4">
        <v>892690.14</v>
      </c>
      <c r="I347" s="4">
        <v>0</v>
      </c>
      <c r="J347" s="4">
        <v>1675751.67</v>
      </c>
      <c r="K347" s="4">
        <v>35597976.920000002</v>
      </c>
      <c r="L347" s="4" t="s">
        <v>1122</v>
      </c>
      <c r="M347" s="4" t="s">
        <v>175</v>
      </c>
      <c r="N347" s="4" t="s">
        <v>389</v>
      </c>
      <c r="O347" s="4" t="s">
        <v>42</v>
      </c>
      <c r="P347" s="4" t="s">
        <v>42</v>
      </c>
      <c r="Q347" s="8" t="s">
        <v>28</v>
      </c>
      <c r="R347" s="9">
        <f t="shared" si="6"/>
        <v>5.49512566654404E-4</v>
      </c>
      <c r="S347" s="55">
        <f>Tabla3[[#This Row],[Subtotal]]/12</f>
        <v>2610205.0833333335</v>
      </c>
    </row>
    <row r="348" spans="1:19" x14ac:dyDescent="0.2">
      <c r="A348" s="4">
        <v>88</v>
      </c>
      <c r="B348" s="2">
        <v>31444244</v>
      </c>
      <c r="C348" s="2">
        <v>160731.09</v>
      </c>
      <c r="D348" s="4" t="s">
        <v>1126</v>
      </c>
      <c r="E348" s="2">
        <v>31283512.91</v>
      </c>
      <c r="F348" s="2">
        <v>5943867.4500000002</v>
      </c>
      <c r="G348" s="2">
        <v>0</v>
      </c>
      <c r="H348" s="4">
        <v>0</v>
      </c>
      <c r="I348" s="4">
        <v>0</v>
      </c>
      <c r="J348" s="4">
        <v>0</v>
      </c>
      <c r="K348" s="4">
        <v>37227380.359999999</v>
      </c>
      <c r="L348" s="4" t="s">
        <v>1124</v>
      </c>
      <c r="M348" s="4" t="s">
        <v>1125</v>
      </c>
      <c r="N348" s="4" t="s">
        <v>332</v>
      </c>
      <c r="O348" s="4" t="s">
        <v>1127</v>
      </c>
      <c r="P348" s="4" t="s">
        <v>1127</v>
      </c>
      <c r="Q348" s="8" t="s">
        <v>100</v>
      </c>
      <c r="R348" s="9">
        <f t="shared" si="6"/>
        <v>5.4882927216799097E-4</v>
      </c>
      <c r="S348" s="55">
        <f>Tabla3[[#This Row],[Subtotal]]/12</f>
        <v>2606959.4091666667</v>
      </c>
    </row>
    <row r="349" spans="1:19" x14ac:dyDescent="0.2">
      <c r="A349" s="4">
        <v>1686</v>
      </c>
      <c r="B349" s="2">
        <v>31373765</v>
      </c>
      <c r="C349" s="2">
        <v>118531.8</v>
      </c>
      <c r="D349" s="4" t="s">
        <v>1130</v>
      </c>
      <c r="E349" s="2">
        <v>31255233.199999999</v>
      </c>
      <c r="F349" s="2">
        <v>5938494.3099999996</v>
      </c>
      <c r="G349" s="2">
        <v>771741.64</v>
      </c>
      <c r="H349" s="4">
        <v>0</v>
      </c>
      <c r="I349" s="4">
        <v>0</v>
      </c>
      <c r="J349" s="4">
        <v>771741.64</v>
      </c>
      <c r="K349" s="4">
        <v>36421985.869999997</v>
      </c>
      <c r="L349" s="4" t="s">
        <v>1128</v>
      </c>
      <c r="M349" s="4" t="s">
        <v>1129</v>
      </c>
      <c r="N349" s="4" t="s">
        <v>1131</v>
      </c>
      <c r="O349" s="4" t="s">
        <v>27</v>
      </c>
      <c r="P349" s="4" t="s">
        <v>27</v>
      </c>
      <c r="Q349" s="8" t="s">
        <v>28</v>
      </c>
      <c r="R349" s="9">
        <f t="shared" si="6"/>
        <v>5.4833314078079427E-4</v>
      </c>
      <c r="S349" s="55">
        <f>Tabla3[[#This Row],[Subtotal]]/12</f>
        <v>2604602.7666666666</v>
      </c>
    </row>
    <row r="350" spans="1:19" x14ac:dyDescent="0.2">
      <c r="A350" s="4">
        <v>1044</v>
      </c>
      <c r="B350" s="2">
        <v>31376131</v>
      </c>
      <c r="C350" s="2">
        <v>198147.84</v>
      </c>
      <c r="D350" s="4" t="s">
        <v>1134</v>
      </c>
      <c r="E350" s="2">
        <v>31177983.16</v>
      </c>
      <c r="F350" s="2">
        <v>5923816.7999999998</v>
      </c>
      <c r="G350" s="2">
        <v>536115.29</v>
      </c>
      <c r="H350" s="4">
        <v>0</v>
      </c>
      <c r="I350" s="4">
        <v>0</v>
      </c>
      <c r="J350" s="4">
        <v>536115.29</v>
      </c>
      <c r="K350" s="4">
        <v>36565684.670000002</v>
      </c>
      <c r="L350" s="4" t="s">
        <v>1132</v>
      </c>
      <c r="M350" s="4" t="s">
        <v>1133</v>
      </c>
      <c r="N350" s="4" t="s">
        <v>20</v>
      </c>
      <c r="O350" s="4" t="s">
        <v>359</v>
      </c>
      <c r="P350" s="4" t="s">
        <v>359</v>
      </c>
      <c r="Q350" s="8" t="s">
        <v>100</v>
      </c>
      <c r="R350" s="9">
        <f t="shared" si="6"/>
        <v>5.4697788750888337E-4</v>
      </c>
      <c r="S350" s="55">
        <f>Tabla3[[#This Row],[Subtotal]]/12</f>
        <v>2598165.2633333332</v>
      </c>
    </row>
    <row r="351" spans="1:19" x14ac:dyDescent="0.2">
      <c r="A351" s="4">
        <v>1664</v>
      </c>
      <c r="B351" s="2">
        <v>31180163</v>
      </c>
      <c r="C351" s="2">
        <v>21866.55</v>
      </c>
      <c r="D351" s="4" t="s">
        <v>1137</v>
      </c>
      <c r="E351" s="2">
        <v>31158296.449999999</v>
      </c>
      <c r="F351" s="2">
        <v>5920076.3300000001</v>
      </c>
      <c r="G351" s="2">
        <v>0</v>
      </c>
      <c r="H351" s="4">
        <v>0</v>
      </c>
      <c r="I351" s="4">
        <v>0</v>
      </c>
      <c r="J351" s="4">
        <v>0</v>
      </c>
      <c r="K351" s="4">
        <v>37078372.780000001</v>
      </c>
      <c r="L351" s="4" t="s">
        <v>1135</v>
      </c>
      <c r="M351" s="4" t="s">
        <v>1136</v>
      </c>
      <c r="N351" s="4" t="s">
        <v>20</v>
      </c>
      <c r="O351" s="4" t="s">
        <v>316</v>
      </c>
      <c r="P351" s="4" t="s">
        <v>316</v>
      </c>
      <c r="Q351" s="8" t="s">
        <v>100</v>
      </c>
      <c r="R351" s="9">
        <f t="shared" si="6"/>
        <v>5.4663250932991193E-4</v>
      </c>
      <c r="S351" s="55">
        <f>Tabla3[[#This Row],[Subtotal]]/12</f>
        <v>2596524.7041666666</v>
      </c>
    </row>
    <row r="352" spans="1:19" x14ac:dyDescent="0.2">
      <c r="A352" s="4">
        <v>1085</v>
      </c>
      <c r="B352" s="2">
        <v>30840190</v>
      </c>
      <c r="C352" s="2">
        <v>0</v>
      </c>
      <c r="D352" s="4" t="s">
        <v>1139</v>
      </c>
      <c r="E352" s="2">
        <v>30840190</v>
      </c>
      <c r="F352" s="2">
        <v>5859636.0999999996</v>
      </c>
      <c r="G352" s="2">
        <v>0</v>
      </c>
      <c r="H352" s="4">
        <v>0</v>
      </c>
      <c r="I352" s="4">
        <v>0</v>
      </c>
      <c r="J352" s="4">
        <v>0</v>
      </c>
      <c r="K352" s="4">
        <v>36699826.100000001</v>
      </c>
      <c r="L352" s="4" t="s">
        <v>1138</v>
      </c>
      <c r="M352" s="4" t="s">
        <v>1138</v>
      </c>
      <c r="N352" s="4" t="s">
        <v>272</v>
      </c>
      <c r="O352" s="4" t="s">
        <v>89</v>
      </c>
      <c r="P352" s="4" t="s">
        <v>89</v>
      </c>
      <c r="Q352" s="8" t="s">
        <v>100</v>
      </c>
      <c r="R352" s="9">
        <f t="shared" si="6"/>
        <v>5.4105173801667378E-4</v>
      </c>
      <c r="S352" s="55">
        <f>Tabla3[[#This Row],[Subtotal]]/12</f>
        <v>2570015.8333333335</v>
      </c>
    </row>
    <row r="353" spans="1:19" x14ac:dyDescent="0.2">
      <c r="A353" s="4">
        <v>665</v>
      </c>
      <c r="B353" s="2">
        <v>30800744</v>
      </c>
      <c r="C353" s="2">
        <v>0</v>
      </c>
      <c r="D353" s="4" t="s">
        <v>1142</v>
      </c>
      <c r="E353" s="2">
        <v>30800744</v>
      </c>
      <c r="F353" s="2">
        <v>5852141.3600000003</v>
      </c>
      <c r="G353" s="2">
        <v>756483.36</v>
      </c>
      <c r="H353" s="4">
        <v>0</v>
      </c>
      <c r="I353" s="4">
        <v>0</v>
      </c>
      <c r="J353" s="4">
        <v>756483.36</v>
      </c>
      <c r="K353" s="4">
        <v>35896402</v>
      </c>
      <c r="L353" s="4" t="s">
        <v>1140</v>
      </c>
      <c r="M353" s="4" t="s">
        <v>1141</v>
      </c>
      <c r="N353" s="4" t="s">
        <v>1143</v>
      </c>
      <c r="O353" s="4" t="s">
        <v>340</v>
      </c>
      <c r="P353" s="4" t="s">
        <v>340</v>
      </c>
      <c r="Q353" s="8" t="s">
        <v>100</v>
      </c>
      <c r="R353" s="9">
        <f t="shared" si="6"/>
        <v>5.4035970833534548E-4</v>
      </c>
      <c r="S353" s="55">
        <f>Tabla3[[#This Row],[Subtotal]]/12</f>
        <v>2566728.6666666665</v>
      </c>
    </row>
    <row r="354" spans="1:19" x14ac:dyDescent="0.2">
      <c r="A354" s="4">
        <v>1065</v>
      </c>
      <c r="B354" s="2">
        <v>30699212</v>
      </c>
      <c r="C354" s="2">
        <v>0</v>
      </c>
      <c r="D354" s="4" t="s">
        <v>1146</v>
      </c>
      <c r="E354" s="2">
        <v>30699212</v>
      </c>
      <c r="F354" s="2">
        <v>5832850.2800000003</v>
      </c>
      <c r="G354" s="2">
        <v>0</v>
      </c>
      <c r="H354" s="4">
        <v>0</v>
      </c>
      <c r="I354" s="4">
        <v>0</v>
      </c>
      <c r="J354" s="4">
        <v>0</v>
      </c>
      <c r="K354" s="4">
        <v>36532062.280000001</v>
      </c>
      <c r="L354" s="4" t="s">
        <v>1144</v>
      </c>
      <c r="M354" s="4" t="s">
        <v>1145</v>
      </c>
      <c r="N354" s="4" t="s">
        <v>20</v>
      </c>
      <c r="O354" s="4" t="s">
        <v>316</v>
      </c>
      <c r="P354" s="4" t="s">
        <v>316</v>
      </c>
      <c r="Q354" s="8" t="s">
        <v>100</v>
      </c>
      <c r="R354" s="9">
        <f t="shared" si="6"/>
        <v>5.3857845909322639E-4</v>
      </c>
      <c r="S354" s="55">
        <f>Tabla3[[#This Row],[Subtotal]]/12</f>
        <v>2558267.6666666665</v>
      </c>
    </row>
    <row r="355" spans="1:19" x14ac:dyDescent="0.2">
      <c r="A355" s="4">
        <v>552</v>
      </c>
      <c r="B355" s="2">
        <v>30400902</v>
      </c>
      <c r="C355" s="2">
        <v>0</v>
      </c>
      <c r="D355" s="4" t="s">
        <v>1149</v>
      </c>
      <c r="E355" s="2">
        <v>30400902</v>
      </c>
      <c r="F355" s="2">
        <v>5776171.3799999999</v>
      </c>
      <c r="G355" s="2">
        <v>0</v>
      </c>
      <c r="H355" s="4">
        <v>0</v>
      </c>
      <c r="I355" s="4">
        <v>0</v>
      </c>
      <c r="J355" s="4">
        <v>0</v>
      </c>
      <c r="K355" s="4">
        <v>36177073.380000003</v>
      </c>
      <c r="L355" s="4" t="s">
        <v>1147</v>
      </c>
      <c r="M355" s="4" t="s">
        <v>1148</v>
      </c>
      <c r="N355" s="4" t="s">
        <v>1150</v>
      </c>
      <c r="O355" s="4" t="s">
        <v>89</v>
      </c>
      <c r="P355" s="4" t="s">
        <v>89</v>
      </c>
      <c r="Q355" s="8" t="s">
        <v>100</v>
      </c>
      <c r="R355" s="9">
        <f t="shared" si="6"/>
        <v>5.3334499120707675E-4</v>
      </c>
      <c r="S355" s="55">
        <f>Tabla3[[#This Row],[Subtotal]]/12</f>
        <v>2533408.5</v>
      </c>
    </row>
    <row r="356" spans="1:19" x14ac:dyDescent="0.2">
      <c r="A356" s="4">
        <v>490</v>
      </c>
      <c r="B356" s="2">
        <v>30332930</v>
      </c>
      <c r="C356" s="2">
        <v>0</v>
      </c>
      <c r="D356" s="4" t="s">
        <v>1153</v>
      </c>
      <c r="E356" s="2">
        <v>30332930</v>
      </c>
      <c r="F356" s="2">
        <v>5763256.7000000002</v>
      </c>
      <c r="G356" s="2">
        <v>697214.29</v>
      </c>
      <c r="H356" s="4">
        <v>0</v>
      </c>
      <c r="I356" s="4">
        <v>0</v>
      </c>
      <c r="J356" s="4">
        <v>697214.29</v>
      </c>
      <c r="K356" s="4">
        <v>35398972.409999996</v>
      </c>
      <c r="L356" s="4" t="s">
        <v>1151</v>
      </c>
      <c r="M356" s="4" t="s">
        <v>1152</v>
      </c>
      <c r="N356" s="4" t="s">
        <v>468</v>
      </c>
      <c r="O356" s="4" t="s">
        <v>105</v>
      </c>
      <c r="P356" s="4" t="s">
        <v>105</v>
      </c>
      <c r="Q356" s="8" t="s">
        <v>100</v>
      </c>
      <c r="R356" s="9">
        <f t="shared" si="6"/>
        <v>5.321525092951148E-4</v>
      </c>
      <c r="S356" s="55">
        <f>Tabla3[[#This Row],[Subtotal]]/12</f>
        <v>2527744.1666666665</v>
      </c>
    </row>
    <row r="357" spans="1:19" x14ac:dyDescent="0.2">
      <c r="A357" s="4">
        <v>697</v>
      </c>
      <c r="B357" s="2">
        <v>30308128</v>
      </c>
      <c r="C357" s="2">
        <v>0</v>
      </c>
      <c r="D357" s="4" t="s">
        <v>1156</v>
      </c>
      <c r="E357" s="2">
        <v>30308128</v>
      </c>
      <c r="F357" s="2">
        <v>5758544.3200000003</v>
      </c>
      <c r="G357" s="2">
        <v>722456.83</v>
      </c>
      <c r="H357" s="4">
        <v>0</v>
      </c>
      <c r="I357" s="4">
        <v>0</v>
      </c>
      <c r="J357" s="4">
        <v>722456.83</v>
      </c>
      <c r="K357" s="4">
        <v>35344215.490000002</v>
      </c>
      <c r="L357" s="4" t="s">
        <v>1154</v>
      </c>
      <c r="M357" s="4" t="s">
        <v>1155</v>
      </c>
      <c r="N357" s="4" t="s">
        <v>20</v>
      </c>
      <c r="O357" s="4" t="s">
        <v>1157</v>
      </c>
      <c r="P357" s="4" t="s">
        <v>1157</v>
      </c>
      <c r="Q357" s="8" t="s">
        <v>28</v>
      </c>
      <c r="R357" s="9">
        <f t="shared" si="6"/>
        <v>5.3171738988741046E-4</v>
      </c>
      <c r="S357" s="55">
        <f>Tabla3[[#This Row],[Subtotal]]/12</f>
        <v>2525677.3333333335</v>
      </c>
    </row>
    <row r="358" spans="1:19" x14ac:dyDescent="0.2">
      <c r="A358" s="4">
        <v>480</v>
      </c>
      <c r="B358" s="2">
        <v>30129022</v>
      </c>
      <c r="C358" s="2">
        <v>0</v>
      </c>
      <c r="D358" s="4" t="s">
        <v>1160</v>
      </c>
      <c r="E358" s="2">
        <v>30129022</v>
      </c>
      <c r="F358" s="2">
        <v>5724514.1799999997</v>
      </c>
      <c r="G358" s="2">
        <v>735115.69</v>
      </c>
      <c r="H358" s="4">
        <v>0</v>
      </c>
      <c r="I358" s="4">
        <v>0</v>
      </c>
      <c r="J358" s="4">
        <v>735115.69</v>
      </c>
      <c r="K358" s="4">
        <v>35118420.490000002</v>
      </c>
      <c r="L358" s="4" t="s">
        <v>1158</v>
      </c>
      <c r="M358" s="4" t="s">
        <v>1159</v>
      </c>
      <c r="N358" s="4" t="s">
        <v>1161</v>
      </c>
      <c r="O358" s="4" t="s">
        <v>113</v>
      </c>
      <c r="P358" s="4" t="s">
        <v>113</v>
      </c>
      <c r="Q358" s="8" t="s">
        <v>100</v>
      </c>
      <c r="R358" s="9">
        <f t="shared" si="6"/>
        <v>5.2857520390900967E-4</v>
      </c>
      <c r="S358" s="55">
        <f>Tabla3[[#This Row],[Subtotal]]/12</f>
        <v>2510751.8333333335</v>
      </c>
    </row>
    <row r="359" spans="1:19" x14ac:dyDescent="0.2">
      <c r="A359" s="4">
        <v>1005</v>
      </c>
      <c r="B359" s="2">
        <v>30103223</v>
      </c>
      <c r="C359" s="2">
        <v>0</v>
      </c>
      <c r="D359" s="4" t="s">
        <v>1164</v>
      </c>
      <c r="E359" s="2">
        <v>30103223</v>
      </c>
      <c r="F359" s="2">
        <v>5719612.3700000001</v>
      </c>
      <c r="G359" s="2">
        <v>752580.59</v>
      </c>
      <c r="H359" s="4">
        <v>0</v>
      </c>
      <c r="I359" s="4">
        <v>0</v>
      </c>
      <c r="J359" s="4">
        <v>752580.59</v>
      </c>
      <c r="K359" s="4">
        <v>35070254.780000001</v>
      </c>
      <c r="L359" s="4" t="s">
        <v>1162</v>
      </c>
      <c r="M359" s="4" t="s">
        <v>1163</v>
      </c>
      <c r="N359" s="4" t="s">
        <v>251</v>
      </c>
      <c r="O359" s="4" t="s">
        <v>59</v>
      </c>
      <c r="P359" s="4" t="s">
        <v>59</v>
      </c>
      <c r="Q359" s="8" t="s">
        <v>100</v>
      </c>
      <c r="R359" s="9">
        <f t="shared" si="6"/>
        <v>5.2812259340988201E-4</v>
      </c>
      <c r="S359" s="55">
        <f>Tabla3[[#This Row],[Subtotal]]/12</f>
        <v>2508601.9166666665</v>
      </c>
    </row>
    <row r="360" spans="1:19" x14ac:dyDescent="0.2">
      <c r="A360" s="4">
        <v>695</v>
      </c>
      <c r="B360" s="2">
        <v>30053573</v>
      </c>
      <c r="C360" s="2">
        <v>0</v>
      </c>
      <c r="D360" s="4" t="s">
        <v>1167</v>
      </c>
      <c r="E360" s="2">
        <v>30053573</v>
      </c>
      <c r="F360" s="2">
        <v>5710178.8700000001</v>
      </c>
      <c r="G360" s="2">
        <v>751339.36</v>
      </c>
      <c r="H360" s="4">
        <v>0</v>
      </c>
      <c r="I360" s="4">
        <v>0</v>
      </c>
      <c r="J360" s="4">
        <v>751339.36</v>
      </c>
      <c r="K360" s="4">
        <v>35012412.509999998</v>
      </c>
      <c r="L360" s="4" t="s">
        <v>1165</v>
      </c>
      <c r="M360" s="4" t="s">
        <v>1166</v>
      </c>
      <c r="N360" s="4" t="s">
        <v>1107</v>
      </c>
      <c r="O360" s="4" t="s">
        <v>89</v>
      </c>
      <c r="P360" s="4" t="s">
        <v>89</v>
      </c>
      <c r="Q360" s="8" t="s">
        <v>100</v>
      </c>
      <c r="R360" s="9">
        <f t="shared" si="6"/>
        <v>5.2725154758323414E-4</v>
      </c>
      <c r="S360" s="55">
        <f>Tabla3[[#This Row],[Subtotal]]/12</f>
        <v>2504464.4166666665</v>
      </c>
    </row>
    <row r="361" spans="1:19" x14ac:dyDescent="0.2">
      <c r="A361" s="4">
        <v>98</v>
      </c>
      <c r="B361" s="2">
        <v>30034174</v>
      </c>
      <c r="C361" s="2">
        <v>0</v>
      </c>
      <c r="D361" s="4" t="s">
        <v>1170</v>
      </c>
      <c r="E361" s="2">
        <v>30034174</v>
      </c>
      <c r="F361" s="2">
        <v>5706493.0599999996</v>
      </c>
      <c r="G361" s="2">
        <v>727796.8</v>
      </c>
      <c r="H361" s="4">
        <v>0</v>
      </c>
      <c r="I361" s="4">
        <v>0</v>
      </c>
      <c r="J361" s="4">
        <v>727796.8</v>
      </c>
      <c r="K361" s="4">
        <v>35012870.259999998</v>
      </c>
      <c r="L361" s="4" t="s">
        <v>1168</v>
      </c>
      <c r="M361" s="4" t="s">
        <v>1169</v>
      </c>
      <c r="N361" s="4" t="s">
        <v>200</v>
      </c>
      <c r="O361" s="4" t="s">
        <v>201</v>
      </c>
      <c r="P361" s="4" t="s">
        <v>201</v>
      </c>
      <c r="Q361" s="8" t="s">
        <v>100</v>
      </c>
      <c r="R361" s="9">
        <f t="shared" si="6"/>
        <v>5.2691121690868949E-4</v>
      </c>
      <c r="S361" s="55">
        <f>Tabla3[[#This Row],[Subtotal]]/12</f>
        <v>2502847.8333333335</v>
      </c>
    </row>
    <row r="362" spans="1:19" x14ac:dyDescent="0.2">
      <c r="A362" s="4">
        <v>1653</v>
      </c>
      <c r="B362" s="2">
        <v>30003006</v>
      </c>
      <c r="C362" s="2">
        <v>0</v>
      </c>
      <c r="D362" s="4" t="s">
        <v>1173</v>
      </c>
      <c r="E362" s="2">
        <v>30003006</v>
      </c>
      <c r="F362" s="2">
        <v>5700571.1399999997</v>
      </c>
      <c r="G362" s="2">
        <v>750075.18</v>
      </c>
      <c r="H362" s="4">
        <v>0</v>
      </c>
      <c r="I362" s="4">
        <v>0</v>
      </c>
      <c r="J362" s="4">
        <v>750075.18</v>
      </c>
      <c r="K362" s="4">
        <v>34953501.960000001</v>
      </c>
      <c r="L362" s="4" t="s">
        <v>1171</v>
      </c>
      <c r="M362" s="4" t="s">
        <v>1172</v>
      </c>
      <c r="N362" s="4" t="s">
        <v>218</v>
      </c>
      <c r="O362" s="4" t="s">
        <v>196</v>
      </c>
      <c r="P362" s="4" t="s">
        <v>196</v>
      </c>
      <c r="Q362" s="8" t="s">
        <v>100</v>
      </c>
      <c r="R362" s="9">
        <f t="shared" si="6"/>
        <v>5.2636441416297017E-4</v>
      </c>
      <c r="S362" s="55">
        <f>Tabla3[[#This Row],[Subtotal]]/12</f>
        <v>2500250.5</v>
      </c>
    </row>
    <row r="363" spans="1:19" x14ac:dyDescent="0.2">
      <c r="A363" s="4">
        <v>517</v>
      </c>
      <c r="B363" s="2">
        <v>29999435</v>
      </c>
      <c r="C363" s="2">
        <v>0</v>
      </c>
      <c r="D363" s="4" t="s">
        <v>1176</v>
      </c>
      <c r="E363" s="2">
        <v>29999435</v>
      </c>
      <c r="F363" s="2">
        <v>5699892.6500000004</v>
      </c>
      <c r="G363" s="2">
        <v>645280.49</v>
      </c>
      <c r="H363" s="4">
        <v>0</v>
      </c>
      <c r="I363" s="4">
        <v>0</v>
      </c>
      <c r="J363" s="4">
        <v>645280.49</v>
      </c>
      <c r="K363" s="4">
        <v>35054047.159999996</v>
      </c>
      <c r="L363" s="4" t="s">
        <v>1174</v>
      </c>
      <c r="M363" s="4" t="s">
        <v>1175</v>
      </c>
      <c r="N363" s="4" t="s">
        <v>272</v>
      </c>
      <c r="O363" s="4" t="s">
        <v>89</v>
      </c>
      <c r="P363" s="4" t="s">
        <v>89</v>
      </c>
      <c r="Q363" s="8" t="s">
        <v>100</v>
      </c>
      <c r="R363" s="9">
        <f t="shared" si="6"/>
        <v>5.2630176552959746E-4</v>
      </c>
      <c r="S363" s="55">
        <f>Tabla3[[#This Row],[Subtotal]]/12</f>
        <v>2499952.9166666665</v>
      </c>
    </row>
    <row r="364" spans="1:19" x14ac:dyDescent="0.2">
      <c r="A364" s="4">
        <v>949</v>
      </c>
      <c r="B364" s="2">
        <v>29920427</v>
      </c>
      <c r="C364" s="2">
        <v>0</v>
      </c>
      <c r="D364" s="4" t="s">
        <v>1179</v>
      </c>
      <c r="E364" s="2">
        <v>29920427</v>
      </c>
      <c r="F364" s="2">
        <v>5684881.1299999999</v>
      </c>
      <c r="G364" s="2">
        <v>690522.67</v>
      </c>
      <c r="H364" s="4">
        <v>0</v>
      </c>
      <c r="I364" s="4">
        <v>0</v>
      </c>
      <c r="J364" s="4">
        <v>690522.67</v>
      </c>
      <c r="K364" s="4">
        <v>34914785.460000001</v>
      </c>
      <c r="L364" s="4" t="s">
        <v>1177</v>
      </c>
      <c r="M364" s="4" t="s">
        <v>1178</v>
      </c>
      <c r="N364" s="4" t="s">
        <v>200</v>
      </c>
      <c r="O364" s="4" t="s">
        <v>201</v>
      </c>
      <c r="P364" s="4" t="s">
        <v>201</v>
      </c>
      <c r="Q364" s="8" t="s">
        <v>28</v>
      </c>
      <c r="R364" s="9">
        <f t="shared" si="6"/>
        <v>5.2491567109512016E-4</v>
      </c>
      <c r="S364" s="55">
        <f>Tabla3[[#This Row],[Subtotal]]/12</f>
        <v>2493368.9166666665</v>
      </c>
    </row>
    <row r="365" spans="1:19" x14ac:dyDescent="0.2">
      <c r="A365" s="4">
        <v>253</v>
      </c>
      <c r="B365" s="2">
        <v>29881821</v>
      </c>
      <c r="C365" s="2">
        <v>0</v>
      </c>
      <c r="D365" s="4" t="s">
        <v>1181</v>
      </c>
      <c r="E365" s="2">
        <v>29881821</v>
      </c>
      <c r="F365" s="2">
        <v>5677545.9900000002</v>
      </c>
      <c r="G365" s="2">
        <v>707076.22</v>
      </c>
      <c r="H365" s="4">
        <v>0</v>
      </c>
      <c r="I365" s="4">
        <v>0</v>
      </c>
      <c r="J365" s="4">
        <v>707076.22</v>
      </c>
      <c r="K365" s="4">
        <v>34852290.770000003</v>
      </c>
      <c r="L365" s="4" t="s">
        <v>1180</v>
      </c>
      <c r="M365" s="4" t="s">
        <v>432</v>
      </c>
      <c r="N365" s="4" t="s">
        <v>381</v>
      </c>
      <c r="O365" s="4" t="s">
        <v>382</v>
      </c>
      <c r="P365" s="4" t="s">
        <v>382</v>
      </c>
      <c r="Q365" s="8" t="s">
        <v>28</v>
      </c>
      <c r="R365" s="9">
        <f t="shared" si="6"/>
        <v>5.2423837814076838E-4</v>
      </c>
      <c r="S365" s="55">
        <f>Tabla3[[#This Row],[Subtotal]]/12</f>
        <v>2490151.75</v>
      </c>
    </row>
    <row r="366" spans="1:19" x14ac:dyDescent="0.2">
      <c r="A366" s="4">
        <v>278</v>
      </c>
      <c r="B366" s="2">
        <v>29879624</v>
      </c>
      <c r="C366" s="2">
        <v>0</v>
      </c>
      <c r="D366" s="4" t="s">
        <v>1184</v>
      </c>
      <c r="E366" s="2">
        <v>29879624</v>
      </c>
      <c r="F366" s="2">
        <v>5677128.5599999996</v>
      </c>
      <c r="G366" s="2">
        <v>0</v>
      </c>
      <c r="H366" s="4">
        <v>0</v>
      </c>
      <c r="I366" s="4">
        <v>0</v>
      </c>
      <c r="J366" s="4">
        <v>0</v>
      </c>
      <c r="K366" s="4">
        <v>35556752.560000002</v>
      </c>
      <c r="L366" s="4" t="s">
        <v>1182</v>
      </c>
      <c r="M366" s="4" t="s">
        <v>1183</v>
      </c>
      <c r="N366" s="4" t="s">
        <v>92</v>
      </c>
      <c r="O366" s="4" t="s">
        <v>93</v>
      </c>
      <c r="P366" s="4" t="s">
        <v>93</v>
      </c>
      <c r="Q366" s="8" t="s">
        <v>100</v>
      </c>
      <c r="R366" s="9">
        <f t="shared" si="6"/>
        <v>5.2419983458223572E-4</v>
      </c>
      <c r="S366" s="55">
        <f>Tabla3[[#This Row],[Subtotal]]/12</f>
        <v>2489968.6666666665</v>
      </c>
    </row>
    <row r="367" spans="1:19" x14ac:dyDescent="0.2">
      <c r="A367" s="4">
        <v>1352</v>
      </c>
      <c r="B367" s="2">
        <v>29854524</v>
      </c>
      <c r="C367" s="2">
        <v>0</v>
      </c>
      <c r="D367" s="4" t="s">
        <v>1187</v>
      </c>
      <c r="E367" s="2">
        <v>29854524</v>
      </c>
      <c r="F367" s="2">
        <v>5672359.5599999996</v>
      </c>
      <c r="G367" s="2">
        <v>746363.1</v>
      </c>
      <c r="H367" s="4">
        <v>0</v>
      </c>
      <c r="I367" s="4">
        <v>0</v>
      </c>
      <c r="J367" s="4">
        <v>746363.1</v>
      </c>
      <c r="K367" s="4">
        <v>34780520.460000001</v>
      </c>
      <c r="L367" s="4" t="s">
        <v>1185</v>
      </c>
      <c r="M367" s="4" t="s">
        <v>1186</v>
      </c>
      <c r="N367" s="4" t="s">
        <v>221</v>
      </c>
      <c r="O367" s="4" t="s">
        <v>1188</v>
      </c>
      <c r="P367" s="4" t="s">
        <v>1188</v>
      </c>
      <c r="Q367" s="8" t="s">
        <v>100</v>
      </c>
      <c r="R367" s="9">
        <f t="shared" si="6"/>
        <v>5.2375948714519923E-4</v>
      </c>
      <c r="S367" s="55">
        <f>Tabla3[[#This Row],[Subtotal]]/12</f>
        <v>2487877</v>
      </c>
    </row>
    <row r="368" spans="1:19" x14ac:dyDescent="0.2">
      <c r="A368" s="4">
        <v>1668</v>
      </c>
      <c r="B368" s="2">
        <v>29837608</v>
      </c>
      <c r="C368" s="2">
        <v>0</v>
      </c>
      <c r="D368" s="4" t="s">
        <v>1191</v>
      </c>
      <c r="E368" s="2">
        <v>29837608</v>
      </c>
      <c r="F368" s="2">
        <v>5669145.5199999996</v>
      </c>
      <c r="G368" s="2">
        <v>370406.03</v>
      </c>
      <c r="H368" s="4">
        <v>0</v>
      </c>
      <c r="I368" s="4">
        <v>0</v>
      </c>
      <c r="J368" s="4">
        <v>370406.03</v>
      </c>
      <c r="K368" s="4">
        <v>35136347.490000002</v>
      </c>
      <c r="L368" s="4" t="s">
        <v>1189</v>
      </c>
      <c r="M368" s="4" t="s">
        <v>1190</v>
      </c>
      <c r="N368" s="4" t="s">
        <v>20</v>
      </c>
      <c r="O368" s="4" t="s">
        <v>316</v>
      </c>
      <c r="P368" s="4" t="s">
        <v>316</v>
      </c>
      <c r="Q368" s="8" t="s">
        <v>100</v>
      </c>
      <c r="R368" s="9">
        <f t="shared" si="6"/>
        <v>5.2346271753384824E-4</v>
      </c>
      <c r="S368" s="55">
        <f>Tabla3[[#This Row],[Subtotal]]/12</f>
        <v>2486467.3333333335</v>
      </c>
    </row>
    <row r="369" spans="1:19" x14ac:dyDescent="0.2">
      <c r="A369" s="4">
        <v>641</v>
      </c>
      <c r="B369" s="2">
        <v>29540313</v>
      </c>
      <c r="C369" s="2">
        <v>0</v>
      </c>
      <c r="D369" s="4" t="s">
        <v>1193</v>
      </c>
      <c r="E369" s="2">
        <v>29540313</v>
      </c>
      <c r="F369" s="2">
        <v>5612659.4699999997</v>
      </c>
      <c r="G369" s="2">
        <v>539720.64</v>
      </c>
      <c r="H369" s="4">
        <v>0</v>
      </c>
      <c r="I369" s="4">
        <v>0</v>
      </c>
      <c r="J369" s="4">
        <v>539720.64</v>
      </c>
      <c r="K369" s="4">
        <v>34613251.829999998</v>
      </c>
      <c r="L369" s="4" t="s">
        <v>1192</v>
      </c>
      <c r="M369" s="4" t="s">
        <v>304</v>
      </c>
      <c r="N369" s="4" t="s">
        <v>1194</v>
      </c>
      <c r="O369" s="4" t="s">
        <v>42</v>
      </c>
      <c r="P369" s="4" t="s">
        <v>42</v>
      </c>
      <c r="Q369" s="8" t="s">
        <v>28</v>
      </c>
      <c r="R369" s="9">
        <f t="shared" si="6"/>
        <v>5.182470565261285E-4</v>
      </c>
      <c r="S369" s="55">
        <f>Tabla3[[#This Row],[Subtotal]]/12</f>
        <v>2461692.75</v>
      </c>
    </row>
    <row r="370" spans="1:19" x14ac:dyDescent="0.2">
      <c r="A370" s="4">
        <v>747</v>
      </c>
      <c r="B370" s="2">
        <v>29395897</v>
      </c>
      <c r="C370" s="2">
        <v>72327.570000000007</v>
      </c>
      <c r="D370" s="4" t="s">
        <v>1196</v>
      </c>
      <c r="E370" s="2">
        <v>29323569.43</v>
      </c>
      <c r="F370" s="2">
        <v>5571478.1900000004</v>
      </c>
      <c r="G370" s="2">
        <v>733089.25</v>
      </c>
      <c r="H370" s="4">
        <v>835721.74</v>
      </c>
      <c r="I370" s="4">
        <v>0</v>
      </c>
      <c r="J370" s="4">
        <v>1568810.99</v>
      </c>
      <c r="K370" s="4">
        <v>33326236.629999999</v>
      </c>
      <c r="L370" s="4" t="s">
        <v>1195</v>
      </c>
      <c r="M370" s="4" t="s">
        <v>81</v>
      </c>
      <c r="N370" s="4" t="s">
        <v>212</v>
      </c>
      <c r="O370" s="4" t="s">
        <v>33</v>
      </c>
      <c r="P370" s="4" t="s">
        <v>33</v>
      </c>
      <c r="Q370" s="8" t="s">
        <v>28</v>
      </c>
      <c r="R370" s="9">
        <f t="shared" si="6"/>
        <v>5.1444456746064485E-4</v>
      </c>
      <c r="S370" s="55">
        <f>Tabla3[[#This Row],[Subtotal]]/12</f>
        <v>2443630.7858333332</v>
      </c>
    </row>
    <row r="371" spans="1:19" x14ac:dyDescent="0.2">
      <c r="A371" s="4">
        <v>95</v>
      </c>
      <c r="B371" s="2">
        <v>29208084</v>
      </c>
      <c r="C371" s="2">
        <v>0</v>
      </c>
      <c r="D371" s="4" t="s">
        <v>1199</v>
      </c>
      <c r="E371" s="2">
        <v>29208084</v>
      </c>
      <c r="F371" s="2">
        <v>5549535.96</v>
      </c>
      <c r="G371" s="2">
        <v>0</v>
      </c>
      <c r="H371" s="4">
        <v>0</v>
      </c>
      <c r="I371" s="4">
        <v>0</v>
      </c>
      <c r="J371" s="4">
        <v>0</v>
      </c>
      <c r="K371" s="4">
        <v>34757619.960000001</v>
      </c>
      <c r="L371" s="4" t="s">
        <v>1197</v>
      </c>
      <c r="M371" s="4" t="s">
        <v>1198</v>
      </c>
      <c r="N371" s="4" t="s">
        <v>468</v>
      </c>
      <c r="O371" s="4" t="s">
        <v>105</v>
      </c>
      <c r="P371" s="4" t="s">
        <v>105</v>
      </c>
      <c r="Q371" s="8" t="s">
        <v>100</v>
      </c>
      <c r="R371" s="9">
        <f t="shared" si="6"/>
        <v>5.1241852311341147E-4</v>
      </c>
      <c r="S371" s="55">
        <f>Tabla3[[#This Row],[Subtotal]]/12</f>
        <v>2434007</v>
      </c>
    </row>
    <row r="372" spans="1:19" x14ac:dyDescent="0.2">
      <c r="A372" s="4">
        <v>1272</v>
      </c>
      <c r="B372" s="2">
        <v>29126455</v>
      </c>
      <c r="C372" s="2">
        <v>0</v>
      </c>
      <c r="D372" s="4" t="s">
        <v>1202</v>
      </c>
      <c r="E372" s="2">
        <v>29126455</v>
      </c>
      <c r="F372" s="2">
        <v>5534026.4500000002</v>
      </c>
      <c r="G372" s="2">
        <v>728161.39</v>
      </c>
      <c r="H372" s="4">
        <v>0</v>
      </c>
      <c r="I372" s="4">
        <v>0</v>
      </c>
      <c r="J372" s="4">
        <v>728161.39</v>
      </c>
      <c r="K372" s="4">
        <v>33932320.060000002</v>
      </c>
      <c r="L372" s="4" t="s">
        <v>1200</v>
      </c>
      <c r="M372" s="4" t="s">
        <v>1201</v>
      </c>
      <c r="N372" s="4" t="s">
        <v>599</v>
      </c>
      <c r="O372" s="4" t="s">
        <v>559</v>
      </c>
      <c r="P372" s="4" t="s">
        <v>559</v>
      </c>
      <c r="Q372" s="8" t="s">
        <v>100</v>
      </c>
      <c r="R372" s="9">
        <f t="shared" si="6"/>
        <v>5.1098644658202294E-4</v>
      </c>
      <c r="S372" s="55">
        <f>Tabla3[[#This Row],[Subtotal]]/12</f>
        <v>2427204.5833333335</v>
      </c>
    </row>
    <row r="373" spans="1:19" x14ac:dyDescent="0.2">
      <c r="A373" s="4">
        <v>1167</v>
      </c>
      <c r="B373" s="2">
        <v>29116951</v>
      </c>
      <c r="C373" s="2">
        <v>0</v>
      </c>
      <c r="D373" s="4" t="s">
        <v>1205</v>
      </c>
      <c r="E373" s="2">
        <v>29116951</v>
      </c>
      <c r="F373" s="2">
        <v>5532220.6900000004</v>
      </c>
      <c r="G373" s="2">
        <v>0</v>
      </c>
      <c r="H373" s="4">
        <v>0</v>
      </c>
      <c r="I373" s="4">
        <v>0</v>
      </c>
      <c r="J373" s="4">
        <v>0</v>
      </c>
      <c r="K373" s="4">
        <v>34649171.689999998</v>
      </c>
      <c r="L373" s="4" t="s">
        <v>1203</v>
      </c>
      <c r="M373" s="4" t="s">
        <v>1204</v>
      </c>
      <c r="N373" s="4" t="s">
        <v>705</v>
      </c>
      <c r="O373" s="4" t="s">
        <v>59</v>
      </c>
      <c r="P373" s="4" t="s">
        <v>59</v>
      </c>
      <c r="Q373" s="8" t="s">
        <v>100</v>
      </c>
      <c r="R373" s="9">
        <f t="shared" si="6"/>
        <v>5.1081971104251721E-4</v>
      </c>
      <c r="S373" s="55">
        <f>Tabla3[[#This Row],[Subtotal]]/12</f>
        <v>2426412.5833333335</v>
      </c>
    </row>
    <row r="374" spans="1:19" x14ac:dyDescent="0.2">
      <c r="A374" s="4">
        <v>228</v>
      </c>
      <c r="B374" s="2">
        <v>29069181</v>
      </c>
      <c r="C374" s="2">
        <v>0</v>
      </c>
      <c r="D374" s="4" t="s">
        <v>1208</v>
      </c>
      <c r="E374" s="2">
        <v>29069181</v>
      </c>
      <c r="F374" s="2">
        <v>5523144.3899999997</v>
      </c>
      <c r="G374" s="2">
        <v>705908.68</v>
      </c>
      <c r="H374" s="4">
        <v>0</v>
      </c>
      <c r="I374" s="4">
        <v>0</v>
      </c>
      <c r="J374" s="4">
        <v>705908.68</v>
      </c>
      <c r="K374" s="4">
        <v>33886416.710000001</v>
      </c>
      <c r="L374" s="4" t="s">
        <v>1206</v>
      </c>
      <c r="M374" s="4" t="s">
        <v>1207</v>
      </c>
      <c r="N374" s="4" t="s">
        <v>714</v>
      </c>
      <c r="O374" s="4" t="s">
        <v>382</v>
      </c>
      <c r="P374" s="4" t="s">
        <v>382</v>
      </c>
      <c r="Q374" s="8" t="s">
        <v>100</v>
      </c>
      <c r="R374" s="9">
        <f t="shared" si="6"/>
        <v>5.0998164741434062E-4</v>
      </c>
      <c r="S374" s="55">
        <f>Tabla3[[#This Row],[Subtotal]]/12</f>
        <v>2422431.75</v>
      </c>
    </row>
    <row r="375" spans="1:19" x14ac:dyDescent="0.2">
      <c r="A375" s="4">
        <v>835</v>
      </c>
      <c r="B375" s="2">
        <v>28966051</v>
      </c>
      <c r="C375" s="2">
        <v>0</v>
      </c>
      <c r="D375" s="4" t="s">
        <v>1211</v>
      </c>
      <c r="E375" s="2">
        <v>28966051</v>
      </c>
      <c r="F375" s="2">
        <v>5503549.6900000004</v>
      </c>
      <c r="G375" s="2">
        <v>0</v>
      </c>
      <c r="H375" s="4">
        <v>0</v>
      </c>
      <c r="I375" s="4">
        <v>0</v>
      </c>
      <c r="J375" s="4">
        <v>0</v>
      </c>
      <c r="K375" s="4">
        <v>34469600.689999998</v>
      </c>
      <c r="L375" s="4" t="s">
        <v>1209</v>
      </c>
      <c r="M375" s="4" t="s">
        <v>1210</v>
      </c>
      <c r="N375" s="4" t="s">
        <v>26</v>
      </c>
      <c r="O375" s="4" t="s">
        <v>27</v>
      </c>
      <c r="P375" s="4" t="s">
        <v>27</v>
      </c>
      <c r="Q375" s="8" t="s">
        <v>100</v>
      </c>
      <c r="R375" s="9">
        <f t="shared" si="6"/>
        <v>5.0817236330352093E-4</v>
      </c>
      <c r="S375" s="55">
        <f>Tabla3[[#This Row],[Subtotal]]/12</f>
        <v>2413837.5833333335</v>
      </c>
    </row>
    <row r="376" spans="1:19" x14ac:dyDescent="0.2">
      <c r="A376" s="4">
        <v>1462</v>
      </c>
      <c r="B376" s="2">
        <v>28636789</v>
      </c>
      <c r="C376" s="2">
        <v>0</v>
      </c>
      <c r="D376" s="4" t="s">
        <v>1214</v>
      </c>
      <c r="E376" s="2">
        <v>28636789</v>
      </c>
      <c r="F376" s="2">
        <v>5440989.9100000001</v>
      </c>
      <c r="G376" s="2">
        <v>0</v>
      </c>
      <c r="H376" s="4">
        <v>0</v>
      </c>
      <c r="I376" s="4">
        <v>0</v>
      </c>
      <c r="J376" s="4">
        <v>0</v>
      </c>
      <c r="K376" s="4">
        <v>34077778.909999996</v>
      </c>
      <c r="L376" s="4" t="s">
        <v>1212</v>
      </c>
      <c r="M376" s="4" t="s">
        <v>1213</v>
      </c>
      <c r="N376" s="4" t="s">
        <v>20</v>
      </c>
      <c r="O376" s="4" t="s">
        <v>768</v>
      </c>
      <c r="P376" s="4" t="s">
        <v>768</v>
      </c>
      <c r="Q376" s="8" t="s">
        <v>100</v>
      </c>
      <c r="R376" s="9">
        <f t="shared" si="6"/>
        <v>5.0239588211573169E-4</v>
      </c>
      <c r="S376" s="55">
        <f>Tabla3[[#This Row],[Subtotal]]/12</f>
        <v>2386399.0833333335</v>
      </c>
    </row>
    <row r="377" spans="1:19" x14ac:dyDescent="0.2">
      <c r="A377" s="4">
        <v>1477</v>
      </c>
      <c r="B377" s="2">
        <v>28604999</v>
      </c>
      <c r="C377" s="2">
        <v>0</v>
      </c>
      <c r="D377" s="4" t="s">
        <v>1217</v>
      </c>
      <c r="E377" s="2">
        <v>28604999</v>
      </c>
      <c r="F377" s="2">
        <v>0</v>
      </c>
      <c r="G377" s="2">
        <v>697562.98</v>
      </c>
      <c r="H377" s="4">
        <v>0</v>
      </c>
      <c r="I377" s="4">
        <v>0</v>
      </c>
      <c r="J377" s="4">
        <v>697562.98</v>
      </c>
      <c r="K377" s="4">
        <v>27907436.02</v>
      </c>
      <c r="L377" s="4" t="s">
        <v>1215</v>
      </c>
      <c r="M377" s="4" t="s">
        <v>1216</v>
      </c>
      <c r="N377" s="4" t="s">
        <v>544</v>
      </c>
      <c r="O377" s="4" t="s">
        <v>900</v>
      </c>
      <c r="P377" s="4" t="s">
        <v>900</v>
      </c>
      <c r="Q377" s="8" t="s">
        <v>100</v>
      </c>
      <c r="R377" s="9">
        <f t="shared" si="6"/>
        <v>5.0183816717456076E-4</v>
      </c>
      <c r="S377" s="55">
        <f>Tabla3[[#This Row],[Subtotal]]/12</f>
        <v>2383749.9166666665</v>
      </c>
    </row>
    <row r="378" spans="1:19" x14ac:dyDescent="0.2">
      <c r="A378" s="4">
        <v>740</v>
      </c>
      <c r="B378" s="2">
        <v>28562192</v>
      </c>
      <c r="C378" s="2">
        <v>0</v>
      </c>
      <c r="D378" s="4" t="s">
        <v>1219</v>
      </c>
      <c r="E378" s="2">
        <v>28562192</v>
      </c>
      <c r="F378" s="2">
        <v>5426816.4800000004</v>
      </c>
      <c r="G378" s="2">
        <v>542887.9</v>
      </c>
      <c r="H378" s="4">
        <v>814022.46</v>
      </c>
      <c r="I378" s="4">
        <v>0</v>
      </c>
      <c r="J378" s="4">
        <v>1356910.36</v>
      </c>
      <c r="K378" s="4">
        <v>32632098.120000001</v>
      </c>
      <c r="L378" s="4" t="s">
        <v>1218</v>
      </c>
      <c r="M378" s="4" t="s">
        <v>81</v>
      </c>
      <c r="N378" s="4" t="s">
        <v>58</v>
      </c>
      <c r="O378" s="4" t="s">
        <v>59</v>
      </c>
      <c r="P378" s="4" t="s">
        <v>59</v>
      </c>
      <c r="Q378" s="8" t="s">
        <v>28</v>
      </c>
      <c r="R378" s="9">
        <f t="shared" si="6"/>
        <v>5.0108717304160372E-4</v>
      </c>
      <c r="S378" s="55">
        <f>Tabla3[[#This Row],[Subtotal]]/12</f>
        <v>2380182.6666666665</v>
      </c>
    </row>
    <row r="379" spans="1:19" x14ac:dyDescent="0.2">
      <c r="A379" s="4">
        <v>1546</v>
      </c>
      <c r="B379" s="2">
        <v>28336876</v>
      </c>
      <c r="C379" s="2">
        <v>0</v>
      </c>
      <c r="D379" s="4" t="s">
        <v>1222</v>
      </c>
      <c r="E379" s="2">
        <v>28336876</v>
      </c>
      <c r="F379" s="2">
        <v>5384006.4400000004</v>
      </c>
      <c r="G379" s="2">
        <v>695123.44</v>
      </c>
      <c r="H379" s="4">
        <v>0</v>
      </c>
      <c r="I379" s="4">
        <v>0</v>
      </c>
      <c r="J379" s="4">
        <v>695123.44</v>
      </c>
      <c r="K379" s="4">
        <v>33025759</v>
      </c>
      <c r="L379" s="4" t="s">
        <v>1220</v>
      </c>
      <c r="M379" s="4" t="s">
        <v>1221</v>
      </c>
      <c r="N379" s="4" t="s">
        <v>20</v>
      </c>
      <c r="O379" s="4" t="s">
        <v>768</v>
      </c>
      <c r="P379" s="4" t="s">
        <v>768</v>
      </c>
      <c r="Q379" s="8" t="s">
        <v>100</v>
      </c>
      <c r="R379" s="9">
        <f t="shared" si="6"/>
        <v>4.9713429164226848E-4</v>
      </c>
      <c r="S379" s="55">
        <f>Tabla3[[#This Row],[Subtotal]]/12</f>
        <v>2361406.3333333335</v>
      </c>
    </row>
    <row r="380" spans="1:19" x14ac:dyDescent="0.2">
      <c r="A380" s="4">
        <v>1216</v>
      </c>
      <c r="B380" s="2">
        <v>28243213</v>
      </c>
      <c r="C380" s="2">
        <v>0</v>
      </c>
      <c r="D380" s="4" t="s">
        <v>1224</v>
      </c>
      <c r="E380" s="2">
        <v>28243213</v>
      </c>
      <c r="F380" s="2">
        <v>5366210.47</v>
      </c>
      <c r="G380" s="2">
        <v>706080.36</v>
      </c>
      <c r="H380" s="4">
        <v>804931.59</v>
      </c>
      <c r="I380" s="4">
        <v>148472.35999999999</v>
      </c>
      <c r="J380" s="4">
        <v>1659484.31</v>
      </c>
      <c r="K380" s="4">
        <v>31949939.16</v>
      </c>
      <c r="L380" s="4" t="s">
        <v>1223</v>
      </c>
      <c r="M380" s="4" t="s">
        <v>1006</v>
      </c>
      <c r="N380" s="4" t="s">
        <v>368</v>
      </c>
      <c r="O380" s="4" t="s">
        <v>89</v>
      </c>
      <c r="P380" s="4" t="s">
        <v>89</v>
      </c>
      <c r="Q380" s="8" t="s">
        <v>28</v>
      </c>
      <c r="R380" s="9">
        <f t="shared" si="6"/>
        <v>4.9549109395321872E-4</v>
      </c>
      <c r="S380" s="55">
        <f>Tabla3[[#This Row],[Subtotal]]/12</f>
        <v>2353601.0833333335</v>
      </c>
    </row>
    <row r="381" spans="1:19" x14ac:dyDescent="0.2">
      <c r="A381" s="4">
        <v>759</v>
      </c>
      <c r="B381" s="2">
        <v>28284794</v>
      </c>
      <c r="C381" s="2">
        <v>72291.66</v>
      </c>
      <c r="D381" s="4" t="s">
        <v>1226</v>
      </c>
      <c r="E381" s="2">
        <v>28212502.34</v>
      </c>
      <c r="F381" s="2">
        <v>5360375.4400000004</v>
      </c>
      <c r="G381" s="2">
        <v>698038.91</v>
      </c>
      <c r="H381" s="4">
        <v>804056.31</v>
      </c>
      <c r="I381" s="4">
        <v>0</v>
      </c>
      <c r="J381" s="4">
        <v>1502095.22</v>
      </c>
      <c r="K381" s="4">
        <v>32070782.559999999</v>
      </c>
      <c r="L381" s="4" t="s">
        <v>1225</v>
      </c>
      <c r="M381" s="4" t="s">
        <v>81</v>
      </c>
      <c r="N381" s="4" t="s">
        <v>293</v>
      </c>
      <c r="O381" s="4" t="s">
        <v>229</v>
      </c>
      <c r="P381" s="4" t="s">
        <v>229</v>
      </c>
      <c r="Q381" s="8" t="s">
        <v>28</v>
      </c>
      <c r="R381" s="9">
        <f t="shared" si="6"/>
        <v>4.9495231465358921E-4</v>
      </c>
      <c r="S381" s="55">
        <f>Tabla3[[#This Row],[Subtotal]]/12</f>
        <v>2351041.8616666668</v>
      </c>
    </row>
    <row r="382" spans="1:19" x14ac:dyDescent="0.2">
      <c r="A382" s="4">
        <v>705</v>
      </c>
      <c r="B382" s="2">
        <v>28100291</v>
      </c>
      <c r="C382" s="2">
        <v>0</v>
      </c>
      <c r="D382" s="4" t="s">
        <v>1229</v>
      </c>
      <c r="E382" s="2">
        <v>28100291</v>
      </c>
      <c r="F382" s="2">
        <v>5339055.29</v>
      </c>
      <c r="G382" s="2">
        <v>157792.13</v>
      </c>
      <c r="H382" s="4">
        <v>0</v>
      </c>
      <c r="I382" s="4">
        <v>0</v>
      </c>
      <c r="J382" s="4">
        <v>157792.13</v>
      </c>
      <c r="K382" s="4">
        <v>33281554.16</v>
      </c>
      <c r="L382" s="4" t="s">
        <v>1227</v>
      </c>
      <c r="M382" s="4" t="s">
        <v>1228</v>
      </c>
      <c r="N382" s="4" t="s">
        <v>20</v>
      </c>
      <c r="O382" s="4" t="s">
        <v>316</v>
      </c>
      <c r="P382" s="4" t="s">
        <v>316</v>
      </c>
      <c r="Q382" s="8" t="s">
        <v>100</v>
      </c>
      <c r="R382" s="9">
        <f t="shared" si="6"/>
        <v>4.9298371003305417E-4</v>
      </c>
      <c r="S382" s="55">
        <f>Tabla3[[#This Row],[Subtotal]]/12</f>
        <v>2341690.9166666665</v>
      </c>
    </row>
    <row r="383" spans="1:19" x14ac:dyDescent="0.2">
      <c r="A383" s="4">
        <v>1137</v>
      </c>
      <c r="B383" s="2">
        <v>27961120</v>
      </c>
      <c r="C383" s="2">
        <v>0</v>
      </c>
      <c r="D383" s="4" t="s">
        <v>1231</v>
      </c>
      <c r="E383" s="2">
        <v>27961120</v>
      </c>
      <c r="F383" s="2">
        <v>5312612.8</v>
      </c>
      <c r="G383" s="2">
        <v>699028.01</v>
      </c>
      <c r="H383" s="4">
        <v>0</v>
      </c>
      <c r="I383" s="4">
        <v>0</v>
      </c>
      <c r="J383" s="4">
        <v>699028.01</v>
      </c>
      <c r="K383" s="4">
        <v>32574704.789999999</v>
      </c>
      <c r="L383" s="4" t="s">
        <v>1230</v>
      </c>
      <c r="M383" s="4" t="s">
        <v>984</v>
      </c>
      <c r="N383" s="4" t="s">
        <v>112</v>
      </c>
      <c r="O383" s="4" t="s">
        <v>113</v>
      </c>
      <c r="P383" s="4" t="s">
        <v>113</v>
      </c>
      <c r="Q383" s="8" t="s">
        <v>100</v>
      </c>
      <c r="R383" s="9">
        <f t="shared" si="6"/>
        <v>4.9054213261632879E-4</v>
      </c>
      <c r="S383" s="55">
        <f>Tabla3[[#This Row],[Subtotal]]/12</f>
        <v>2330093.3333333335</v>
      </c>
    </row>
    <row r="384" spans="1:19" x14ac:dyDescent="0.2">
      <c r="A384" s="4">
        <v>445</v>
      </c>
      <c r="B384" s="2">
        <v>27871883</v>
      </c>
      <c r="C384" s="2">
        <v>92079.81</v>
      </c>
      <c r="D384" s="4" t="s">
        <v>1234</v>
      </c>
      <c r="E384" s="2">
        <v>27779803.190000001</v>
      </c>
      <c r="F384" s="2">
        <v>5278162.6100000003</v>
      </c>
      <c r="G384" s="2">
        <v>0</v>
      </c>
      <c r="H384" s="4">
        <v>0</v>
      </c>
      <c r="I384" s="4">
        <v>0</v>
      </c>
      <c r="J384" s="4">
        <v>0</v>
      </c>
      <c r="K384" s="4">
        <v>33057965.800000001</v>
      </c>
      <c r="L384" s="4" t="s">
        <v>1232</v>
      </c>
      <c r="M384" s="4" t="s">
        <v>1233</v>
      </c>
      <c r="N384" s="4" t="s">
        <v>20</v>
      </c>
      <c r="O384" s="4" t="s">
        <v>257</v>
      </c>
      <c r="P384" s="4" t="s">
        <v>257</v>
      </c>
      <c r="Q384" s="8" t="s">
        <v>100</v>
      </c>
      <c r="R384" s="9">
        <f t="shared" si="6"/>
        <v>4.8736116080058651E-4</v>
      </c>
      <c r="S384" s="55">
        <f>Tabla3[[#This Row],[Subtotal]]/12</f>
        <v>2314983.5991666666</v>
      </c>
    </row>
    <row r="385" spans="1:19" x14ac:dyDescent="0.2">
      <c r="A385" s="4">
        <v>1504</v>
      </c>
      <c r="B385" s="2">
        <v>27753367</v>
      </c>
      <c r="C385" s="2">
        <v>0</v>
      </c>
      <c r="D385" s="4" t="s">
        <v>1237</v>
      </c>
      <c r="E385" s="2">
        <v>27753367</v>
      </c>
      <c r="F385" s="2">
        <v>5273139.7300000004</v>
      </c>
      <c r="G385" s="2">
        <v>624380.96</v>
      </c>
      <c r="H385" s="4">
        <v>0</v>
      </c>
      <c r="I385" s="4">
        <v>0</v>
      </c>
      <c r="J385" s="4">
        <v>624380.96</v>
      </c>
      <c r="K385" s="4">
        <v>32402125.77</v>
      </c>
      <c r="L385" s="4" t="s">
        <v>1235</v>
      </c>
      <c r="M385" s="4" t="s">
        <v>1236</v>
      </c>
      <c r="N385" s="4" t="s">
        <v>1238</v>
      </c>
      <c r="O385" s="4" t="s">
        <v>105</v>
      </c>
      <c r="P385" s="4" t="s">
        <v>105</v>
      </c>
      <c r="Q385" s="8" t="s">
        <v>100</v>
      </c>
      <c r="R385" s="9">
        <f t="shared" si="6"/>
        <v>4.8689737161686101E-4</v>
      </c>
      <c r="S385" s="55">
        <f>Tabla3[[#This Row],[Subtotal]]/12</f>
        <v>2312780.5833333335</v>
      </c>
    </row>
    <row r="386" spans="1:19" x14ac:dyDescent="0.2">
      <c r="A386" s="4">
        <v>1697</v>
      </c>
      <c r="B386" s="2">
        <v>27652493</v>
      </c>
      <c r="C386" s="2">
        <v>0</v>
      </c>
      <c r="D386" s="4" t="s">
        <v>1241</v>
      </c>
      <c r="E386" s="2">
        <v>27652493</v>
      </c>
      <c r="F386" s="2">
        <v>5253973.67</v>
      </c>
      <c r="G386" s="2">
        <v>0</v>
      </c>
      <c r="H386" s="4">
        <v>0</v>
      </c>
      <c r="I386" s="4">
        <v>0</v>
      </c>
      <c r="J386" s="4">
        <v>0</v>
      </c>
      <c r="K386" s="4">
        <v>32906466.670000002</v>
      </c>
      <c r="L386" s="4" t="s">
        <v>1239</v>
      </c>
      <c r="M386" s="4" t="s">
        <v>1240</v>
      </c>
      <c r="N386" s="4" t="s">
        <v>1242</v>
      </c>
      <c r="O386" s="4" t="s">
        <v>59</v>
      </c>
      <c r="P386" s="4" t="s">
        <v>59</v>
      </c>
      <c r="Q386" s="8" t="s">
        <v>100</v>
      </c>
      <c r="R386" s="9">
        <f t="shared" si="6"/>
        <v>4.8512766614420682E-4</v>
      </c>
      <c r="S386" s="55">
        <f>Tabla3[[#This Row],[Subtotal]]/12</f>
        <v>2304374.4166666665</v>
      </c>
    </row>
    <row r="387" spans="1:19" x14ac:dyDescent="0.2">
      <c r="A387" s="4">
        <v>846</v>
      </c>
      <c r="B387" s="2">
        <v>27893062</v>
      </c>
      <c r="C387" s="2">
        <v>420656.22</v>
      </c>
      <c r="D387" s="4" t="s">
        <v>1245</v>
      </c>
      <c r="E387" s="2">
        <v>27472405.780000001</v>
      </c>
      <c r="F387" s="2">
        <v>5219757.1100000003</v>
      </c>
      <c r="G387" s="2">
        <v>657704.78</v>
      </c>
      <c r="H387" s="4">
        <v>0</v>
      </c>
      <c r="I387" s="4">
        <v>0</v>
      </c>
      <c r="J387" s="4">
        <v>657704.78</v>
      </c>
      <c r="K387" s="4">
        <v>32034458.109999999</v>
      </c>
      <c r="L387" s="4" t="s">
        <v>1243</v>
      </c>
      <c r="M387" s="4" t="s">
        <v>1244</v>
      </c>
      <c r="N387" s="4" t="s">
        <v>104</v>
      </c>
      <c r="O387" s="4" t="s">
        <v>105</v>
      </c>
      <c r="P387" s="4" t="s">
        <v>105</v>
      </c>
      <c r="Q387" s="8" t="s">
        <v>100</v>
      </c>
      <c r="R387" s="9">
        <f t="shared" ref="R387:R450" si="7">E387/$E$1757</f>
        <v>4.8196826591432533E-4</v>
      </c>
      <c r="S387" s="55">
        <f>Tabla3[[#This Row],[Subtotal]]/12</f>
        <v>2289367.1483333334</v>
      </c>
    </row>
    <row r="388" spans="1:19" x14ac:dyDescent="0.2">
      <c r="A388" s="4">
        <v>498</v>
      </c>
      <c r="B388" s="2">
        <v>27450202</v>
      </c>
      <c r="C388" s="2">
        <v>0</v>
      </c>
      <c r="D388" s="4" t="s">
        <v>1248</v>
      </c>
      <c r="E388" s="2">
        <v>27450202</v>
      </c>
      <c r="F388" s="2">
        <v>5215538.38</v>
      </c>
      <c r="G388" s="2">
        <v>0</v>
      </c>
      <c r="H388" s="4">
        <v>0</v>
      </c>
      <c r="I388" s="4">
        <v>0</v>
      </c>
      <c r="J388" s="4">
        <v>0</v>
      </c>
      <c r="K388" s="4">
        <v>32665740.379999999</v>
      </c>
      <c r="L388" s="4" t="s">
        <v>1246</v>
      </c>
      <c r="M388" s="4" t="s">
        <v>1247</v>
      </c>
      <c r="N388" s="4" t="s">
        <v>779</v>
      </c>
      <c r="O388" s="4" t="s">
        <v>33</v>
      </c>
      <c r="P388" s="4" t="s">
        <v>33</v>
      </c>
      <c r="Q388" s="8" t="s">
        <v>100</v>
      </c>
      <c r="R388" s="9">
        <f t="shared" si="7"/>
        <v>4.8157872895753157E-4</v>
      </c>
      <c r="S388" s="55">
        <f>Tabla3[[#This Row],[Subtotal]]/12</f>
        <v>2287516.8333333335</v>
      </c>
    </row>
    <row r="389" spans="1:19" x14ac:dyDescent="0.2">
      <c r="A389" s="4">
        <v>421</v>
      </c>
      <c r="B389" s="2">
        <v>27278546</v>
      </c>
      <c r="C389" s="2">
        <v>37360.230000000003</v>
      </c>
      <c r="D389" s="4" t="s">
        <v>1251</v>
      </c>
      <c r="E389" s="2">
        <v>27241185.77</v>
      </c>
      <c r="F389" s="2">
        <v>5175825.3</v>
      </c>
      <c r="G389" s="2">
        <v>489860.32</v>
      </c>
      <c r="H389" s="4">
        <v>0</v>
      </c>
      <c r="I389" s="4">
        <v>0</v>
      </c>
      <c r="J389" s="4">
        <v>489860.32</v>
      </c>
      <c r="K389" s="4">
        <v>31927150.75</v>
      </c>
      <c r="L389" s="4" t="s">
        <v>1249</v>
      </c>
      <c r="M389" s="4" t="s">
        <v>1250</v>
      </c>
      <c r="N389" s="4" t="s">
        <v>20</v>
      </c>
      <c r="O389" s="4" t="s">
        <v>316</v>
      </c>
      <c r="P389" s="4" t="s">
        <v>316</v>
      </c>
      <c r="Q389" s="8" t="s">
        <v>100</v>
      </c>
      <c r="R389" s="9">
        <f t="shared" si="7"/>
        <v>4.77911806201375E-4</v>
      </c>
      <c r="S389" s="55">
        <f>Tabla3[[#This Row],[Subtotal]]/12</f>
        <v>2270098.8141666665</v>
      </c>
    </row>
    <row r="390" spans="1:19" x14ac:dyDescent="0.2">
      <c r="A390" s="4">
        <v>766</v>
      </c>
      <c r="B390" s="2">
        <v>27295805</v>
      </c>
      <c r="C390" s="2">
        <v>59657.97</v>
      </c>
      <c r="D390" s="4" t="s">
        <v>1253</v>
      </c>
      <c r="E390" s="2">
        <v>27236147.030000001</v>
      </c>
      <c r="F390" s="2">
        <v>5174867.9400000004</v>
      </c>
      <c r="G390" s="2">
        <v>680903.7</v>
      </c>
      <c r="H390" s="4">
        <v>224313.47</v>
      </c>
      <c r="I390" s="4">
        <v>0</v>
      </c>
      <c r="J390" s="4">
        <v>905217.17</v>
      </c>
      <c r="K390" s="4">
        <v>31505797.800000001</v>
      </c>
      <c r="L390" s="4" t="s">
        <v>1252</v>
      </c>
      <c r="M390" s="4" t="s">
        <v>81</v>
      </c>
      <c r="N390" s="4" t="s">
        <v>434</v>
      </c>
      <c r="O390" s="4" t="s">
        <v>382</v>
      </c>
      <c r="P390" s="4" t="s">
        <v>382</v>
      </c>
      <c r="Q390" s="8" t="s">
        <v>28</v>
      </c>
      <c r="R390" s="9">
        <f t="shared" si="7"/>
        <v>4.7782340794460637E-4</v>
      </c>
      <c r="S390" s="55">
        <f>Tabla3[[#This Row],[Subtotal]]/12</f>
        <v>2269678.9191666669</v>
      </c>
    </row>
    <row r="391" spans="1:19" x14ac:dyDescent="0.2">
      <c r="A391" s="4">
        <v>611</v>
      </c>
      <c r="B391" s="2">
        <v>27212780</v>
      </c>
      <c r="C391" s="2">
        <v>0</v>
      </c>
      <c r="D391" s="4" t="s">
        <v>1256</v>
      </c>
      <c r="E391" s="2">
        <v>27212780</v>
      </c>
      <c r="F391" s="2">
        <v>5170428.2</v>
      </c>
      <c r="G391" s="2">
        <v>451405.7</v>
      </c>
      <c r="H391" s="4">
        <v>0</v>
      </c>
      <c r="I391" s="4">
        <v>0</v>
      </c>
      <c r="J391" s="4">
        <v>451405.7</v>
      </c>
      <c r="K391" s="4">
        <v>31931802.5</v>
      </c>
      <c r="L391" s="4" t="s">
        <v>1254</v>
      </c>
      <c r="M391" s="4" t="s">
        <v>1255</v>
      </c>
      <c r="N391" s="4" t="s">
        <v>32</v>
      </c>
      <c r="O391" s="4" t="s">
        <v>33</v>
      </c>
      <c r="P391" s="4" t="s">
        <v>33</v>
      </c>
      <c r="Q391" s="8" t="s">
        <v>100</v>
      </c>
      <c r="R391" s="9">
        <f t="shared" si="7"/>
        <v>4.774134632525085E-4</v>
      </c>
      <c r="S391" s="55">
        <f>Tabla3[[#This Row],[Subtotal]]/12</f>
        <v>2267731.6666666665</v>
      </c>
    </row>
    <row r="392" spans="1:19" x14ac:dyDescent="0.2">
      <c r="A392" s="4">
        <v>198</v>
      </c>
      <c r="B392" s="2">
        <v>27189752</v>
      </c>
      <c r="C392" s="2">
        <v>0</v>
      </c>
      <c r="D392" s="4" t="s">
        <v>1259</v>
      </c>
      <c r="E392" s="2">
        <v>27189752</v>
      </c>
      <c r="F392" s="2">
        <v>5166052.88</v>
      </c>
      <c r="G392" s="2">
        <v>0</v>
      </c>
      <c r="H392" s="4">
        <v>0</v>
      </c>
      <c r="I392" s="4">
        <v>0</v>
      </c>
      <c r="J392" s="4">
        <v>0</v>
      </c>
      <c r="K392" s="4">
        <v>32355804.879999999</v>
      </c>
      <c r="L392" s="4" t="s">
        <v>1257</v>
      </c>
      <c r="M392" s="4" t="s">
        <v>1258</v>
      </c>
      <c r="N392" s="4" t="s">
        <v>1054</v>
      </c>
      <c r="O392" s="4" t="s">
        <v>89</v>
      </c>
      <c r="P392" s="4" t="s">
        <v>89</v>
      </c>
      <c r="Q392" s="8" t="s">
        <v>100</v>
      </c>
      <c r="R392" s="9">
        <f t="shared" si="7"/>
        <v>4.770094664086808E-4</v>
      </c>
      <c r="S392" s="55">
        <f>Tabla3[[#This Row],[Subtotal]]/12</f>
        <v>2265812.6666666665</v>
      </c>
    </row>
    <row r="393" spans="1:19" x14ac:dyDescent="0.2">
      <c r="A393" s="4">
        <v>1319</v>
      </c>
      <c r="B393" s="2">
        <v>26997714</v>
      </c>
      <c r="C393" s="2">
        <v>0</v>
      </c>
      <c r="D393" s="4" t="s">
        <v>1262</v>
      </c>
      <c r="E393" s="2">
        <v>26997714</v>
      </c>
      <c r="F393" s="2">
        <v>5129565.66</v>
      </c>
      <c r="G393" s="2">
        <v>0</v>
      </c>
      <c r="H393" s="4">
        <v>0</v>
      </c>
      <c r="I393" s="4">
        <v>0</v>
      </c>
      <c r="J393" s="4">
        <v>0</v>
      </c>
      <c r="K393" s="4">
        <v>32127279.66</v>
      </c>
      <c r="L393" s="4" t="s">
        <v>1260</v>
      </c>
      <c r="M393" s="4" t="s">
        <v>1261</v>
      </c>
      <c r="N393" s="4" t="s">
        <v>58</v>
      </c>
      <c r="O393" s="4" t="s">
        <v>59</v>
      </c>
      <c r="P393" s="4" t="s">
        <v>59</v>
      </c>
      <c r="Q393" s="8" t="s">
        <v>100</v>
      </c>
      <c r="R393" s="9">
        <f t="shared" si="7"/>
        <v>4.7364040500973202E-4</v>
      </c>
      <c r="S393" s="55">
        <f>Tabla3[[#This Row],[Subtotal]]/12</f>
        <v>2249809.5</v>
      </c>
    </row>
    <row r="394" spans="1:19" x14ac:dyDescent="0.2">
      <c r="A394" s="4">
        <v>1458</v>
      </c>
      <c r="B394" s="2">
        <v>26839667</v>
      </c>
      <c r="C394" s="2">
        <v>113021.22</v>
      </c>
      <c r="D394" s="4" t="s">
        <v>1265</v>
      </c>
      <c r="E394" s="2">
        <v>26726645.780000001</v>
      </c>
      <c r="F394" s="2">
        <v>5078062.7</v>
      </c>
      <c r="G394" s="2">
        <v>0</v>
      </c>
      <c r="H394" s="4">
        <v>0</v>
      </c>
      <c r="I394" s="4">
        <v>0</v>
      </c>
      <c r="J394" s="4">
        <v>0</v>
      </c>
      <c r="K394" s="4">
        <v>31804708.48</v>
      </c>
      <c r="L394" s="4" t="s">
        <v>1263</v>
      </c>
      <c r="M394" s="4" t="s">
        <v>1264</v>
      </c>
      <c r="N394" s="4" t="s">
        <v>233</v>
      </c>
      <c r="O394" s="4" t="s">
        <v>229</v>
      </c>
      <c r="P394" s="4" t="s">
        <v>229</v>
      </c>
      <c r="Q394" s="8" t="s">
        <v>100</v>
      </c>
      <c r="R394" s="9">
        <f t="shared" si="7"/>
        <v>4.6888485935479E-4</v>
      </c>
      <c r="S394" s="55">
        <f>Tabla3[[#This Row],[Subtotal]]/12</f>
        <v>2227220.4816666669</v>
      </c>
    </row>
    <row r="395" spans="1:19" x14ac:dyDescent="0.2">
      <c r="A395" s="4">
        <v>1463</v>
      </c>
      <c r="B395" s="2">
        <v>26648689</v>
      </c>
      <c r="C395" s="2">
        <v>0</v>
      </c>
      <c r="D395" s="4" t="s">
        <v>1268</v>
      </c>
      <c r="E395" s="2">
        <v>26648689</v>
      </c>
      <c r="F395" s="2">
        <v>5063250.91</v>
      </c>
      <c r="G395" s="2">
        <v>0</v>
      </c>
      <c r="H395" s="4">
        <v>0</v>
      </c>
      <c r="I395" s="4">
        <v>0</v>
      </c>
      <c r="J395" s="4">
        <v>0</v>
      </c>
      <c r="K395" s="4">
        <v>31711939.91</v>
      </c>
      <c r="L395" s="4" t="s">
        <v>1266</v>
      </c>
      <c r="M395" s="4" t="s">
        <v>1267</v>
      </c>
      <c r="N395" s="4" t="s">
        <v>1269</v>
      </c>
      <c r="O395" s="4" t="s">
        <v>105</v>
      </c>
      <c r="P395" s="4" t="s">
        <v>105</v>
      </c>
      <c r="Q395" s="8" t="s">
        <v>100</v>
      </c>
      <c r="R395" s="9">
        <f t="shared" si="7"/>
        <v>4.6751720723237495E-4</v>
      </c>
      <c r="S395" s="55">
        <f>Tabla3[[#This Row],[Subtotal]]/12</f>
        <v>2220724.0833333335</v>
      </c>
    </row>
    <row r="396" spans="1:19" x14ac:dyDescent="0.2">
      <c r="A396" s="4">
        <v>990</v>
      </c>
      <c r="B396" s="2">
        <v>26633846</v>
      </c>
      <c r="C396" s="2">
        <v>0</v>
      </c>
      <c r="D396" s="4" t="s">
        <v>1272</v>
      </c>
      <c r="E396" s="2">
        <v>26633846</v>
      </c>
      <c r="F396" s="2">
        <v>5060430.74</v>
      </c>
      <c r="G396" s="2">
        <v>0</v>
      </c>
      <c r="H396" s="4">
        <v>0</v>
      </c>
      <c r="I396" s="4">
        <v>0</v>
      </c>
      <c r="J396" s="4">
        <v>0</v>
      </c>
      <c r="K396" s="4">
        <v>31694276.739999998</v>
      </c>
      <c r="L396" s="4" t="s">
        <v>1270</v>
      </c>
      <c r="M396" s="4" t="s">
        <v>1271</v>
      </c>
      <c r="N396" s="4" t="s">
        <v>1273</v>
      </c>
      <c r="O396" s="4" t="s">
        <v>201</v>
      </c>
      <c r="P396" s="4" t="s">
        <v>201</v>
      </c>
      <c r="Q396" s="8" t="s">
        <v>100</v>
      </c>
      <c r="R396" s="9">
        <f t="shared" si="7"/>
        <v>4.672568057579553E-4</v>
      </c>
      <c r="S396" s="55">
        <f>Tabla3[[#This Row],[Subtotal]]/12</f>
        <v>2219487.1666666665</v>
      </c>
    </row>
    <row r="397" spans="1:19" x14ac:dyDescent="0.2">
      <c r="A397" s="4">
        <v>1139</v>
      </c>
      <c r="B397" s="2">
        <v>26361560</v>
      </c>
      <c r="C397" s="2">
        <v>0</v>
      </c>
      <c r="D397" s="4" t="s">
        <v>1276</v>
      </c>
      <c r="E397" s="2">
        <v>26361560</v>
      </c>
      <c r="F397" s="2">
        <v>5008696.4000000004</v>
      </c>
      <c r="G397" s="2">
        <v>659039</v>
      </c>
      <c r="H397" s="4">
        <v>0</v>
      </c>
      <c r="I397" s="4">
        <v>0</v>
      </c>
      <c r="J397" s="4">
        <v>659039</v>
      </c>
      <c r="K397" s="4">
        <v>30711217.399999999</v>
      </c>
      <c r="L397" s="4" t="s">
        <v>1274</v>
      </c>
      <c r="M397" s="4" t="s">
        <v>1275</v>
      </c>
      <c r="N397" s="4" t="s">
        <v>302</v>
      </c>
      <c r="O397" s="4" t="s">
        <v>1277</v>
      </c>
      <c r="P397" s="4" t="s">
        <v>1277</v>
      </c>
      <c r="Q397" s="8" t="s">
        <v>28</v>
      </c>
      <c r="R397" s="9">
        <f t="shared" si="7"/>
        <v>4.6247989570851632E-4</v>
      </c>
      <c r="S397" s="55">
        <f>Tabla3[[#This Row],[Subtotal]]/12</f>
        <v>2196796.6666666665</v>
      </c>
    </row>
    <row r="398" spans="1:19" x14ac:dyDescent="0.2">
      <c r="A398" s="4">
        <v>1596</v>
      </c>
      <c r="B398" s="2">
        <v>26927608</v>
      </c>
      <c r="C398" s="2">
        <v>577509.03</v>
      </c>
      <c r="D398" s="4" t="s">
        <v>1279</v>
      </c>
      <c r="E398" s="2">
        <v>26350098.969999999</v>
      </c>
      <c r="F398" s="2">
        <v>5006518.8099999996</v>
      </c>
      <c r="G398" s="2">
        <v>651490.99</v>
      </c>
      <c r="H398" s="4">
        <v>290517.3</v>
      </c>
      <c r="I398" s="4">
        <v>0</v>
      </c>
      <c r="J398" s="4">
        <v>942008.29</v>
      </c>
      <c r="K398" s="4">
        <v>30414609.489999998</v>
      </c>
      <c r="L398" s="4" t="s">
        <v>1278</v>
      </c>
      <c r="M398" s="4" t="s">
        <v>61</v>
      </c>
      <c r="N398" s="4" t="s">
        <v>1280</v>
      </c>
      <c r="O398" s="4" t="s">
        <v>33</v>
      </c>
      <c r="P398" s="4" t="s">
        <v>33</v>
      </c>
      <c r="Q398" s="8" t="s">
        <v>28</v>
      </c>
      <c r="R398" s="9">
        <f t="shared" si="7"/>
        <v>4.6227882657758805E-4</v>
      </c>
      <c r="S398" s="55">
        <f>Tabla3[[#This Row],[Subtotal]]/12</f>
        <v>2195841.5808333331</v>
      </c>
    </row>
    <row r="399" spans="1:19" x14ac:dyDescent="0.2">
      <c r="A399" s="4">
        <v>499</v>
      </c>
      <c r="B399" s="2">
        <v>26308828</v>
      </c>
      <c r="C399" s="2">
        <v>0</v>
      </c>
      <c r="D399" s="4" t="s">
        <v>1283</v>
      </c>
      <c r="E399" s="2">
        <v>26308828</v>
      </c>
      <c r="F399" s="2">
        <v>4998677.32</v>
      </c>
      <c r="G399" s="2">
        <v>0</v>
      </c>
      <c r="H399" s="4">
        <v>0</v>
      </c>
      <c r="I399" s="4">
        <v>0</v>
      </c>
      <c r="J399" s="4">
        <v>0</v>
      </c>
      <c r="K399" s="4">
        <v>31307505.32</v>
      </c>
      <c r="L399" s="4" t="s">
        <v>1281</v>
      </c>
      <c r="M399" s="4" t="s">
        <v>1282</v>
      </c>
      <c r="N399" s="4" t="s">
        <v>221</v>
      </c>
      <c r="O399" s="4" t="s">
        <v>33</v>
      </c>
      <c r="P399" s="4" t="s">
        <v>33</v>
      </c>
      <c r="Q399" s="8" t="s">
        <v>100</v>
      </c>
      <c r="R399" s="9">
        <f t="shared" si="7"/>
        <v>4.6155478012884269E-4</v>
      </c>
      <c r="S399" s="55">
        <f>Tabla3[[#This Row],[Subtotal]]/12</f>
        <v>2192402.3333333335</v>
      </c>
    </row>
    <row r="400" spans="1:19" x14ac:dyDescent="0.2">
      <c r="A400" s="4">
        <v>1454</v>
      </c>
      <c r="B400" s="2">
        <v>26245800</v>
      </c>
      <c r="C400" s="2">
        <v>0</v>
      </c>
      <c r="D400" s="4" t="s">
        <v>1286</v>
      </c>
      <c r="E400" s="2">
        <v>26245800</v>
      </c>
      <c r="F400" s="2">
        <v>4986702</v>
      </c>
      <c r="G400" s="2">
        <v>0</v>
      </c>
      <c r="H400" s="4">
        <v>0</v>
      </c>
      <c r="I400" s="4">
        <v>0</v>
      </c>
      <c r="J400" s="4">
        <v>0</v>
      </c>
      <c r="K400" s="4">
        <v>31232502</v>
      </c>
      <c r="L400" s="4" t="s">
        <v>1284</v>
      </c>
      <c r="M400" s="4" t="s">
        <v>1285</v>
      </c>
      <c r="N400" s="4" t="s">
        <v>92</v>
      </c>
      <c r="O400" s="4" t="s">
        <v>93</v>
      </c>
      <c r="P400" s="4" t="s">
        <v>93</v>
      </c>
      <c r="Q400" s="8" t="s">
        <v>100</v>
      </c>
      <c r="R400" s="9">
        <f t="shared" si="7"/>
        <v>4.604490343813711E-4</v>
      </c>
      <c r="S400" s="55">
        <f>Tabla3[[#This Row],[Subtotal]]/12</f>
        <v>2187150</v>
      </c>
    </row>
    <row r="401" spans="1:19" x14ac:dyDescent="0.2">
      <c r="A401" s="4">
        <v>453</v>
      </c>
      <c r="B401" s="2">
        <v>26229904</v>
      </c>
      <c r="C401" s="2">
        <v>0</v>
      </c>
      <c r="D401" s="4" t="s">
        <v>1289</v>
      </c>
      <c r="E401" s="2">
        <v>26229904</v>
      </c>
      <c r="F401" s="2">
        <v>4983681.76</v>
      </c>
      <c r="G401" s="2">
        <v>621235.26</v>
      </c>
      <c r="H401" s="4">
        <v>0</v>
      </c>
      <c r="I401" s="4">
        <v>0</v>
      </c>
      <c r="J401" s="4">
        <v>621235.26</v>
      </c>
      <c r="K401" s="4">
        <v>30592350.5</v>
      </c>
      <c r="L401" s="4" t="s">
        <v>1287</v>
      </c>
      <c r="M401" s="4" t="s">
        <v>1288</v>
      </c>
      <c r="N401" s="4" t="s">
        <v>20</v>
      </c>
      <c r="O401" s="4" t="s">
        <v>631</v>
      </c>
      <c r="P401" s="4" t="s">
        <v>631</v>
      </c>
      <c r="Q401" s="8" t="s">
        <v>100</v>
      </c>
      <c r="R401" s="9">
        <f t="shared" si="7"/>
        <v>4.6017015936706304E-4</v>
      </c>
      <c r="S401" s="55">
        <f>Tabla3[[#This Row],[Subtotal]]/12</f>
        <v>2185825.3333333335</v>
      </c>
    </row>
    <row r="402" spans="1:19" x14ac:dyDescent="0.2">
      <c r="A402" s="4">
        <v>374</v>
      </c>
      <c r="B402" s="2">
        <v>26212918</v>
      </c>
      <c r="C402" s="2">
        <v>0</v>
      </c>
      <c r="D402" s="4" t="s">
        <v>1292</v>
      </c>
      <c r="E402" s="2">
        <v>26212918</v>
      </c>
      <c r="F402" s="2">
        <v>4980454.42</v>
      </c>
      <c r="G402" s="2">
        <v>648165.96</v>
      </c>
      <c r="H402" s="4">
        <v>0</v>
      </c>
      <c r="I402" s="4">
        <v>0</v>
      </c>
      <c r="J402" s="4">
        <v>648165.96</v>
      </c>
      <c r="K402" s="4">
        <v>30545206.460000001</v>
      </c>
      <c r="L402" s="4" t="s">
        <v>1290</v>
      </c>
      <c r="M402" s="4" t="s">
        <v>1291</v>
      </c>
      <c r="N402" s="4" t="s">
        <v>487</v>
      </c>
      <c r="O402" s="4" t="s">
        <v>33</v>
      </c>
      <c r="P402" s="4" t="s">
        <v>33</v>
      </c>
      <c r="Q402" s="8" t="s">
        <v>100</v>
      </c>
      <c r="R402" s="9">
        <f t="shared" si="7"/>
        <v>4.598721616951307E-4</v>
      </c>
      <c r="S402" s="55">
        <f>Tabla3[[#This Row],[Subtotal]]/12</f>
        <v>2184409.8333333335</v>
      </c>
    </row>
    <row r="403" spans="1:19" x14ac:dyDescent="0.2">
      <c r="A403" s="4">
        <v>605</v>
      </c>
      <c r="B403" s="2">
        <v>26142877</v>
      </c>
      <c r="C403" s="2">
        <v>0</v>
      </c>
      <c r="D403" s="4" t="s">
        <v>1294</v>
      </c>
      <c r="E403" s="2">
        <v>26142877</v>
      </c>
      <c r="F403" s="2">
        <v>4967146.63</v>
      </c>
      <c r="G403" s="2">
        <v>642659.43000000005</v>
      </c>
      <c r="H403" s="4">
        <v>0</v>
      </c>
      <c r="I403" s="4">
        <v>0</v>
      </c>
      <c r="J403" s="4">
        <v>642659.43000000005</v>
      </c>
      <c r="K403" s="4">
        <v>30467364.199999999</v>
      </c>
      <c r="L403" s="4" t="s">
        <v>1293</v>
      </c>
      <c r="M403" s="4" t="s">
        <v>379</v>
      </c>
      <c r="N403" s="4" t="s">
        <v>381</v>
      </c>
      <c r="O403" s="4" t="s">
        <v>382</v>
      </c>
      <c r="P403" s="4" t="s">
        <v>382</v>
      </c>
      <c r="Q403" s="8" t="s">
        <v>100</v>
      </c>
      <c r="R403" s="9">
        <f t="shared" si="7"/>
        <v>4.5864338182112778E-4</v>
      </c>
      <c r="S403" s="55">
        <f>Tabla3[[#This Row],[Subtotal]]/12</f>
        <v>2178573.0833333335</v>
      </c>
    </row>
    <row r="404" spans="1:19" x14ac:dyDescent="0.2">
      <c r="A404" s="4">
        <v>837</v>
      </c>
      <c r="B404" s="2">
        <v>26072642</v>
      </c>
      <c r="C404" s="2">
        <v>0</v>
      </c>
      <c r="D404" s="4" t="s">
        <v>1297</v>
      </c>
      <c r="E404" s="2">
        <v>26072642</v>
      </c>
      <c r="F404" s="2">
        <v>4953801.9800000004</v>
      </c>
      <c r="G404" s="2">
        <v>0</v>
      </c>
      <c r="H404" s="4">
        <v>0</v>
      </c>
      <c r="I404" s="4">
        <v>0</v>
      </c>
      <c r="J404" s="4">
        <v>0</v>
      </c>
      <c r="K404" s="4">
        <v>31026443.98</v>
      </c>
      <c r="L404" s="4" t="s">
        <v>1295</v>
      </c>
      <c r="M404" s="4" t="s">
        <v>1296</v>
      </c>
      <c r="N404" s="4" t="s">
        <v>1298</v>
      </c>
      <c r="O404" s="4" t="s">
        <v>93</v>
      </c>
      <c r="P404" s="4" t="s">
        <v>93</v>
      </c>
      <c r="Q404" s="8" t="s">
        <v>100</v>
      </c>
      <c r="R404" s="9">
        <f t="shared" si="7"/>
        <v>4.574111984649422E-4</v>
      </c>
      <c r="S404" s="55">
        <f>Tabla3[[#This Row],[Subtotal]]/12</f>
        <v>2172720.1666666665</v>
      </c>
    </row>
    <row r="405" spans="1:19" x14ac:dyDescent="0.2">
      <c r="A405" s="4">
        <v>1552</v>
      </c>
      <c r="B405" s="2">
        <v>25977748</v>
      </c>
      <c r="C405" s="2">
        <v>0</v>
      </c>
      <c r="D405" s="4" t="s">
        <v>1301</v>
      </c>
      <c r="E405" s="2">
        <v>25977748</v>
      </c>
      <c r="F405" s="2">
        <v>4935772.12</v>
      </c>
      <c r="G405" s="2">
        <v>0</v>
      </c>
      <c r="H405" s="4">
        <v>0</v>
      </c>
      <c r="I405" s="4">
        <v>0</v>
      </c>
      <c r="J405" s="4">
        <v>0</v>
      </c>
      <c r="K405" s="4">
        <v>30913520.120000001</v>
      </c>
      <c r="L405" s="4" t="s">
        <v>1299</v>
      </c>
      <c r="M405" s="4" t="s">
        <v>1300</v>
      </c>
      <c r="N405" s="4" t="s">
        <v>272</v>
      </c>
      <c r="O405" s="4" t="s">
        <v>89</v>
      </c>
      <c r="P405" s="4" t="s">
        <v>89</v>
      </c>
      <c r="Q405" s="8" t="s">
        <v>100</v>
      </c>
      <c r="R405" s="9">
        <f t="shared" si="7"/>
        <v>4.5574640445338282E-4</v>
      </c>
      <c r="S405" s="55">
        <f>Tabla3[[#This Row],[Subtotal]]/12</f>
        <v>2164812.3333333335</v>
      </c>
    </row>
    <row r="406" spans="1:19" x14ac:dyDescent="0.2">
      <c r="A406" s="4">
        <v>765</v>
      </c>
      <c r="B406" s="2">
        <v>25957189</v>
      </c>
      <c r="C406" s="2">
        <v>0</v>
      </c>
      <c r="D406" s="4" t="s">
        <v>1303</v>
      </c>
      <c r="E406" s="2">
        <v>25957189</v>
      </c>
      <c r="F406" s="2">
        <v>4931865.91</v>
      </c>
      <c r="G406" s="2">
        <v>648929.75</v>
      </c>
      <c r="H406" s="4">
        <v>739779.88</v>
      </c>
      <c r="I406" s="4">
        <v>0</v>
      </c>
      <c r="J406" s="4">
        <v>1388709.63</v>
      </c>
      <c r="K406" s="4">
        <v>29500345.280000001</v>
      </c>
      <c r="L406" s="4" t="s">
        <v>1302</v>
      </c>
      <c r="M406" s="4" t="s">
        <v>81</v>
      </c>
      <c r="N406" s="4" t="s">
        <v>104</v>
      </c>
      <c r="O406" s="4" t="s">
        <v>105</v>
      </c>
      <c r="P406" s="4" t="s">
        <v>105</v>
      </c>
      <c r="Q406" s="8" t="s">
        <v>28</v>
      </c>
      <c r="R406" s="9">
        <f t="shared" si="7"/>
        <v>4.5538572306063246E-4</v>
      </c>
      <c r="S406" s="55">
        <f>Tabla3[[#This Row],[Subtotal]]/12</f>
        <v>2163099.0833333335</v>
      </c>
    </row>
    <row r="407" spans="1:19" x14ac:dyDescent="0.2">
      <c r="A407" s="4">
        <v>711</v>
      </c>
      <c r="B407" s="2">
        <v>25955145</v>
      </c>
      <c r="C407" s="2">
        <v>0</v>
      </c>
      <c r="D407" s="4" t="s">
        <v>1306</v>
      </c>
      <c r="E407" s="2">
        <v>25955145</v>
      </c>
      <c r="F407" s="2">
        <v>4931477.55</v>
      </c>
      <c r="G407" s="2">
        <v>515342.89</v>
      </c>
      <c r="H407" s="4">
        <v>0</v>
      </c>
      <c r="I407" s="4">
        <v>0</v>
      </c>
      <c r="J407" s="4">
        <v>515342.89</v>
      </c>
      <c r="K407" s="4">
        <v>30371279.66</v>
      </c>
      <c r="L407" s="4" t="s">
        <v>1304</v>
      </c>
      <c r="M407" s="4" t="s">
        <v>1305</v>
      </c>
      <c r="N407" s="4" t="s">
        <v>651</v>
      </c>
      <c r="O407" s="4" t="s">
        <v>196</v>
      </c>
      <c r="P407" s="4" t="s">
        <v>196</v>
      </c>
      <c r="Q407" s="8" t="s">
        <v>100</v>
      </c>
      <c r="R407" s="9">
        <f t="shared" si="7"/>
        <v>4.553498636916563E-4</v>
      </c>
      <c r="S407" s="55">
        <f>Tabla3[[#This Row],[Subtotal]]/12</f>
        <v>2162928.75</v>
      </c>
    </row>
    <row r="408" spans="1:19" x14ac:dyDescent="0.2">
      <c r="A408" s="4">
        <v>29</v>
      </c>
      <c r="B408" s="2">
        <v>25879585</v>
      </c>
      <c r="C408" s="2">
        <v>0</v>
      </c>
      <c r="D408" s="4" t="s">
        <v>1308</v>
      </c>
      <c r="E408" s="2">
        <v>25879585</v>
      </c>
      <c r="F408" s="2">
        <v>4917121.1500000004</v>
      </c>
      <c r="G408" s="2">
        <v>646989.64</v>
      </c>
      <c r="H408" s="4">
        <v>737568.18</v>
      </c>
      <c r="I408" s="4">
        <v>0</v>
      </c>
      <c r="J408" s="4">
        <v>1384557.82</v>
      </c>
      <c r="K408" s="4">
        <v>29412148.329999998</v>
      </c>
      <c r="L408" s="4" t="s">
        <v>1307</v>
      </c>
      <c r="M408" s="4" t="s">
        <v>146</v>
      </c>
      <c r="N408" s="4" t="s">
        <v>200</v>
      </c>
      <c r="O408" s="4" t="s">
        <v>201</v>
      </c>
      <c r="P408" s="4" t="s">
        <v>201</v>
      </c>
      <c r="Q408" s="8" t="s">
        <v>28</v>
      </c>
      <c r="R408" s="9">
        <f t="shared" si="7"/>
        <v>4.540242600126731E-4</v>
      </c>
      <c r="S408" s="55">
        <f>Tabla3[[#This Row],[Subtotal]]/12</f>
        <v>2156632.0833333335</v>
      </c>
    </row>
    <row r="409" spans="1:19" x14ac:dyDescent="0.2">
      <c r="A409" s="4">
        <v>649</v>
      </c>
      <c r="B409" s="2">
        <v>25808801</v>
      </c>
      <c r="C409" s="2">
        <v>0</v>
      </c>
      <c r="D409" s="4" t="s">
        <v>1311</v>
      </c>
      <c r="E409" s="2">
        <v>25808801</v>
      </c>
      <c r="F409" s="2">
        <v>4903672.1900000004</v>
      </c>
      <c r="G409" s="2">
        <v>478351.66</v>
      </c>
      <c r="H409" s="4">
        <v>0</v>
      </c>
      <c r="I409" s="4">
        <v>0</v>
      </c>
      <c r="J409" s="4">
        <v>478351.66</v>
      </c>
      <c r="K409" s="4">
        <v>30234121.530000001</v>
      </c>
      <c r="L409" s="4" t="s">
        <v>1309</v>
      </c>
      <c r="M409" s="4" t="s">
        <v>1310</v>
      </c>
      <c r="N409" s="4" t="s">
        <v>1312</v>
      </c>
      <c r="O409" s="4" t="s">
        <v>33</v>
      </c>
      <c r="P409" s="4" t="s">
        <v>33</v>
      </c>
      <c r="Q409" s="8" t="s">
        <v>100</v>
      </c>
      <c r="R409" s="9">
        <f t="shared" si="7"/>
        <v>4.5278244515278501E-4</v>
      </c>
      <c r="S409" s="55">
        <f>Tabla3[[#This Row],[Subtotal]]/12</f>
        <v>2150733.4166666665</v>
      </c>
    </row>
    <row r="410" spans="1:19" x14ac:dyDescent="0.2">
      <c r="A410" s="4">
        <v>975</v>
      </c>
      <c r="B410" s="2">
        <v>25808310</v>
      </c>
      <c r="C410" s="2">
        <v>0</v>
      </c>
      <c r="D410" s="4" t="s">
        <v>1315</v>
      </c>
      <c r="E410" s="2">
        <v>25808310</v>
      </c>
      <c r="F410" s="2">
        <v>4903578.9000000004</v>
      </c>
      <c r="G410" s="2">
        <v>605324.25</v>
      </c>
      <c r="H410" s="4">
        <v>0</v>
      </c>
      <c r="I410" s="4">
        <v>0</v>
      </c>
      <c r="J410" s="4">
        <v>605324.25</v>
      </c>
      <c r="K410" s="4">
        <v>30106564.649999999</v>
      </c>
      <c r="L410" s="4" t="s">
        <v>1313</v>
      </c>
      <c r="M410" s="4" t="s">
        <v>1314</v>
      </c>
      <c r="N410" s="4" t="s">
        <v>58</v>
      </c>
      <c r="O410" s="4" t="s">
        <v>59</v>
      </c>
      <c r="P410" s="4" t="s">
        <v>59</v>
      </c>
      <c r="Q410" s="8" t="s">
        <v>100</v>
      </c>
      <c r="R410" s="9">
        <f t="shared" si="7"/>
        <v>4.5277383118499281E-4</v>
      </c>
      <c r="S410" s="55">
        <f>Tabla3[[#This Row],[Subtotal]]/12</f>
        <v>2150692.5</v>
      </c>
    </row>
    <row r="411" spans="1:19" x14ac:dyDescent="0.2">
      <c r="A411" s="4">
        <v>920</v>
      </c>
      <c r="B411" s="2">
        <v>25697584</v>
      </c>
      <c r="C411" s="2">
        <v>0</v>
      </c>
      <c r="D411" s="4" t="s">
        <v>1318</v>
      </c>
      <c r="E411" s="2">
        <v>25697584</v>
      </c>
      <c r="F411" s="2">
        <v>4882540.96</v>
      </c>
      <c r="G411" s="2">
        <v>0</v>
      </c>
      <c r="H411" s="4">
        <v>0</v>
      </c>
      <c r="I411" s="4">
        <v>0</v>
      </c>
      <c r="J411" s="4">
        <v>0</v>
      </c>
      <c r="K411" s="4">
        <v>30580124.960000001</v>
      </c>
      <c r="L411" s="4" t="s">
        <v>1316</v>
      </c>
      <c r="M411" s="4" t="s">
        <v>1317</v>
      </c>
      <c r="N411" s="4" t="s">
        <v>46</v>
      </c>
      <c r="O411" s="4" t="s">
        <v>27</v>
      </c>
      <c r="P411" s="4" t="s">
        <v>27</v>
      </c>
      <c r="Q411" s="8" t="s">
        <v>100</v>
      </c>
      <c r="R411" s="9">
        <f t="shared" si="7"/>
        <v>4.5083128495737118E-4</v>
      </c>
      <c r="S411" s="55">
        <f>Tabla3[[#This Row],[Subtotal]]/12</f>
        <v>2141465.3333333335</v>
      </c>
    </row>
    <row r="412" spans="1:19" x14ac:dyDescent="0.2">
      <c r="A412" s="4">
        <v>913</v>
      </c>
      <c r="B412" s="2">
        <v>25491469</v>
      </c>
      <c r="C412" s="2">
        <v>0</v>
      </c>
      <c r="D412" s="4" t="s">
        <v>1320</v>
      </c>
      <c r="E412" s="2">
        <v>25491469</v>
      </c>
      <c r="F412" s="2">
        <v>4843379.1100000003</v>
      </c>
      <c r="G412" s="2">
        <v>634159.23</v>
      </c>
      <c r="H412" s="4">
        <v>0</v>
      </c>
      <c r="I412" s="4">
        <v>0</v>
      </c>
      <c r="J412" s="4">
        <v>634159.23</v>
      </c>
      <c r="K412" s="4">
        <v>29700688.879999999</v>
      </c>
      <c r="L412" s="4" t="s">
        <v>1319</v>
      </c>
      <c r="M412" s="4" t="s">
        <v>821</v>
      </c>
      <c r="N412" s="4" t="s">
        <v>1058</v>
      </c>
      <c r="O412" s="4" t="s">
        <v>196</v>
      </c>
      <c r="P412" s="4" t="s">
        <v>196</v>
      </c>
      <c r="Q412" s="8" t="s">
        <v>28</v>
      </c>
      <c r="R412" s="9">
        <f t="shared" si="7"/>
        <v>4.4721526057550756E-4</v>
      </c>
      <c r="S412" s="55">
        <f>Tabla3[[#This Row],[Subtotal]]/12</f>
        <v>2124289.0833333335</v>
      </c>
    </row>
    <row r="413" spans="1:19" x14ac:dyDescent="0.2">
      <c r="A413" s="4">
        <v>1629</v>
      </c>
      <c r="B413" s="2">
        <v>25369660</v>
      </c>
      <c r="C413" s="2">
        <v>0</v>
      </c>
      <c r="D413" s="4" t="s">
        <v>1323</v>
      </c>
      <c r="E413" s="2">
        <v>25369660</v>
      </c>
      <c r="F413" s="2">
        <v>4820235.4000000004</v>
      </c>
      <c r="G413" s="2">
        <v>0</v>
      </c>
      <c r="H413" s="4">
        <v>0</v>
      </c>
      <c r="I413" s="4">
        <v>0</v>
      </c>
      <c r="J413" s="4">
        <v>0</v>
      </c>
      <c r="K413" s="4">
        <v>30189895.399999999</v>
      </c>
      <c r="L413" s="4" t="s">
        <v>1321</v>
      </c>
      <c r="M413" s="4" t="s">
        <v>1322</v>
      </c>
      <c r="N413" s="4" t="s">
        <v>20</v>
      </c>
      <c r="O413" s="4" t="s">
        <v>692</v>
      </c>
      <c r="P413" s="4" t="s">
        <v>692</v>
      </c>
      <c r="Q413" s="8" t="s">
        <v>100</v>
      </c>
      <c r="R413" s="9">
        <f t="shared" si="7"/>
        <v>4.4507827727040879E-4</v>
      </c>
      <c r="S413" s="55">
        <f>Tabla3[[#This Row],[Subtotal]]/12</f>
        <v>2114138.3333333335</v>
      </c>
    </row>
    <row r="414" spans="1:19" x14ac:dyDescent="0.2">
      <c r="A414" s="4">
        <v>707</v>
      </c>
      <c r="B414" s="2">
        <v>25267243</v>
      </c>
      <c r="C414" s="2">
        <v>0</v>
      </c>
      <c r="D414" s="4" t="s">
        <v>1326</v>
      </c>
      <c r="E414" s="2">
        <v>25267243</v>
      </c>
      <c r="F414" s="2">
        <v>4800776.17</v>
      </c>
      <c r="G414" s="2">
        <v>631681.07999999996</v>
      </c>
      <c r="H414" s="4">
        <v>0</v>
      </c>
      <c r="I414" s="4">
        <v>0</v>
      </c>
      <c r="J414" s="4">
        <v>631681.07999999996</v>
      </c>
      <c r="K414" s="4">
        <v>29436338.09</v>
      </c>
      <c r="L414" s="4" t="s">
        <v>1324</v>
      </c>
      <c r="M414" s="4" t="s">
        <v>1325</v>
      </c>
      <c r="N414" s="4" t="s">
        <v>415</v>
      </c>
      <c r="O414" s="4" t="s">
        <v>382</v>
      </c>
      <c r="P414" s="4" t="s">
        <v>382</v>
      </c>
      <c r="Q414" s="8" t="s">
        <v>100</v>
      </c>
      <c r="R414" s="9">
        <f t="shared" si="7"/>
        <v>4.4328150183379659E-4</v>
      </c>
      <c r="S414" s="55">
        <f>Tabla3[[#This Row],[Subtotal]]/12</f>
        <v>2105603.5833333335</v>
      </c>
    </row>
    <row r="415" spans="1:19" x14ac:dyDescent="0.2">
      <c r="A415" s="4">
        <v>600</v>
      </c>
      <c r="B415" s="2">
        <v>25093361</v>
      </c>
      <c r="C415" s="2">
        <v>0</v>
      </c>
      <c r="D415" s="4" t="s">
        <v>1329</v>
      </c>
      <c r="E415" s="2">
        <v>25093361</v>
      </c>
      <c r="F415" s="2">
        <v>4767738.59</v>
      </c>
      <c r="G415" s="2">
        <v>390455.8</v>
      </c>
      <c r="H415" s="4">
        <v>0</v>
      </c>
      <c r="I415" s="4">
        <v>0</v>
      </c>
      <c r="J415" s="4">
        <v>390455.8</v>
      </c>
      <c r="K415" s="4">
        <v>29470643.789999999</v>
      </c>
      <c r="L415" s="4" t="s">
        <v>1327</v>
      </c>
      <c r="M415" s="4" t="s">
        <v>1328</v>
      </c>
      <c r="N415" s="4" t="s">
        <v>20</v>
      </c>
      <c r="O415" s="4" t="s">
        <v>316</v>
      </c>
      <c r="P415" s="4" t="s">
        <v>316</v>
      </c>
      <c r="Q415" s="8" t="s">
        <v>100</v>
      </c>
      <c r="R415" s="9">
        <f t="shared" si="7"/>
        <v>4.4023096426221175E-4</v>
      </c>
      <c r="S415" s="55">
        <f>Tabla3[[#This Row],[Subtotal]]/12</f>
        <v>2091113.4166666667</v>
      </c>
    </row>
    <row r="416" spans="1:19" x14ac:dyDescent="0.2">
      <c r="A416" s="4">
        <v>1024</v>
      </c>
      <c r="B416" s="2">
        <v>25076840</v>
      </c>
      <c r="C416" s="2">
        <v>0</v>
      </c>
      <c r="D416" s="4" t="s">
        <v>1332</v>
      </c>
      <c r="E416" s="2">
        <v>25076840</v>
      </c>
      <c r="F416" s="2">
        <v>4764599.5999999996</v>
      </c>
      <c r="G416" s="2">
        <v>531133.17000000004</v>
      </c>
      <c r="H416" s="4">
        <v>0</v>
      </c>
      <c r="I416" s="4">
        <v>0</v>
      </c>
      <c r="J416" s="4">
        <v>531133.17000000004</v>
      </c>
      <c r="K416" s="4">
        <v>29310306.43</v>
      </c>
      <c r="L416" s="4" t="s">
        <v>1330</v>
      </c>
      <c r="M416" s="4" t="s">
        <v>1331</v>
      </c>
      <c r="N416" s="4" t="s">
        <v>20</v>
      </c>
      <c r="O416" s="4" t="s">
        <v>386</v>
      </c>
      <c r="P416" s="4" t="s">
        <v>386</v>
      </c>
      <c r="Q416" s="8" t="s">
        <v>585</v>
      </c>
      <c r="R416" s="9">
        <f t="shared" si="7"/>
        <v>4.3994112442128426E-4</v>
      </c>
      <c r="S416" s="55">
        <f>Tabla3[[#This Row],[Subtotal]]/12</f>
        <v>2089736.6666666667</v>
      </c>
    </row>
    <row r="417" spans="1:19" x14ac:dyDescent="0.2">
      <c r="A417" s="4">
        <v>1381</v>
      </c>
      <c r="B417" s="2">
        <v>25076584</v>
      </c>
      <c r="C417" s="2">
        <v>0</v>
      </c>
      <c r="D417" s="4" t="s">
        <v>1335</v>
      </c>
      <c r="E417" s="2">
        <v>25076584</v>
      </c>
      <c r="F417" s="2">
        <v>4764550.96</v>
      </c>
      <c r="G417" s="2">
        <v>528604.13</v>
      </c>
      <c r="H417" s="4">
        <v>0</v>
      </c>
      <c r="I417" s="4">
        <v>0</v>
      </c>
      <c r="J417" s="4">
        <v>528604.13</v>
      </c>
      <c r="K417" s="4">
        <v>29312530.829999998</v>
      </c>
      <c r="L417" s="4" t="s">
        <v>1333</v>
      </c>
      <c r="M417" s="4" t="s">
        <v>1334</v>
      </c>
      <c r="N417" s="4" t="s">
        <v>20</v>
      </c>
      <c r="O417" s="4" t="s">
        <v>359</v>
      </c>
      <c r="P417" s="4" t="s">
        <v>359</v>
      </c>
      <c r="Q417" s="8" t="s">
        <v>100</v>
      </c>
      <c r="R417" s="9">
        <f t="shared" si="7"/>
        <v>4.3993663322830094E-4</v>
      </c>
      <c r="S417" s="55">
        <f>Tabla3[[#This Row],[Subtotal]]/12</f>
        <v>2089715.3333333333</v>
      </c>
    </row>
    <row r="418" spans="1:19" x14ac:dyDescent="0.2">
      <c r="A418" s="4">
        <v>960</v>
      </c>
      <c r="B418" s="2">
        <v>24985797</v>
      </c>
      <c r="C418" s="2">
        <v>0</v>
      </c>
      <c r="D418" s="4" t="s">
        <v>1338</v>
      </c>
      <c r="E418" s="2">
        <v>24985797</v>
      </c>
      <c r="F418" s="2">
        <v>4747301.43</v>
      </c>
      <c r="G418" s="2">
        <v>474497.8</v>
      </c>
      <c r="H418" s="4">
        <v>0</v>
      </c>
      <c r="I418" s="4">
        <v>0</v>
      </c>
      <c r="J418" s="4">
        <v>474497.8</v>
      </c>
      <c r="K418" s="4">
        <v>29258600.629999999</v>
      </c>
      <c r="L418" s="4" t="s">
        <v>1336</v>
      </c>
      <c r="M418" s="4" t="s">
        <v>1337</v>
      </c>
      <c r="N418" s="4" t="s">
        <v>20</v>
      </c>
      <c r="O418" s="4" t="s">
        <v>540</v>
      </c>
      <c r="P418" s="4" t="s">
        <v>540</v>
      </c>
      <c r="Q418" s="8" t="s">
        <v>100</v>
      </c>
      <c r="R418" s="9">
        <f t="shared" si="7"/>
        <v>4.3834389128542318E-4</v>
      </c>
      <c r="S418" s="55">
        <f>Tabla3[[#This Row],[Subtotal]]/12</f>
        <v>2082149.75</v>
      </c>
    </row>
    <row r="419" spans="1:19" x14ac:dyDescent="0.2">
      <c r="A419" s="4">
        <v>1412</v>
      </c>
      <c r="B419" s="2">
        <v>24967365</v>
      </c>
      <c r="C419" s="2">
        <v>0</v>
      </c>
      <c r="D419" s="4" t="s">
        <v>1341</v>
      </c>
      <c r="E419" s="2">
        <v>24967365</v>
      </c>
      <c r="F419" s="2">
        <v>4732399.3499999996</v>
      </c>
      <c r="G419" s="2">
        <v>529973.39</v>
      </c>
      <c r="H419" s="4">
        <v>0</v>
      </c>
      <c r="I419" s="4">
        <v>0</v>
      </c>
      <c r="J419" s="4">
        <v>529973.39</v>
      </c>
      <c r="K419" s="4">
        <v>29169790.960000001</v>
      </c>
      <c r="L419" s="4" t="s">
        <v>1339</v>
      </c>
      <c r="M419" s="4" t="s">
        <v>1340</v>
      </c>
      <c r="N419" s="4" t="s">
        <v>1342</v>
      </c>
      <c r="O419" s="4" t="s">
        <v>76</v>
      </c>
      <c r="P419" s="4" t="s">
        <v>76</v>
      </c>
      <c r="Q419" s="8" t="s">
        <v>585</v>
      </c>
      <c r="R419" s="9">
        <f t="shared" si="7"/>
        <v>4.3802052539062408E-4</v>
      </c>
      <c r="S419" s="55">
        <f>Tabla3[[#This Row],[Subtotal]]/12</f>
        <v>2080613.75</v>
      </c>
    </row>
    <row r="420" spans="1:19" x14ac:dyDescent="0.2">
      <c r="A420" s="4">
        <v>1696</v>
      </c>
      <c r="B420" s="2">
        <v>24950769</v>
      </c>
      <c r="C420" s="2">
        <v>0</v>
      </c>
      <c r="D420" s="4" t="s">
        <v>1345</v>
      </c>
      <c r="E420" s="2">
        <v>24950769</v>
      </c>
      <c r="F420" s="2">
        <v>4740646.1100000003</v>
      </c>
      <c r="G420" s="2">
        <v>0</v>
      </c>
      <c r="H420" s="4">
        <v>0</v>
      </c>
      <c r="I420" s="4">
        <v>0</v>
      </c>
      <c r="J420" s="4">
        <v>0</v>
      </c>
      <c r="K420" s="4">
        <v>29691415.109999999</v>
      </c>
      <c r="L420" s="4" t="s">
        <v>1343</v>
      </c>
      <c r="M420" s="4" t="s">
        <v>1344</v>
      </c>
      <c r="N420" s="4" t="s">
        <v>186</v>
      </c>
      <c r="O420" s="4" t="s">
        <v>59</v>
      </c>
      <c r="P420" s="4" t="s">
        <v>59</v>
      </c>
      <c r="Q420" s="8" t="s">
        <v>100</v>
      </c>
      <c r="R420" s="9">
        <f t="shared" si="7"/>
        <v>4.3772936977050229E-4</v>
      </c>
      <c r="S420" s="55">
        <f>Tabla3[[#This Row],[Subtotal]]/12</f>
        <v>2079230.75</v>
      </c>
    </row>
    <row r="421" spans="1:19" x14ac:dyDescent="0.2">
      <c r="A421" s="4">
        <v>742</v>
      </c>
      <c r="B421" s="2">
        <v>24833416</v>
      </c>
      <c r="C421" s="2">
        <v>0</v>
      </c>
      <c r="D421" s="4" t="s">
        <v>1347</v>
      </c>
      <c r="E421" s="2">
        <v>24833416</v>
      </c>
      <c r="F421" s="2">
        <v>4718349.04</v>
      </c>
      <c r="G421" s="2">
        <v>620835.4</v>
      </c>
      <c r="H421" s="4">
        <v>707752.36</v>
      </c>
      <c r="I421" s="4">
        <v>0</v>
      </c>
      <c r="J421" s="4">
        <v>1328587.76</v>
      </c>
      <c r="K421" s="4">
        <v>28223177.280000001</v>
      </c>
      <c r="L421" s="4" t="s">
        <v>1346</v>
      </c>
      <c r="M421" s="4" t="s">
        <v>81</v>
      </c>
      <c r="N421" s="4" t="s">
        <v>1348</v>
      </c>
      <c r="O421" s="4" t="s">
        <v>747</v>
      </c>
      <c r="P421" s="4" t="s">
        <v>747</v>
      </c>
      <c r="Q421" s="8" t="s">
        <v>28</v>
      </c>
      <c r="R421" s="9">
        <f t="shared" si="7"/>
        <v>4.3567056129326944E-4</v>
      </c>
      <c r="S421" s="55">
        <f>Tabla3[[#This Row],[Subtotal]]/12</f>
        <v>2069451.3333333333</v>
      </c>
    </row>
    <row r="422" spans="1:19" x14ac:dyDescent="0.2">
      <c r="A422" s="4">
        <v>1049</v>
      </c>
      <c r="B422" s="2">
        <v>24774650</v>
      </c>
      <c r="C422" s="2">
        <v>0</v>
      </c>
      <c r="D422" s="4" t="s">
        <v>1351</v>
      </c>
      <c r="E422" s="2">
        <v>24774650</v>
      </c>
      <c r="F422" s="2">
        <v>4707183.5</v>
      </c>
      <c r="G422" s="2">
        <v>611567.41</v>
      </c>
      <c r="H422" s="4">
        <v>0</v>
      </c>
      <c r="I422" s="4">
        <v>0</v>
      </c>
      <c r="J422" s="4">
        <v>611567.41</v>
      </c>
      <c r="K422" s="4">
        <v>28870266.09</v>
      </c>
      <c r="L422" s="4" t="s">
        <v>1349</v>
      </c>
      <c r="M422" s="4" t="s">
        <v>1350</v>
      </c>
      <c r="N422" s="4" t="s">
        <v>1352</v>
      </c>
      <c r="O422" s="4" t="s">
        <v>201</v>
      </c>
      <c r="P422" s="4" t="s">
        <v>201</v>
      </c>
      <c r="Q422" s="8" t="s">
        <v>28</v>
      </c>
      <c r="R422" s="9">
        <f t="shared" si="7"/>
        <v>4.3463958689148117E-4</v>
      </c>
      <c r="S422" s="55">
        <f>Tabla3[[#This Row],[Subtotal]]/12</f>
        <v>2064554.1666666667</v>
      </c>
    </row>
    <row r="423" spans="1:19" x14ac:dyDescent="0.2">
      <c r="A423" s="4">
        <v>1288</v>
      </c>
      <c r="B423" s="2">
        <v>24712805</v>
      </c>
      <c r="C423" s="2">
        <v>0</v>
      </c>
      <c r="D423" s="4" t="s">
        <v>1355</v>
      </c>
      <c r="E423" s="2">
        <v>24712805</v>
      </c>
      <c r="F423" s="2">
        <v>4695432.95</v>
      </c>
      <c r="G423" s="2">
        <v>0</v>
      </c>
      <c r="H423" s="4">
        <v>0</v>
      </c>
      <c r="I423" s="4">
        <v>0</v>
      </c>
      <c r="J423" s="4">
        <v>0</v>
      </c>
      <c r="K423" s="4">
        <v>29408237.949999999</v>
      </c>
      <c r="L423" s="4" t="s">
        <v>1353</v>
      </c>
      <c r="M423" s="4" t="s">
        <v>1354</v>
      </c>
      <c r="N423" s="4" t="s">
        <v>20</v>
      </c>
      <c r="O423" s="4" t="s">
        <v>1356</v>
      </c>
      <c r="P423" s="4" t="s">
        <v>1356</v>
      </c>
      <c r="Q423" s="8" t="s">
        <v>100</v>
      </c>
      <c r="R423" s="9">
        <f t="shared" si="7"/>
        <v>4.3355459536783484E-4</v>
      </c>
      <c r="S423" s="55">
        <f>Tabla3[[#This Row],[Subtotal]]/12</f>
        <v>2059400.4166666667</v>
      </c>
    </row>
    <row r="424" spans="1:19" x14ac:dyDescent="0.2">
      <c r="A424" s="4">
        <v>1245</v>
      </c>
      <c r="B424" s="2">
        <v>24675408</v>
      </c>
      <c r="C424" s="2">
        <v>0</v>
      </c>
      <c r="D424" s="4" t="s">
        <v>1359</v>
      </c>
      <c r="E424" s="2">
        <v>24675408</v>
      </c>
      <c r="F424" s="2">
        <v>4688327.5199999996</v>
      </c>
      <c r="G424" s="2">
        <v>586039.81999999995</v>
      </c>
      <c r="H424" s="4">
        <v>0</v>
      </c>
      <c r="I424" s="4">
        <v>0</v>
      </c>
      <c r="J424" s="4">
        <v>586039.81999999995</v>
      </c>
      <c r="K424" s="4">
        <v>28777695.699999999</v>
      </c>
      <c r="L424" s="4" t="s">
        <v>1357</v>
      </c>
      <c r="M424" s="4" t="s">
        <v>1358</v>
      </c>
      <c r="N424" s="4" t="s">
        <v>186</v>
      </c>
      <c r="O424" s="4" t="s">
        <v>59</v>
      </c>
      <c r="P424" s="4" t="s">
        <v>59</v>
      </c>
      <c r="Q424" s="8" t="s">
        <v>100</v>
      </c>
      <c r="R424" s="9">
        <f t="shared" si="7"/>
        <v>4.3289851277409567E-4</v>
      </c>
      <c r="S424" s="55">
        <f>Tabla3[[#This Row],[Subtotal]]/12</f>
        <v>2056284</v>
      </c>
    </row>
    <row r="425" spans="1:19" x14ac:dyDescent="0.2">
      <c r="A425" s="4">
        <v>1619</v>
      </c>
      <c r="B425" s="2">
        <v>25681621</v>
      </c>
      <c r="C425" s="2">
        <v>1027264.84</v>
      </c>
      <c r="D425" s="4" t="s">
        <v>1362</v>
      </c>
      <c r="E425" s="2">
        <v>24654356.16</v>
      </c>
      <c r="F425" s="2">
        <v>4684327.67</v>
      </c>
      <c r="G425" s="2">
        <v>616358.9</v>
      </c>
      <c r="H425" s="4">
        <v>0</v>
      </c>
      <c r="I425" s="4">
        <v>0</v>
      </c>
      <c r="J425" s="4">
        <v>616358.9</v>
      </c>
      <c r="K425" s="4">
        <v>28722324.93</v>
      </c>
      <c r="L425" s="4" t="s">
        <v>1360</v>
      </c>
      <c r="M425" s="4" t="s">
        <v>1361</v>
      </c>
      <c r="N425" s="4" t="s">
        <v>124</v>
      </c>
      <c r="O425" s="4" t="s">
        <v>33</v>
      </c>
      <c r="P425" s="4" t="s">
        <v>33</v>
      </c>
      <c r="Q425" s="8" t="s">
        <v>28</v>
      </c>
      <c r="R425" s="9">
        <f t="shared" si="7"/>
        <v>4.3252918513310353E-4</v>
      </c>
      <c r="S425" s="55">
        <f>Tabla3[[#This Row],[Subtotal]]/12</f>
        <v>2054529.68</v>
      </c>
    </row>
    <row r="426" spans="1:19" x14ac:dyDescent="0.2">
      <c r="A426" s="4">
        <v>1503</v>
      </c>
      <c r="B426" s="2">
        <v>24635511</v>
      </c>
      <c r="C426" s="2">
        <v>0</v>
      </c>
      <c r="D426" s="4" t="s">
        <v>1365</v>
      </c>
      <c r="E426" s="2">
        <v>24635511</v>
      </c>
      <c r="F426" s="2">
        <v>4680747.09</v>
      </c>
      <c r="G426" s="2">
        <v>559420.94999999995</v>
      </c>
      <c r="H426" s="4">
        <v>0</v>
      </c>
      <c r="I426" s="4">
        <v>0</v>
      </c>
      <c r="J426" s="4">
        <v>559420.94999999995</v>
      </c>
      <c r="K426" s="4">
        <v>28756837.140000001</v>
      </c>
      <c r="L426" s="4" t="s">
        <v>1363</v>
      </c>
      <c r="M426" s="4" t="s">
        <v>1364</v>
      </c>
      <c r="N426" s="4" t="s">
        <v>1366</v>
      </c>
      <c r="O426" s="4" t="s">
        <v>59</v>
      </c>
      <c r="P426" s="4" t="s">
        <v>59</v>
      </c>
      <c r="Q426" s="8" t="s">
        <v>100</v>
      </c>
      <c r="R426" s="9">
        <f t="shared" si="7"/>
        <v>4.3219857087387873E-4</v>
      </c>
      <c r="S426" s="55">
        <f>Tabla3[[#This Row],[Subtotal]]/12</f>
        <v>2052959.25</v>
      </c>
    </row>
    <row r="427" spans="1:19" x14ac:dyDescent="0.2">
      <c r="A427" s="4">
        <v>1218</v>
      </c>
      <c r="B427" s="2">
        <v>24608794</v>
      </c>
      <c r="C427" s="2">
        <v>0</v>
      </c>
      <c r="D427" s="4" t="s">
        <v>1368</v>
      </c>
      <c r="E427" s="2">
        <v>24608794</v>
      </c>
      <c r="F427" s="2">
        <v>4675670.8600000003</v>
      </c>
      <c r="G427" s="2">
        <v>548947.46</v>
      </c>
      <c r="H427" s="4">
        <v>625800.07999999996</v>
      </c>
      <c r="I427" s="4">
        <v>131747.38</v>
      </c>
      <c r="J427" s="4">
        <v>1306494.92</v>
      </c>
      <c r="K427" s="4">
        <v>27977969.940000001</v>
      </c>
      <c r="L427" s="4" t="s">
        <v>1367</v>
      </c>
      <c r="M427" s="4" t="s">
        <v>1006</v>
      </c>
      <c r="N427" s="4" t="s">
        <v>58</v>
      </c>
      <c r="O427" s="4" t="s">
        <v>59</v>
      </c>
      <c r="P427" s="4" t="s">
        <v>59</v>
      </c>
      <c r="Q427" s="8" t="s">
        <v>28</v>
      </c>
      <c r="R427" s="9">
        <f t="shared" si="7"/>
        <v>4.3172985523741241E-4</v>
      </c>
      <c r="S427" s="55">
        <f>Tabla3[[#This Row],[Subtotal]]/12</f>
        <v>2050732.8333333333</v>
      </c>
    </row>
    <row r="428" spans="1:19" x14ac:dyDescent="0.2">
      <c r="A428" s="4">
        <v>221</v>
      </c>
      <c r="B428" s="2">
        <v>24563785</v>
      </c>
      <c r="C428" s="2">
        <v>0</v>
      </c>
      <c r="D428" s="4" t="s">
        <v>1371</v>
      </c>
      <c r="E428" s="2">
        <v>24563785</v>
      </c>
      <c r="F428" s="2">
        <v>4667119.1500000004</v>
      </c>
      <c r="G428" s="2">
        <v>0</v>
      </c>
      <c r="H428" s="4">
        <v>0</v>
      </c>
      <c r="I428" s="4">
        <v>0</v>
      </c>
      <c r="J428" s="4">
        <v>0</v>
      </c>
      <c r="K428" s="4">
        <v>29230904.149999999</v>
      </c>
      <c r="L428" s="4" t="s">
        <v>1369</v>
      </c>
      <c r="M428" s="4" t="s">
        <v>1370</v>
      </c>
      <c r="N428" s="4" t="s">
        <v>20</v>
      </c>
      <c r="O428" s="4" t="s">
        <v>316</v>
      </c>
      <c r="P428" s="4" t="s">
        <v>316</v>
      </c>
      <c r="Q428" s="8" t="s">
        <v>100</v>
      </c>
      <c r="R428" s="9">
        <f t="shared" si="7"/>
        <v>4.3094022982730984E-4</v>
      </c>
      <c r="S428" s="55">
        <f>Tabla3[[#This Row],[Subtotal]]/12</f>
        <v>2046982.0833333333</v>
      </c>
    </row>
    <row r="429" spans="1:19" x14ac:dyDescent="0.2">
      <c r="A429" s="4">
        <v>520</v>
      </c>
      <c r="B429" s="2">
        <v>24382693</v>
      </c>
      <c r="C429" s="2">
        <v>0</v>
      </c>
      <c r="D429" s="4" t="s">
        <v>1374</v>
      </c>
      <c r="E429" s="2">
        <v>24382693</v>
      </c>
      <c r="F429" s="2">
        <v>4632711.67</v>
      </c>
      <c r="G429" s="2">
        <v>593010.17000000004</v>
      </c>
      <c r="H429" s="4">
        <v>0</v>
      </c>
      <c r="I429" s="4">
        <v>0</v>
      </c>
      <c r="J429" s="4">
        <v>593010.17000000004</v>
      </c>
      <c r="K429" s="4">
        <v>28422394.5</v>
      </c>
      <c r="L429" s="4" t="s">
        <v>1372</v>
      </c>
      <c r="M429" s="4" t="s">
        <v>1373</v>
      </c>
      <c r="N429" s="4" t="s">
        <v>58</v>
      </c>
      <c r="O429" s="4" t="s">
        <v>59</v>
      </c>
      <c r="P429" s="4" t="s">
        <v>59</v>
      </c>
      <c r="Q429" s="8" t="s">
        <v>100</v>
      </c>
      <c r="R429" s="9">
        <f t="shared" si="7"/>
        <v>4.2776320201584319E-4</v>
      </c>
      <c r="S429" s="55">
        <f>Tabla3[[#This Row],[Subtotal]]/12</f>
        <v>2031891.0833333333</v>
      </c>
    </row>
    <row r="430" spans="1:19" x14ac:dyDescent="0.2">
      <c r="A430" s="4">
        <v>1404</v>
      </c>
      <c r="B430" s="2">
        <v>24310515</v>
      </c>
      <c r="C430" s="2">
        <v>0</v>
      </c>
      <c r="D430" s="4" t="s">
        <v>1377</v>
      </c>
      <c r="E430" s="2">
        <v>24310515</v>
      </c>
      <c r="F430" s="2">
        <v>4618997.8499999996</v>
      </c>
      <c r="G430" s="2">
        <v>593213.57999999996</v>
      </c>
      <c r="H430" s="4">
        <v>0</v>
      </c>
      <c r="I430" s="4">
        <v>0</v>
      </c>
      <c r="J430" s="4">
        <v>593213.57999999996</v>
      </c>
      <c r="K430" s="4">
        <v>28336299.27</v>
      </c>
      <c r="L430" s="4" t="s">
        <v>1375</v>
      </c>
      <c r="M430" s="4" t="s">
        <v>1376</v>
      </c>
      <c r="N430" s="4" t="s">
        <v>20</v>
      </c>
      <c r="O430" s="4" t="s">
        <v>372</v>
      </c>
      <c r="P430" s="4" t="s">
        <v>372</v>
      </c>
      <c r="Q430" s="8" t="s">
        <v>1378</v>
      </c>
      <c r="R430" s="9">
        <f t="shared" si="7"/>
        <v>4.2649693120666311E-4</v>
      </c>
      <c r="S430" s="55">
        <f>Tabla3[[#This Row],[Subtotal]]/12</f>
        <v>2025876.25</v>
      </c>
    </row>
    <row r="431" spans="1:19" x14ac:dyDescent="0.2">
      <c r="A431" s="4">
        <v>352</v>
      </c>
      <c r="B431" s="2">
        <v>24296022</v>
      </c>
      <c r="C431" s="2">
        <v>0</v>
      </c>
      <c r="D431" s="4" t="s">
        <v>1381</v>
      </c>
      <c r="E431" s="2">
        <v>24296022</v>
      </c>
      <c r="F431" s="2">
        <v>4616244.18</v>
      </c>
      <c r="G431" s="2">
        <v>0</v>
      </c>
      <c r="H431" s="4">
        <v>0</v>
      </c>
      <c r="I431" s="4">
        <v>0</v>
      </c>
      <c r="J431" s="4">
        <v>0</v>
      </c>
      <c r="K431" s="4">
        <v>28912266.18</v>
      </c>
      <c r="L431" s="4" t="s">
        <v>1379</v>
      </c>
      <c r="M431" s="4" t="s">
        <v>1380</v>
      </c>
      <c r="N431" s="4" t="s">
        <v>975</v>
      </c>
      <c r="O431" s="4" t="s">
        <v>89</v>
      </c>
      <c r="P431" s="4" t="s">
        <v>89</v>
      </c>
      <c r="Q431" s="8" t="s">
        <v>100</v>
      </c>
      <c r="R431" s="9">
        <f t="shared" si="7"/>
        <v>4.2624267003515037E-4</v>
      </c>
      <c r="S431" s="55">
        <f>Tabla3[[#This Row],[Subtotal]]/12</f>
        <v>2024668.5</v>
      </c>
    </row>
    <row r="432" spans="1:19" x14ac:dyDescent="0.2">
      <c r="A432" s="4">
        <v>1662</v>
      </c>
      <c r="B432" s="2">
        <v>24240938</v>
      </c>
      <c r="C432" s="2">
        <v>0</v>
      </c>
      <c r="D432" s="4" t="s">
        <v>1384</v>
      </c>
      <c r="E432" s="2">
        <v>24240938</v>
      </c>
      <c r="F432" s="2">
        <v>4605778.22</v>
      </c>
      <c r="G432" s="2">
        <v>587234.24</v>
      </c>
      <c r="H432" s="4">
        <v>0</v>
      </c>
      <c r="I432" s="4">
        <v>0</v>
      </c>
      <c r="J432" s="4">
        <v>587234.24</v>
      </c>
      <c r="K432" s="4">
        <v>28259481.98</v>
      </c>
      <c r="L432" s="4" t="s">
        <v>1382</v>
      </c>
      <c r="M432" s="4" t="s">
        <v>1383</v>
      </c>
      <c r="N432" s="4" t="s">
        <v>464</v>
      </c>
      <c r="O432" s="4" t="s">
        <v>105</v>
      </c>
      <c r="P432" s="4" t="s">
        <v>105</v>
      </c>
      <c r="Q432" s="8" t="s">
        <v>100</v>
      </c>
      <c r="R432" s="9">
        <f t="shared" si="7"/>
        <v>4.2527629161994243E-4</v>
      </c>
      <c r="S432" s="55">
        <f>Tabla3[[#This Row],[Subtotal]]/12</f>
        <v>2020078.1666666667</v>
      </c>
    </row>
    <row r="433" spans="1:19" x14ac:dyDescent="0.2">
      <c r="A433" s="4">
        <v>489</v>
      </c>
      <c r="B433" s="2">
        <v>23971411</v>
      </c>
      <c r="C433" s="2">
        <v>0</v>
      </c>
      <c r="D433" s="4" t="s">
        <v>1387</v>
      </c>
      <c r="E433" s="2">
        <v>23971411</v>
      </c>
      <c r="F433" s="2">
        <v>4554568.09</v>
      </c>
      <c r="G433" s="2">
        <v>599285.28</v>
      </c>
      <c r="H433" s="4">
        <v>0</v>
      </c>
      <c r="I433" s="4">
        <v>0</v>
      </c>
      <c r="J433" s="4">
        <v>599285.28</v>
      </c>
      <c r="K433" s="4">
        <v>27926693.809999999</v>
      </c>
      <c r="L433" s="4" t="s">
        <v>1385</v>
      </c>
      <c r="M433" s="4" t="s">
        <v>1386</v>
      </c>
      <c r="N433" s="4" t="s">
        <v>504</v>
      </c>
      <c r="O433" s="4" t="s">
        <v>1277</v>
      </c>
      <c r="P433" s="4" t="s">
        <v>1277</v>
      </c>
      <c r="Q433" s="8" t="s">
        <v>100</v>
      </c>
      <c r="R433" s="9">
        <f t="shared" si="7"/>
        <v>4.2054778470113226E-4</v>
      </c>
      <c r="S433" s="55">
        <f>Tabla3[[#This Row],[Subtotal]]/12</f>
        <v>1997617.5833333333</v>
      </c>
    </row>
    <row r="434" spans="1:19" x14ac:dyDescent="0.2">
      <c r="A434" s="4">
        <v>475</v>
      </c>
      <c r="B434" s="2">
        <v>23939971</v>
      </c>
      <c r="C434" s="2">
        <v>0</v>
      </c>
      <c r="D434" s="4" t="s">
        <v>1390</v>
      </c>
      <c r="E434" s="2">
        <v>23939971</v>
      </c>
      <c r="F434" s="2">
        <v>4548594.49</v>
      </c>
      <c r="G434" s="2">
        <v>0</v>
      </c>
      <c r="H434" s="4">
        <v>0</v>
      </c>
      <c r="I434" s="4">
        <v>0</v>
      </c>
      <c r="J434" s="4">
        <v>0</v>
      </c>
      <c r="K434" s="4">
        <v>28488565.489999998</v>
      </c>
      <c r="L434" s="4" t="s">
        <v>1388</v>
      </c>
      <c r="M434" s="4" t="s">
        <v>1389</v>
      </c>
      <c r="N434" s="4" t="s">
        <v>20</v>
      </c>
      <c r="O434" s="4" t="s">
        <v>21</v>
      </c>
      <c r="P434" s="4" t="s">
        <v>316</v>
      </c>
      <c r="Q434" s="8" t="s">
        <v>28</v>
      </c>
      <c r="R434" s="9">
        <f t="shared" si="7"/>
        <v>4.1999621006286826E-4</v>
      </c>
      <c r="S434" s="55">
        <f>Tabla3[[#This Row],[Subtotal]]/12</f>
        <v>1994997.5833333333</v>
      </c>
    </row>
    <row r="435" spans="1:19" x14ac:dyDescent="0.2">
      <c r="A435" s="4">
        <v>1424</v>
      </c>
      <c r="B435" s="2">
        <v>23788914</v>
      </c>
      <c r="C435" s="2">
        <v>0</v>
      </c>
      <c r="D435" s="4" t="s">
        <v>1393</v>
      </c>
      <c r="E435" s="2">
        <v>23788914</v>
      </c>
      <c r="F435" s="2">
        <v>4519893.66</v>
      </c>
      <c r="G435" s="2">
        <v>0</v>
      </c>
      <c r="H435" s="4">
        <v>0</v>
      </c>
      <c r="I435" s="4">
        <v>0</v>
      </c>
      <c r="J435" s="4">
        <v>0</v>
      </c>
      <c r="K435" s="4">
        <v>28308807.66</v>
      </c>
      <c r="L435" s="4" t="s">
        <v>1391</v>
      </c>
      <c r="M435" s="4" t="s">
        <v>1392</v>
      </c>
      <c r="N435" s="4" t="s">
        <v>20</v>
      </c>
      <c r="O435" s="4" t="s">
        <v>257</v>
      </c>
      <c r="P435" s="4" t="s">
        <v>257</v>
      </c>
      <c r="Q435" s="8" t="s">
        <v>100</v>
      </c>
      <c r="R435" s="9">
        <f t="shared" si="7"/>
        <v>4.1734610795942517E-4</v>
      </c>
      <c r="S435" s="55">
        <f>Tabla3[[#This Row],[Subtotal]]/12</f>
        <v>1982409.5</v>
      </c>
    </row>
    <row r="436" spans="1:19" x14ac:dyDescent="0.2">
      <c r="A436" s="4">
        <v>1400</v>
      </c>
      <c r="B436" s="2">
        <v>23751440</v>
      </c>
      <c r="C436" s="2">
        <v>0</v>
      </c>
      <c r="D436" s="4" t="s">
        <v>1396</v>
      </c>
      <c r="E436" s="2">
        <v>23751440</v>
      </c>
      <c r="F436" s="2">
        <v>4512773.5999999996</v>
      </c>
      <c r="G436" s="2">
        <v>478352.6</v>
      </c>
      <c r="H436" s="4">
        <v>0</v>
      </c>
      <c r="I436" s="4">
        <v>0</v>
      </c>
      <c r="J436" s="4">
        <v>478352.6</v>
      </c>
      <c r="K436" s="4">
        <v>27785861</v>
      </c>
      <c r="L436" s="4" t="s">
        <v>1394</v>
      </c>
      <c r="M436" s="4" t="s">
        <v>1395</v>
      </c>
      <c r="N436" s="4" t="s">
        <v>20</v>
      </c>
      <c r="O436" s="4" t="s">
        <v>603</v>
      </c>
      <c r="P436" s="4" t="s">
        <v>603</v>
      </c>
      <c r="Q436" s="8" t="s">
        <v>100</v>
      </c>
      <c r="R436" s="9">
        <f t="shared" si="7"/>
        <v>4.1668867449904642E-4</v>
      </c>
      <c r="S436" s="55">
        <f>Tabla3[[#This Row],[Subtotal]]/12</f>
        <v>1979286.6666666667</v>
      </c>
    </row>
    <row r="437" spans="1:19" x14ac:dyDescent="0.2">
      <c r="A437" s="4">
        <v>1671</v>
      </c>
      <c r="B437" s="2">
        <v>23729856</v>
      </c>
      <c r="C437" s="2">
        <v>0</v>
      </c>
      <c r="D437" s="4" t="s">
        <v>1399</v>
      </c>
      <c r="E437" s="2">
        <v>23729856</v>
      </c>
      <c r="F437" s="2">
        <v>4508672.6399999997</v>
      </c>
      <c r="G437" s="2">
        <v>344469.19</v>
      </c>
      <c r="H437" s="4">
        <v>0</v>
      </c>
      <c r="I437" s="4">
        <v>0</v>
      </c>
      <c r="J437" s="4">
        <v>344469.19</v>
      </c>
      <c r="K437" s="4">
        <v>27894059.449999999</v>
      </c>
      <c r="L437" s="4" t="s">
        <v>1397</v>
      </c>
      <c r="M437" s="4" t="s">
        <v>1398</v>
      </c>
      <c r="N437" s="4" t="s">
        <v>20</v>
      </c>
      <c r="O437" s="4" t="s">
        <v>768</v>
      </c>
      <c r="P437" s="4" t="s">
        <v>768</v>
      </c>
      <c r="Q437" s="8" t="s">
        <v>100</v>
      </c>
      <c r="R437" s="9">
        <f t="shared" si="7"/>
        <v>4.1631001079064022E-4</v>
      </c>
      <c r="S437" s="55">
        <f>Tabla3[[#This Row],[Subtotal]]/12</f>
        <v>1977488</v>
      </c>
    </row>
    <row r="438" spans="1:19" x14ac:dyDescent="0.2">
      <c r="A438" s="4">
        <v>1074</v>
      </c>
      <c r="B438" s="2">
        <v>23634270</v>
      </c>
      <c r="C438" s="2">
        <v>0</v>
      </c>
      <c r="D438" s="4" t="s">
        <v>1402</v>
      </c>
      <c r="E438" s="2">
        <v>23634270</v>
      </c>
      <c r="F438" s="2">
        <v>4490511.3</v>
      </c>
      <c r="G438" s="2">
        <v>0</v>
      </c>
      <c r="H438" s="4">
        <v>0</v>
      </c>
      <c r="I438" s="4">
        <v>0</v>
      </c>
      <c r="J438" s="4">
        <v>0</v>
      </c>
      <c r="K438" s="4">
        <v>28124781.300000001</v>
      </c>
      <c r="L438" s="4" t="s">
        <v>1400</v>
      </c>
      <c r="M438" s="4" t="s">
        <v>1401</v>
      </c>
      <c r="N438" s="4" t="s">
        <v>20</v>
      </c>
      <c r="O438" s="4" t="s">
        <v>631</v>
      </c>
      <c r="P438" s="4" t="s">
        <v>631</v>
      </c>
      <c r="Q438" s="8" t="s">
        <v>100</v>
      </c>
      <c r="R438" s="9">
        <f t="shared" si="7"/>
        <v>4.146330765230478E-4</v>
      </c>
      <c r="S438" s="55">
        <f>Tabla3[[#This Row],[Subtotal]]/12</f>
        <v>1969522.5</v>
      </c>
    </row>
    <row r="439" spans="1:19" x14ac:dyDescent="0.2">
      <c r="A439" s="4">
        <v>933</v>
      </c>
      <c r="B439" s="2">
        <v>23585084</v>
      </c>
      <c r="C439" s="2">
        <v>0</v>
      </c>
      <c r="D439" s="4" t="s">
        <v>1405</v>
      </c>
      <c r="E439" s="2">
        <v>23585084</v>
      </c>
      <c r="F439" s="2">
        <v>4481165.96</v>
      </c>
      <c r="G439" s="2">
        <v>0</v>
      </c>
      <c r="H439" s="4">
        <v>0</v>
      </c>
      <c r="I439" s="4">
        <v>0</v>
      </c>
      <c r="J439" s="4">
        <v>0</v>
      </c>
      <c r="K439" s="4">
        <v>28066249.960000001</v>
      </c>
      <c r="L439" s="4" t="s">
        <v>1403</v>
      </c>
      <c r="M439" s="4" t="s">
        <v>1404</v>
      </c>
      <c r="N439" s="4" t="s">
        <v>186</v>
      </c>
      <c r="O439" s="4" t="s">
        <v>59</v>
      </c>
      <c r="P439" s="4" t="s">
        <v>59</v>
      </c>
      <c r="Q439" s="8" t="s">
        <v>100</v>
      </c>
      <c r="R439" s="9">
        <f t="shared" si="7"/>
        <v>4.1377017098368217E-4</v>
      </c>
      <c r="S439" s="55">
        <f>Tabla3[[#This Row],[Subtotal]]/12</f>
        <v>1965423.6666666667</v>
      </c>
    </row>
    <row r="440" spans="1:19" x14ac:dyDescent="0.2">
      <c r="A440" s="4">
        <v>145</v>
      </c>
      <c r="B440" s="2">
        <v>23639278</v>
      </c>
      <c r="C440" s="2">
        <v>56213.43</v>
      </c>
      <c r="D440" s="4" t="s">
        <v>1408</v>
      </c>
      <c r="E440" s="2">
        <v>23583064.57</v>
      </c>
      <c r="F440" s="2">
        <v>4480782.2699999996</v>
      </c>
      <c r="G440" s="2">
        <v>0</v>
      </c>
      <c r="H440" s="4">
        <v>0</v>
      </c>
      <c r="I440" s="4">
        <v>0</v>
      </c>
      <c r="J440" s="4">
        <v>0</v>
      </c>
      <c r="K440" s="4">
        <v>28063846.84</v>
      </c>
      <c r="L440" s="4" t="s">
        <v>1406</v>
      </c>
      <c r="M440" s="4" t="s">
        <v>1407</v>
      </c>
      <c r="N440" s="4" t="s">
        <v>20</v>
      </c>
      <c r="O440" s="4" t="s">
        <v>631</v>
      </c>
      <c r="P440" s="4" t="s">
        <v>631</v>
      </c>
      <c r="Q440" s="8" t="s">
        <v>100</v>
      </c>
      <c r="R440" s="9">
        <f t="shared" si="7"/>
        <v>4.1373474266397006E-4</v>
      </c>
      <c r="S440" s="55">
        <f>Tabla3[[#This Row],[Subtotal]]/12</f>
        <v>1965255.3808333334</v>
      </c>
    </row>
    <row r="441" spans="1:19" x14ac:dyDescent="0.2">
      <c r="A441" s="4">
        <v>790</v>
      </c>
      <c r="B441" s="2">
        <v>23513466</v>
      </c>
      <c r="C441" s="2">
        <v>0</v>
      </c>
      <c r="D441" s="4" t="s">
        <v>1411</v>
      </c>
      <c r="E441" s="2">
        <v>23513466</v>
      </c>
      <c r="F441" s="2">
        <v>4467558.54</v>
      </c>
      <c r="G441" s="2">
        <v>0</v>
      </c>
      <c r="H441" s="4">
        <v>0</v>
      </c>
      <c r="I441" s="4">
        <v>0</v>
      </c>
      <c r="J441" s="4">
        <v>0</v>
      </c>
      <c r="K441" s="4">
        <v>27981024.539999999</v>
      </c>
      <c r="L441" s="4" t="s">
        <v>1409</v>
      </c>
      <c r="M441" s="4" t="s">
        <v>1410</v>
      </c>
      <c r="N441" s="4" t="s">
        <v>939</v>
      </c>
      <c r="O441" s="4" t="s">
        <v>940</v>
      </c>
      <c r="P441" s="4" t="s">
        <v>940</v>
      </c>
      <c r="Q441" s="8" t="s">
        <v>100</v>
      </c>
      <c r="R441" s="9">
        <f t="shared" si="7"/>
        <v>4.1251372465915309E-4</v>
      </c>
      <c r="S441" s="55">
        <f>Tabla3[[#This Row],[Subtotal]]/12</f>
        <v>1959455.5</v>
      </c>
    </row>
    <row r="442" spans="1:19" x14ac:dyDescent="0.2">
      <c r="A442" s="4">
        <v>889</v>
      </c>
      <c r="B442" s="2">
        <v>23462444</v>
      </c>
      <c r="C442" s="2">
        <v>0</v>
      </c>
      <c r="D442" s="4" t="s">
        <v>1414</v>
      </c>
      <c r="E442" s="2">
        <v>23462444</v>
      </c>
      <c r="F442" s="2">
        <v>4457864.3600000003</v>
      </c>
      <c r="G442" s="2">
        <v>586561.12</v>
      </c>
      <c r="H442" s="4">
        <v>0</v>
      </c>
      <c r="I442" s="4">
        <v>0</v>
      </c>
      <c r="J442" s="4">
        <v>586561.12</v>
      </c>
      <c r="K442" s="4">
        <v>27333747.239999998</v>
      </c>
      <c r="L442" s="4" t="s">
        <v>1412</v>
      </c>
      <c r="M442" s="4" t="s">
        <v>1413</v>
      </c>
      <c r="N442" s="4" t="s">
        <v>1415</v>
      </c>
      <c r="O442" s="4" t="s">
        <v>382</v>
      </c>
      <c r="P442" s="4" t="s">
        <v>382</v>
      </c>
      <c r="Q442" s="8" t="s">
        <v>100</v>
      </c>
      <c r="R442" s="9">
        <f t="shared" si="7"/>
        <v>4.1161860884511022E-4</v>
      </c>
      <c r="S442" s="55">
        <f>Tabla3[[#This Row],[Subtotal]]/12</f>
        <v>1955203.6666666667</v>
      </c>
    </row>
    <row r="443" spans="1:19" x14ac:dyDescent="0.2">
      <c r="A443" s="4">
        <v>1385</v>
      </c>
      <c r="B443" s="2">
        <v>23448874</v>
      </c>
      <c r="C443" s="2">
        <v>0</v>
      </c>
      <c r="D443" s="4" t="s">
        <v>1417</v>
      </c>
      <c r="E443" s="2">
        <v>23448874</v>
      </c>
      <c r="F443" s="2">
        <v>4455286.0599999996</v>
      </c>
      <c r="G443" s="2">
        <v>586221.87</v>
      </c>
      <c r="H443" s="4">
        <v>0</v>
      </c>
      <c r="I443" s="4">
        <v>0</v>
      </c>
      <c r="J443" s="4">
        <v>586221.87</v>
      </c>
      <c r="K443" s="4">
        <v>27317938.190000001</v>
      </c>
      <c r="L443" s="4" t="s">
        <v>1416</v>
      </c>
      <c r="M443" s="4" t="s">
        <v>170</v>
      </c>
      <c r="N443" s="4" t="s">
        <v>1418</v>
      </c>
      <c r="O443" s="4" t="s">
        <v>173</v>
      </c>
      <c r="P443" s="4" t="s">
        <v>173</v>
      </c>
      <c r="Q443" s="8" t="s">
        <v>28</v>
      </c>
      <c r="R443" s="9">
        <f t="shared" si="7"/>
        <v>4.1138054052954905E-4</v>
      </c>
      <c r="S443" s="55">
        <f>Tabla3[[#This Row],[Subtotal]]/12</f>
        <v>1954072.8333333333</v>
      </c>
    </row>
    <row r="444" spans="1:19" x14ac:dyDescent="0.2">
      <c r="A444" s="4">
        <v>1031</v>
      </c>
      <c r="B444" s="2">
        <v>23198764</v>
      </c>
      <c r="C444" s="2">
        <v>0</v>
      </c>
      <c r="D444" s="4" t="s">
        <v>1420</v>
      </c>
      <c r="E444" s="2">
        <v>23198764</v>
      </c>
      <c r="F444" s="2">
        <v>4407765.16</v>
      </c>
      <c r="G444" s="2">
        <v>544226.30000000005</v>
      </c>
      <c r="H444" s="4">
        <v>661164.76</v>
      </c>
      <c r="I444" s="4">
        <v>130614.3</v>
      </c>
      <c r="J444" s="4">
        <v>1336005.3600000001</v>
      </c>
      <c r="K444" s="4">
        <v>26270523.800000001</v>
      </c>
      <c r="L444" s="4" t="s">
        <v>1419</v>
      </c>
      <c r="M444" s="4" t="s">
        <v>178</v>
      </c>
      <c r="N444" s="4" t="s">
        <v>1421</v>
      </c>
      <c r="O444" s="4" t="s">
        <v>340</v>
      </c>
      <c r="P444" s="4" t="s">
        <v>340</v>
      </c>
      <c r="Q444" s="8" t="s">
        <v>28</v>
      </c>
      <c r="R444" s="9">
        <f t="shared" si="7"/>
        <v>4.0699268007229021E-4</v>
      </c>
      <c r="S444" s="55">
        <f>Tabla3[[#This Row],[Subtotal]]/12</f>
        <v>1933230.3333333333</v>
      </c>
    </row>
    <row r="445" spans="1:19" x14ac:dyDescent="0.2">
      <c r="A445" s="4">
        <v>1545</v>
      </c>
      <c r="B445" s="2">
        <v>23181988</v>
      </c>
      <c r="C445" s="2">
        <v>0</v>
      </c>
      <c r="D445" s="4" t="s">
        <v>1424</v>
      </c>
      <c r="E445" s="2">
        <v>23181988</v>
      </c>
      <c r="F445" s="2">
        <v>4404577.72</v>
      </c>
      <c r="G445" s="2">
        <v>0</v>
      </c>
      <c r="H445" s="4">
        <v>0</v>
      </c>
      <c r="I445" s="4">
        <v>0</v>
      </c>
      <c r="J445" s="4">
        <v>0</v>
      </c>
      <c r="K445" s="4">
        <v>27586565.719999999</v>
      </c>
      <c r="L445" s="4" t="s">
        <v>1422</v>
      </c>
      <c r="M445" s="4" t="s">
        <v>1423</v>
      </c>
      <c r="N445" s="4" t="s">
        <v>1425</v>
      </c>
      <c r="O445" s="4" t="s">
        <v>33</v>
      </c>
      <c r="P445" s="4" t="s">
        <v>33</v>
      </c>
      <c r="Q445" s="8" t="s">
        <v>100</v>
      </c>
      <c r="R445" s="9">
        <f t="shared" si="7"/>
        <v>4.0669836658210201E-4</v>
      </c>
      <c r="S445" s="55">
        <f>Tabla3[[#This Row],[Subtotal]]/12</f>
        <v>1931832.3333333333</v>
      </c>
    </row>
    <row r="446" spans="1:19" x14ac:dyDescent="0.2">
      <c r="A446" s="4">
        <v>750</v>
      </c>
      <c r="B446" s="2">
        <v>23257756</v>
      </c>
      <c r="C446" s="2">
        <v>96353.64</v>
      </c>
      <c r="D446" s="4" t="s">
        <v>1427</v>
      </c>
      <c r="E446" s="2">
        <v>23161402.359999999</v>
      </c>
      <c r="F446" s="2">
        <v>4400666.45</v>
      </c>
      <c r="G446" s="2">
        <v>579035.06000000006</v>
      </c>
      <c r="H446" s="4">
        <v>660099.97</v>
      </c>
      <c r="I446" s="4">
        <v>0</v>
      </c>
      <c r="J446" s="4">
        <v>1239135.03</v>
      </c>
      <c r="K446" s="4">
        <v>26322933.780000001</v>
      </c>
      <c r="L446" s="4" t="s">
        <v>1426</v>
      </c>
      <c r="M446" s="4" t="s">
        <v>81</v>
      </c>
      <c r="N446" s="4" t="s">
        <v>302</v>
      </c>
      <c r="O446" s="4" t="s">
        <v>27</v>
      </c>
      <c r="P446" s="4" t="s">
        <v>27</v>
      </c>
      <c r="Q446" s="8" t="s">
        <v>28</v>
      </c>
      <c r="R446" s="9">
        <f t="shared" si="7"/>
        <v>4.0633721782458183E-4</v>
      </c>
      <c r="S446" s="55">
        <f>Tabla3[[#This Row],[Subtotal]]/12</f>
        <v>1930116.8633333333</v>
      </c>
    </row>
    <row r="447" spans="1:19" x14ac:dyDescent="0.2">
      <c r="A447" s="4">
        <v>1679</v>
      </c>
      <c r="B447" s="2">
        <v>23142796</v>
      </c>
      <c r="C447" s="2">
        <v>0</v>
      </c>
      <c r="D447" s="4" t="s">
        <v>1430</v>
      </c>
      <c r="E447" s="2">
        <v>23142796</v>
      </c>
      <c r="F447" s="2">
        <v>4397131.24</v>
      </c>
      <c r="G447" s="2">
        <v>548889.91</v>
      </c>
      <c r="H447" s="4">
        <v>0</v>
      </c>
      <c r="I447" s="4">
        <v>0</v>
      </c>
      <c r="J447" s="4">
        <v>548889.91</v>
      </c>
      <c r="K447" s="4">
        <v>26991037.329999998</v>
      </c>
      <c r="L447" s="4" t="s">
        <v>1428</v>
      </c>
      <c r="M447" s="4" t="s">
        <v>1429</v>
      </c>
      <c r="N447" s="4" t="s">
        <v>1418</v>
      </c>
      <c r="O447" s="4" t="s">
        <v>173</v>
      </c>
      <c r="P447" s="4" t="s">
        <v>173</v>
      </c>
      <c r="Q447" s="8" t="s">
        <v>100</v>
      </c>
      <c r="R447" s="9">
        <f t="shared" si="7"/>
        <v>4.0601079300631176E-4</v>
      </c>
      <c r="S447" s="55">
        <f>Tabla3[[#This Row],[Subtotal]]/12</f>
        <v>1928566.3333333333</v>
      </c>
    </row>
    <row r="448" spans="1:19" x14ac:dyDescent="0.2">
      <c r="A448" s="4">
        <v>712</v>
      </c>
      <c r="B448" s="2">
        <v>23129163</v>
      </c>
      <c r="C448" s="2">
        <v>0</v>
      </c>
      <c r="D448" s="4" t="s">
        <v>1433</v>
      </c>
      <c r="E448" s="2">
        <v>23129163</v>
      </c>
      <c r="F448" s="2">
        <v>4394540.97</v>
      </c>
      <c r="G448" s="2">
        <v>0</v>
      </c>
      <c r="H448" s="4">
        <v>0</v>
      </c>
      <c r="I448" s="4">
        <v>0</v>
      </c>
      <c r="J448" s="4">
        <v>0</v>
      </c>
      <c r="K448" s="4">
        <v>27523703.969999999</v>
      </c>
      <c r="L448" s="4" t="s">
        <v>1431</v>
      </c>
      <c r="M448" s="4" t="s">
        <v>1432</v>
      </c>
      <c r="N448" s="4" t="s">
        <v>20</v>
      </c>
      <c r="O448" s="4" t="s">
        <v>1157</v>
      </c>
      <c r="P448" s="4" t="s">
        <v>1157</v>
      </c>
      <c r="Q448" s="8" t="s">
        <v>100</v>
      </c>
      <c r="R448" s="9">
        <f t="shared" si="7"/>
        <v>4.0577161943622738E-4</v>
      </c>
      <c r="S448" s="55">
        <f>Tabla3[[#This Row],[Subtotal]]/12</f>
        <v>1927430.25</v>
      </c>
    </row>
    <row r="449" spans="1:19" x14ac:dyDescent="0.2">
      <c r="A449" s="4">
        <v>1705</v>
      </c>
      <c r="B449" s="2">
        <v>23043638</v>
      </c>
      <c r="C449" s="2">
        <v>0</v>
      </c>
      <c r="D449" s="4" t="s">
        <v>1436</v>
      </c>
      <c r="E449" s="2">
        <v>23043638</v>
      </c>
      <c r="F449" s="2">
        <v>4378291.22</v>
      </c>
      <c r="G449" s="2">
        <v>0</v>
      </c>
      <c r="H449" s="4">
        <v>0</v>
      </c>
      <c r="I449" s="4">
        <v>0</v>
      </c>
      <c r="J449" s="4">
        <v>0</v>
      </c>
      <c r="K449" s="4">
        <v>27421929.219999999</v>
      </c>
      <c r="L449" s="4" t="s">
        <v>1434</v>
      </c>
      <c r="M449" s="4" t="s">
        <v>1435</v>
      </c>
      <c r="N449" s="4" t="s">
        <v>1437</v>
      </c>
      <c r="O449" s="4" t="s">
        <v>382</v>
      </c>
      <c r="P449" s="4" t="s">
        <v>382</v>
      </c>
      <c r="Q449" s="8" t="s">
        <v>100</v>
      </c>
      <c r="R449" s="9">
        <f t="shared" si="7"/>
        <v>4.0427119256162397E-4</v>
      </c>
      <c r="S449" s="55">
        <f>Tabla3[[#This Row],[Subtotal]]/12</f>
        <v>1920303.1666666667</v>
      </c>
    </row>
    <row r="450" spans="1:19" x14ac:dyDescent="0.2">
      <c r="A450" s="4">
        <v>462</v>
      </c>
      <c r="B450" s="2">
        <v>23021489</v>
      </c>
      <c r="C450" s="2">
        <v>0</v>
      </c>
      <c r="D450" s="4" t="s">
        <v>1440</v>
      </c>
      <c r="E450" s="2">
        <v>23021489</v>
      </c>
      <c r="F450" s="2">
        <v>4374082.91</v>
      </c>
      <c r="G450" s="2">
        <v>454746.72</v>
      </c>
      <c r="H450" s="4">
        <v>0</v>
      </c>
      <c r="I450" s="4">
        <v>0</v>
      </c>
      <c r="J450" s="4">
        <v>454746.72</v>
      </c>
      <c r="K450" s="4">
        <v>26940825.190000001</v>
      </c>
      <c r="L450" s="4" t="s">
        <v>1438</v>
      </c>
      <c r="M450" s="4" t="s">
        <v>1439</v>
      </c>
      <c r="N450" s="4" t="s">
        <v>1441</v>
      </c>
      <c r="O450" s="4" t="s">
        <v>196</v>
      </c>
      <c r="P450" s="4" t="s">
        <v>196</v>
      </c>
      <c r="Q450" s="8" t="s">
        <v>100</v>
      </c>
      <c r="R450" s="9">
        <f t="shared" si="7"/>
        <v>4.038826166499538E-4</v>
      </c>
      <c r="S450" s="55">
        <f>Tabla3[[#This Row],[Subtotal]]/12</f>
        <v>1918457.4166666667</v>
      </c>
    </row>
    <row r="451" spans="1:19" x14ac:dyDescent="0.2">
      <c r="A451" s="4">
        <v>1528</v>
      </c>
      <c r="B451" s="2">
        <v>22905692</v>
      </c>
      <c r="C451" s="2">
        <v>0</v>
      </c>
      <c r="D451" s="4" t="s">
        <v>1444</v>
      </c>
      <c r="E451" s="2">
        <v>22905692</v>
      </c>
      <c r="F451" s="2">
        <v>4352081.4800000004</v>
      </c>
      <c r="G451" s="2">
        <v>0</v>
      </c>
      <c r="H451" s="4">
        <v>0</v>
      </c>
      <c r="I451" s="4">
        <v>0</v>
      </c>
      <c r="J451" s="4">
        <v>0</v>
      </c>
      <c r="K451" s="4">
        <v>27257773.48</v>
      </c>
      <c r="L451" s="4" t="s">
        <v>1442</v>
      </c>
      <c r="M451" s="4" t="s">
        <v>1443</v>
      </c>
      <c r="N451" s="4" t="s">
        <v>1280</v>
      </c>
      <c r="O451" s="4" t="s">
        <v>1188</v>
      </c>
      <c r="P451" s="4" t="s">
        <v>1188</v>
      </c>
      <c r="Q451" s="8" t="s">
        <v>100</v>
      </c>
      <c r="R451" s="9">
        <f t="shared" ref="R451:R514" si="8">E451/$E$1757</f>
        <v>4.0185110620507273E-4</v>
      </c>
      <c r="S451" s="55">
        <f>Tabla3[[#This Row],[Subtotal]]/12</f>
        <v>1908807.6666666667</v>
      </c>
    </row>
    <row r="452" spans="1:19" x14ac:dyDescent="0.2">
      <c r="A452" s="4">
        <v>1349</v>
      </c>
      <c r="B452" s="2">
        <v>22840312</v>
      </c>
      <c r="C452" s="2">
        <v>0</v>
      </c>
      <c r="D452" s="4" t="s">
        <v>1447</v>
      </c>
      <c r="E452" s="2">
        <v>22840312</v>
      </c>
      <c r="F452" s="2">
        <v>4339659.28</v>
      </c>
      <c r="G452" s="2">
        <v>571007.80000000005</v>
      </c>
      <c r="H452" s="4">
        <v>0</v>
      </c>
      <c r="I452" s="4">
        <v>0</v>
      </c>
      <c r="J452" s="4">
        <v>571007.80000000005</v>
      </c>
      <c r="K452" s="4">
        <v>26608963.48</v>
      </c>
      <c r="L452" s="4" t="s">
        <v>1445</v>
      </c>
      <c r="M452" s="4" t="s">
        <v>1446</v>
      </c>
      <c r="N452" s="4" t="s">
        <v>1348</v>
      </c>
      <c r="O452" s="4" t="s">
        <v>747</v>
      </c>
      <c r="P452" s="4" t="s">
        <v>747</v>
      </c>
      <c r="Q452" s="8" t="s">
        <v>100</v>
      </c>
      <c r="R452" s="9">
        <f t="shared" si="8"/>
        <v>4.0070409762206689E-4</v>
      </c>
      <c r="S452" s="55">
        <f>Tabla3[[#This Row],[Subtotal]]/12</f>
        <v>1903359.3333333333</v>
      </c>
    </row>
    <row r="453" spans="1:19" x14ac:dyDescent="0.2">
      <c r="A453" s="4">
        <v>541</v>
      </c>
      <c r="B453" s="2">
        <v>23134359</v>
      </c>
      <c r="C453" s="2">
        <v>345375.24</v>
      </c>
      <c r="D453" s="4" t="s">
        <v>1450</v>
      </c>
      <c r="E453" s="2">
        <v>22788983.760000002</v>
      </c>
      <c r="F453" s="2">
        <v>4329906.91</v>
      </c>
      <c r="G453" s="2">
        <v>569724.6</v>
      </c>
      <c r="H453" s="4">
        <v>0</v>
      </c>
      <c r="I453" s="4">
        <v>0</v>
      </c>
      <c r="J453" s="4">
        <v>569724.6</v>
      </c>
      <c r="K453" s="4">
        <v>26549166.07</v>
      </c>
      <c r="L453" s="4" t="s">
        <v>1448</v>
      </c>
      <c r="M453" s="4" t="s">
        <v>1449</v>
      </c>
      <c r="N453" s="4" t="s">
        <v>20</v>
      </c>
      <c r="O453" s="4" t="s">
        <v>386</v>
      </c>
      <c r="P453" s="4" t="s">
        <v>386</v>
      </c>
      <c r="Q453" s="8" t="s">
        <v>1378</v>
      </c>
      <c r="R453" s="9">
        <f t="shared" si="8"/>
        <v>3.9980360921841775E-4</v>
      </c>
      <c r="S453" s="55">
        <f>Tabla3[[#This Row],[Subtotal]]/12</f>
        <v>1899081.9800000002</v>
      </c>
    </row>
    <row r="454" spans="1:19" x14ac:dyDescent="0.2">
      <c r="A454" s="4">
        <v>780</v>
      </c>
      <c r="B454" s="2">
        <v>22767287</v>
      </c>
      <c r="C454" s="2">
        <v>0</v>
      </c>
      <c r="D454" s="4" t="s">
        <v>1453</v>
      </c>
      <c r="E454" s="2">
        <v>22767287</v>
      </c>
      <c r="F454" s="2">
        <v>4325784.53</v>
      </c>
      <c r="G454" s="2">
        <v>146781.95000000001</v>
      </c>
      <c r="H454" s="4">
        <v>0</v>
      </c>
      <c r="I454" s="4">
        <v>0</v>
      </c>
      <c r="J454" s="4">
        <v>146781.95000000001</v>
      </c>
      <c r="K454" s="4">
        <v>26946289.579999998</v>
      </c>
      <c r="L454" s="4" t="s">
        <v>1451</v>
      </c>
      <c r="M454" s="4" t="s">
        <v>1452</v>
      </c>
      <c r="N454" s="4" t="s">
        <v>1454</v>
      </c>
      <c r="O454" s="4" t="s">
        <v>67</v>
      </c>
      <c r="P454" s="4" t="s">
        <v>67</v>
      </c>
      <c r="Q454" s="8" t="s">
        <v>100</v>
      </c>
      <c r="R454" s="9">
        <f t="shared" si="8"/>
        <v>3.9942296727985216E-4</v>
      </c>
      <c r="S454" s="55">
        <f>Tabla3[[#This Row],[Subtotal]]/12</f>
        <v>1897273.9166666667</v>
      </c>
    </row>
    <row r="455" spans="1:19" x14ac:dyDescent="0.2">
      <c r="A455" s="4">
        <v>1452</v>
      </c>
      <c r="B455" s="2">
        <v>22759366</v>
      </c>
      <c r="C455" s="2">
        <v>0</v>
      </c>
      <c r="D455" s="4" t="s">
        <v>1457</v>
      </c>
      <c r="E455" s="2">
        <v>22759366</v>
      </c>
      <c r="F455" s="2">
        <v>4324279.54</v>
      </c>
      <c r="G455" s="2">
        <v>447305.29</v>
      </c>
      <c r="H455" s="4">
        <v>0</v>
      </c>
      <c r="I455" s="4">
        <v>0</v>
      </c>
      <c r="J455" s="4">
        <v>447305.29</v>
      </c>
      <c r="K455" s="4">
        <v>26636340.25</v>
      </c>
      <c r="L455" s="4" t="s">
        <v>1455</v>
      </c>
      <c r="M455" s="4" t="s">
        <v>1456</v>
      </c>
      <c r="N455" s="4" t="s">
        <v>124</v>
      </c>
      <c r="O455" s="4" t="s">
        <v>33</v>
      </c>
      <c r="P455" s="4" t="s">
        <v>33</v>
      </c>
      <c r="Q455" s="8" t="s">
        <v>28</v>
      </c>
      <c r="R455" s="9">
        <f t="shared" si="8"/>
        <v>3.9928400345320806E-4</v>
      </c>
      <c r="S455" s="55">
        <f>Tabla3[[#This Row],[Subtotal]]/12</f>
        <v>1896613.8333333333</v>
      </c>
    </row>
    <row r="456" spans="1:19" x14ac:dyDescent="0.2">
      <c r="A456" s="4">
        <v>32</v>
      </c>
      <c r="B456" s="2">
        <v>22659500</v>
      </c>
      <c r="C456" s="2">
        <v>0</v>
      </c>
      <c r="D456" s="4" t="s">
        <v>1459</v>
      </c>
      <c r="E456" s="2">
        <v>22659500</v>
      </c>
      <c r="F456" s="2">
        <v>4305305</v>
      </c>
      <c r="G456" s="2">
        <v>566487.51</v>
      </c>
      <c r="H456" s="4">
        <v>645795.76</v>
      </c>
      <c r="I456" s="4">
        <v>0</v>
      </c>
      <c r="J456" s="4">
        <v>1212283.27</v>
      </c>
      <c r="K456" s="4">
        <v>25752521.73</v>
      </c>
      <c r="L456" s="4" t="s">
        <v>1458</v>
      </c>
      <c r="M456" s="4" t="s">
        <v>146</v>
      </c>
      <c r="N456" s="4" t="s">
        <v>20</v>
      </c>
      <c r="O456" s="4" t="s">
        <v>71</v>
      </c>
      <c r="P456" s="4" t="s">
        <v>71</v>
      </c>
      <c r="Q456" s="8" t="s">
        <v>28</v>
      </c>
      <c r="R456" s="9">
        <f t="shared" si="8"/>
        <v>3.9753198205292575E-4</v>
      </c>
      <c r="S456" s="55">
        <f>Tabla3[[#This Row],[Subtotal]]/12</f>
        <v>1888291.6666666667</v>
      </c>
    </row>
    <row r="457" spans="1:19" x14ac:dyDescent="0.2">
      <c r="A457" s="4">
        <v>1449</v>
      </c>
      <c r="B457" s="2">
        <v>22521803</v>
      </c>
      <c r="C457" s="2">
        <v>0</v>
      </c>
      <c r="D457" s="4" t="s">
        <v>1462</v>
      </c>
      <c r="E457" s="2">
        <v>22521803</v>
      </c>
      <c r="F457" s="2">
        <v>4279142.57</v>
      </c>
      <c r="G457" s="2">
        <v>0</v>
      </c>
      <c r="H457" s="4">
        <v>0</v>
      </c>
      <c r="I457" s="4">
        <v>0</v>
      </c>
      <c r="J457" s="4">
        <v>0</v>
      </c>
      <c r="K457" s="4">
        <v>26800945.57</v>
      </c>
      <c r="L457" s="4" t="s">
        <v>1460</v>
      </c>
      <c r="M457" s="4" t="s">
        <v>1461</v>
      </c>
      <c r="N457" s="4" t="s">
        <v>1463</v>
      </c>
      <c r="O457" s="4" t="s">
        <v>105</v>
      </c>
      <c r="P457" s="4" t="s">
        <v>105</v>
      </c>
      <c r="Q457" s="8" t="s">
        <v>100</v>
      </c>
      <c r="R457" s="9">
        <f t="shared" si="8"/>
        <v>3.9511626408329971E-4</v>
      </c>
      <c r="S457" s="55">
        <f>Tabla3[[#This Row],[Subtotal]]/12</f>
        <v>1876816.9166666667</v>
      </c>
    </row>
    <row r="458" spans="1:19" x14ac:dyDescent="0.2">
      <c r="A458" s="4">
        <v>1316</v>
      </c>
      <c r="B458" s="2">
        <v>22509367</v>
      </c>
      <c r="C458" s="2">
        <v>0</v>
      </c>
      <c r="D458" s="4" t="s">
        <v>1466</v>
      </c>
      <c r="E458" s="2">
        <v>22509367</v>
      </c>
      <c r="F458" s="2">
        <v>4276779.7300000004</v>
      </c>
      <c r="G458" s="2">
        <v>0</v>
      </c>
      <c r="H458" s="4">
        <v>0</v>
      </c>
      <c r="I458" s="4">
        <v>0</v>
      </c>
      <c r="J458" s="4">
        <v>0</v>
      </c>
      <c r="K458" s="4">
        <v>26786146.73</v>
      </c>
      <c r="L458" s="4" t="s">
        <v>1464</v>
      </c>
      <c r="M458" s="4" t="s">
        <v>1465</v>
      </c>
      <c r="N458" s="4" t="s">
        <v>468</v>
      </c>
      <c r="O458" s="4" t="s">
        <v>105</v>
      </c>
      <c r="P458" s="4" t="s">
        <v>105</v>
      </c>
      <c r="Q458" s="8" t="s">
        <v>100</v>
      </c>
      <c r="R458" s="9">
        <f t="shared" si="8"/>
        <v>3.9489809034915684E-4</v>
      </c>
      <c r="S458" s="55">
        <f>Tabla3[[#This Row],[Subtotal]]/12</f>
        <v>1875780.5833333333</v>
      </c>
    </row>
    <row r="459" spans="1:19" x14ac:dyDescent="0.2">
      <c r="A459" s="4">
        <v>229</v>
      </c>
      <c r="B459" s="2">
        <v>22499270</v>
      </c>
      <c r="C459" s="2">
        <v>0</v>
      </c>
      <c r="D459" s="4" t="s">
        <v>1469</v>
      </c>
      <c r="E459" s="2">
        <v>22499270</v>
      </c>
      <c r="F459" s="2">
        <v>4274861.3</v>
      </c>
      <c r="G459" s="2">
        <v>0</v>
      </c>
      <c r="H459" s="4">
        <v>0</v>
      </c>
      <c r="I459" s="4">
        <v>0</v>
      </c>
      <c r="J459" s="4">
        <v>0</v>
      </c>
      <c r="K459" s="4">
        <v>26774131.300000001</v>
      </c>
      <c r="L459" s="4" t="s">
        <v>1467</v>
      </c>
      <c r="M459" s="4" t="s">
        <v>1468</v>
      </c>
      <c r="N459" s="4" t="s">
        <v>20</v>
      </c>
      <c r="O459" s="4" t="s">
        <v>768</v>
      </c>
      <c r="P459" s="4" t="s">
        <v>768</v>
      </c>
      <c r="Q459" s="8" t="s">
        <v>100</v>
      </c>
      <c r="R459" s="9">
        <f t="shared" si="8"/>
        <v>3.9472095138215452E-4</v>
      </c>
      <c r="S459" s="55">
        <f>Tabla3[[#This Row],[Subtotal]]/12</f>
        <v>1874939.1666666667</v>
      </c>
    </row>
    <row r="460" spans="1:19" x14ac:dyDescent="0.2">
      <c r="A460" s="4">
        <v>764</v>
      </c>
      <c r="B460" s="2">
        <v>22545823</v>
      </c>
      <c r="C460" s="2">
        <v>110932.68</v>
      </c>
      <c r="D460" s="4" t="s">
        <v>1471</v>
      </c>
      <c r="E460" s="2">
        <v>22434890.32</v>
      </c>
      <c r="F460" s="2">
        <v>4262629.16</v>
      </c>
      <c r="G460" s="2">
        <v>549091.99</v>
      </c>
      <c r="H460" s="4">
        <v>639394.38</v>
      </c>
      <c r="I460" s="4">
        <v>0</v>
      </c>
      <c r="J460" s="4">
        <v>1188486.3700000001</v>
      </c>
      <c r="K460" s="4">
        <v>25509033.109999999</v>
      </c>
      <c r="L460" s="4" t="s">
        <v>1470</v>
      </c>
      <c r="M460" s="4" t="s">
        <v>81</v>
      </c>
      <c r="N460" s="4" t="s">
        <v>651</v>
      </c>
      <c r="O460" s="4" t="s">
        <v>196</v>
      </c>
      <c r="P460" s="4" t="s">
        <v>196</v>
      </c>
      <c r="Q460" s="8" t="s">
        <v>28</v>
      </c>
      <c r="R460" s="9">
        <f t="shared" si="8"/>
        <v>3.9359149213573103E-4</v>
      </c>
      <c r="S460" s="55">
        <f>Tabla3[[#This Row],[Subtotal]]/12</f>
        <v>1869574.1933333334</v>
      </c>
    </row>
    <row r="461" spans="1:19" x14ac:dyDescent="0.2">
      <c r="A461" s="4">
        <v>425</v>
      </c>
      <c r="B461" s="2">
        <v>22402562</v>
      </c>
      <c r="C461" s="2">
        <v>0</v>
      </c>
      <c r="D461" s="4" t="s">
        <v>1474</v>
      </c>
      <c r="E461" s="2">
        <v>22402562</v>
      </c>
      <c r="F461" s="2">
        <v>4256486.78</v>
      </c>
      <c r="G461" s="2">
        <v>551176.69999999995</v>
      </c>
      <c r="H461" s="4">
        <v>0</v>
      </c>
      <c r="I461" s="4">
        <v>0</v>
      </c>
      <c r="J461" s="4">
        <v>551176.69999999995</v>
      </c>
      <c r="K461" s="4">
        <v>26107872.079999998</v>
      </c>
      <c r="L461" s="4" t="s">
        <v>1472</v>
      </c>
      <c r="M461" s="4" t="s">
        <v>1473</v>
      </c>
      <c r="N461" s="4" t="s">
        <v>522</v>
      </c>
      <c r="O461" s="4" t="s">
        <v>105</v>
      </c>
      <c r="P461" s="4" t="s">
        <v>105</v>
      </c>
      <c r="Q461" s="8" t="s">
        <v>100</v>
      </c>
      <c r="R461" s="9">
        <f t="shared" si="8"/>
        <v>3.930243330578149E-4</v>
      </c>
      <c r="S461" s="55">
        <f>Tabla3[[#This Row],[Subtotal]]/12</f>
        <v>1866880.1666666667</v>
      </c>
    </row>
    <row r="462" spans="1:19" x14ac:dyDescent="0.2">
      <c r="A462" s="4">
        <v>755</v>
      </c>
      <c r="B462" s="2">
        <v>22379514</v>
      </c>
      <c r="C462" s="2">
        <v>0</v>
      </c>
      <c r="D462" s="4" t="s">
        <v>1476</v>
      </c>
      <c r="E462" s="2">
        <v>22379514</v>
      </c>
      <c r="F462" s="2">
        <v>4252107.66</v>
      </c>
      <c r="G462" s="2">
        <v>552228.9</v>
      </c>
      <c r="H462" s="4">
        <v>637816.14</v>
      </c>
      <c r="I462" s="4">
        <v>0</v>
      </c>
      <c r="J462" s="4">
        <v>1190045.04</v>
      </c>
      <c r="K462" s="4">
        <v>25441576.620000001</v>
      </c>
      <c r="L462" s="4" t="s">
        <v>1475</v>
      </c>
      <c r="M462" s="4" t="s">
        <v>81</v>
      </c>
      <c r="N462" s="4" t="s">
        <v>20</v>
      </c>
      <c r="O462" s="4" t="s">
        <v>359</v>
      </c>
      <c r="P462" s="4" t="s">
        <v>359</v>
      </c>
      <c r="Q462" s="8" t="s">
        <v>28</v>
      </c>
      <c r="R462" s="9">
        <f t="shared" si="8"/>
        <v>3.9261998533953531E-4</v>
      </c>
      <c r="S462" s="55">
        <f>Tabla3[[#This Row],[Subtotal]]/12</f>
        <v>1864959.5</v>
      </c>
    </row>
    <row r="463" spans="1:19" x14ac:dyDescent="0.2">
      <c r="A463" s="4">
        <v>1755</v>
      </c>
      <c r="B463" s="2">
        <v>22283607</v>
      </c>
      <c r="C463" s="2">
        <v>0</v>
      </c>
      <c r="D463" s="4" t="s">
        <v>1479</v>
      </c>
      <c r="E463" s="2">
        <v>22283607</v>
      </c>
      <c r="F463" s="2">
        <v>4233885.33</v>
      </c>
      <c r="G463" s="2">
        <v>0</v>
      </c>
      <c r="H463" s="4">
        <v>0</v>
      </c>
      <c r="I463" s="4">
        <v>0</v>
      </c>
      <c r="J463" s="4">
        <v>0</v>
      </c>
      <c r="K463" s="4">
        <v>26517492.329999998</v>
      </c>
      <c r="L463" s="4" t="s">
        <v>1477</v>
      </c>
      <c r="M463" s="4" t="s">
        <v>1478</v>
      </c>
      <c r="N463" s="4" t="s">
        <v>83</v>
      </c>
      <c r="O463" s="4" t="s">
        <v>84</v>
      </c>
      <c r="P463" s="4" t="s">
        <v>84</v>
      </c>
      <c r="Q463" s="8" t="s">
        <v>100</v>
      </c>
      <c r="R463" s="9">
        <f t="shared" si="8"/>
        <v>3.9093741953699114E-4</v>
      </c>
      <c r="S463" s="55">
        <f>Tabla3[[#This Row],[Subtotal]]/12</f>
        <v>1856967.25</v>
      </c>
    </row>
    <row r="464" spans="1:19" x14ac:dyDescent="0.2">
      <c r="A464" s="4">
        <v>1033</v>
      </c>
      <c r="B464" s="2">
        <v>22198120</v>
      </c>
      <c r="C464" s="2">
        <v>0</v>
      </c>
      <c r="D464" s="4" t="s">
        <v>1481</v>
      </c>
      <c r="E464" s="2">
        <v>22198120</v>
      </c>
      <c r="F464" s="2">
        <v>4217642.8</v>
      </c>
      <c r="G464" s="2">
        <v>413892.5</v>
      </c>
      <c r="H464" s="4">
        <v>542222.77</v>
      </c>
      <c r="I464" s="4">
        <v>99334.21</v>
      </c>
      <c r="J464" s="4">
        <v>1055449.48</v>
      </c>
      <c r="K464" s="4">
        <v>25360313.32</v>
      </c>
      <c r="L464" s="4" t="s">
        <v>1480</v>
      </c>
      <c r="M464" s="4" t="s">
        <v>178</v>
      </c>
      <c r="N464" s="4" t="s">
        <v>20</v>
      </c>
      <c r="O464" s="4" t="s">
        <v>71</v>
      </c>
      <c r="P464" s="4" t="s">
        <v>71</v>
      </c>
      <c r="Q464" s="8" t="s">
        <v>28</v>
      </c>
      <c r="R464" s="9">
        <f t="shared" si="8"/>
        <v>3.8943765932384619E-4</v>
      </c>
      <c r="S464" s="55">
        <f>Tabla3[[#This Row],[Subtotal]]/12</f>
        <v>1849843.3333333333</v>
      </c>
    </row>
    <row r="465" spans="1:19" x14ac:dyDescent="0.2">
      <c r="A465" s="4">
        <v>1359</v>
      </c>
      <c r="B465" s="2">
        <v>22176326</v>
      </c>
      <c r="C465" s="2">
        <v>0</v>
      </c>
      <c r="D465" s="4" t="s">
        <v>1484</v>
      </c>
      <c r="E465" s="2">
        <v>22176326</v>
      </c>
      <c r="F465" s="2">
        <v>4213501.9400000004</v>
      </c>
      <c r="G465" s="2">
        <v>554408.15</v>
      </c>
      <c r="H465" s="4">
        <v>0</v>
      </c>
      <c r="I465" s="4">
        <v>0</v>
      </c>
      <c r="J465" s="4">
        <v>554408.15</v>
      </c>
      <c r="K465" s="4">
        <v>25835419.789999999</v>
      </c>
      <c r="L465" s="4" t="s">
        <v>1482</v>
      </c>
      <c r="M465" s="4" t="s">
        <v>1483</v>
      </c>
      <c r="N465" s="4" t="s">
        <v>20</v>
      </c>
      <c r="O465" s="4" t="s">
        <v>603</v>
      </c>
      <c r="P465" s="4" t="s">
        <v>603</v>
      </c>
      <c r="Q465" s="8" t="s">
        <v>28</v>
      </c>
      <c r="R465" s="9">
        <f t="shared" si="8"/>
        <v>3.8905531143369586E-4</v>
      </c>
      <c r="S465" s="55">
        <f>Tabla3[[#This Row],[Subtotal]]/12</f>
        <v>1848027.1666666667</v>
      </c>
    </row>
    <row r="466" spans="1:19" x14ac:dyDescent="0.2">
      <c r="A466" s="4">
        <v>540</v>
      </c>
      <c r="B466" s="2">
        <v>22105652</v>
      </c>
      <c r="C466" s="2">
        <v>0</v>
      </c>
      <c r="D466" s="4" t="s">
        <v>1487</v>
      </c>
      <c r="E466" s="2">
        <v>22105652</v>
      </c>
      <c r="F466" s="2">
        <v>4200073.88</v>
      </c>
      <c r="G466" s="2">
        <v>447903.43</v>
      </c>
      <c r="H466" s="4">
        <v>0</v>
      </c>
      <c r="I466" s="4">
        <v>0</v>
      </c>
      <c r="J466" s="4">
        <v>447903.43</v>
      </c>
      <c r="K466" s="4">
        <v>25857822.449999999</v>
      </c>
      <c r="L466" s="4" t="s">
        <v>1485</v>
      </c>
      <c r="M466" s="4" t="s">
        <v>1486</v>
      </c>
      <c r="N466" s="4" t="s">
        <v>1421</v>
      </c>
      <c r="O466" s="4" t="s">
        <v>386</v>
      </c>
      <c r="P466" s="4" t="s">
        <v>386</v>
      </c>
      <c r="Q466" s="8" t="s">
        <v>585</v>
      </c>
      <c r="R466" s="9">
        <f t="shared" si="8"/>
        <v>3.8781542638329278E-4</v>
      </c>
      <c r="S466" s="55">
        <f>Tabla3[[#This Row],[Subtotal]]/12</f>
        <v>1842137.6666666667</v>
      </c>
    </row>
    <row r="467" spans="1:19" x14ac:dyDescent="0.2">
      <c r="A467" s="4">
        <v>575</v>
      </c>
      <c r="B467" s="2">
        <v>22193071</v>
      </c>
      <c r="C467" s="2">
        <v>101793.87</v>
      </c>
      <c r="D467" s="4" t="s">
        <v>1490</v>
      </c>
      <c r="E467" s="2">
        <v>22091277.129999999</v>
      </c>
      <c r="F467" s="2">
        <v>4197342.6500000004</v>
      </c>
      <c r="G467" s="2">
        <v>466895.35999999999</v>
      </c>
      <c r="H467" s="4">
        <v>0</v>
      </c>
      <c r="I467" s="4">
        <v>0</v>
      </c>
      <c r="J467" s="4">
        <v>466895.35999999999</v>
      </c>
      <c r="K467" s="4">
        <v>25821724.420000002</v>
      </c>
      <c r="L467" s="4" t="s">
        <v>1488</v>
      </c>
      <c r="M467" s="4" t="s">
        <v>1489</v>
      </c>
      <c r="N467" s="4" t="s">
        <v>1491</v>
      </c>
      <c r="O467" s="4" t="s">
        <v>1127</v>
      </c>
      <c r="P467" s="4" t="s">
        <v>1127</v>
      </c>
      <c r="Q467" s="8" t="s">
        <v>100</v>
      </c>
      <c r="R467" s="9">
        <f t="shared" si="8"/>
        <v>3.8756323765172968E-4</v>
      </c>
      <c r="S467" s="55">
        <f>Tabla3[[#This Row],[Subtotal]]/12</f>
        <v>1840939.7608333332</v>
      </c>
    </row>
    <row r="468" spans="1:19" x14ac:dyDescent="0.2">
      <c r="A468" s="4">
        <v>757</v>
      </c>
      <c r="B468" s="2">
        <v>22300923</v>
      </c>
      <c r="C468" s="2">
        <v>286323.03000000003</v>
      </c>
      <c r="D468" s="4" t="s">
        <v>1493</v>
      </c>
      <c r="E468" s="2">
        <v>22014599.969999999</v>
      </c>
      <c r="F468" s="2">
        <v>4182773.99</v>
      </c>
      <c r="G468" s="2">
        <v>516699.45</v>
      </c>
      <c r="H468" s="4">
        <v>589037.37</v>
      </c>
      <c r="I468" s="4">
        <v>0</v>
      </c>
      <c r="J468" s="4">
        <v>1105736.82</v>
      </c>
      <c r="K468" s="4">
        <v>25091637.140000001</v>
      </c>
      <c r="L468" s="4" t="s">
        <v>1492</v>
      </c>
      <c r="M468" s="4" t="s">
        <v>81</v>
      </c>
      <c r="N468" s="4" t="s">
        <v>415</v>
      </c>
      <c r="O468" s="4" t="s">
        <v>382</v>
      </c>
      <c r="P468" s="4" t="s">
        <v>382</v>
      </c>
      <c r="Q468" s="8" t="s">
        <v>28</v>
      </c>
      <c r="R468" s="9">
        <f t="shared" si="8"/>
        <v>3.8621803482761667E-4</v>
      </c>
      <c r="S468" s="55">
        <f>Tabla3[[#This Row],[Subtotal]]/12</f>
        <v>1834549.9974999998</v>
      </c>
    </row>
    <row r="469" spans="1:19" x14ac:dyDescent="0.2">
      <c r="A469" s="4">
        <v>210</v>
      </c>
      <c r="B469" s="2">
        <v>21997118</v>
      </c>
      <c r="C469" s="2">
        <v>0</v>
      </c>
      <c r="D469" s="4" t="s">
        <v>1496</v>
      </c>
      <c r="E469" s="2">
        <v>21997118</v>
      </c>
      <c r="F469" s="2">
        <v>4179452.42</v>
      </c>
      <c r="G469" s="2">
        <v>549927.96</v>
      </c>
      <c r="H469" s="4">
        <v>0</v>
      </c>
      <c r="I469" s="4">
        <v>0</v>
      </c>
      <c r="J469" s="4">
        <v>549927.96</v>
      </c>
      <c r="K469" s="4">
        <v>25626642.460000001</v>
      </c>
      <c r="L469" s="4" t="s">
        <v>1494</v>
      </c>
      <c r="M469" s="4" t="s">
        <v>1495</v>
      </c>
      <c r="N469" s="4" t="s">
        <v>1497</v>
      </c>
      <c r="O469" s="4" t="s">
        <v>229</v>
      </c>
      <c r="P469" s="4" t="s">
        <v>229</v>
      </c>
      <c r="Q469" s="8" t="s">
        <v>28</v>
      </c>
      <c r="R469" s="9">
        <f t="shared" si="8"/>
        <v>3.8591133599559079E-4</v>
      </c>
      <c r="S469" s="55">
        <f>Tabla3[[#This Row],[Subtotal]]/12</f>
        <v>1833093.1666666667</v>
      </c>
    </row>
    <row r="470" spans="1:19" x14ac:dyDescent="0.2">
      <c r="A470" s="4">
        <v>1001</v>
      </c>
      <c r="B470" s="2">
        <v>21964872</v>
      </c>
      <c r="C470" s="2">
        <v>0</v>
      </c>
      <c r="D470" s="4" t="s">
        <v>1500</v>
      </c>
      <c r="E470" s="2">
        <v>21964872</v>
      </c>
      <c r="F470" s="2">
        <v>4173325.68</v>
      </c>
      <c r="G470" s="2">
        <v>0</v>
      </c>
      <c r="H470" s="4">
        <v>0</v>
      </c>
      <c r="I470" s="4">
        <v>0</v>
      </c>
      <c r="J470" s="4">
        <v>0</v>
      </c>
      <c r="K470" s="4">
        <v>26138197.68</v>
      </c>
      <c r="L470" s="4" t="s">
        <v>1498</v>
      </c>
      <c r="M470" s="4" t="s">
        <v>1499</v>
      </c>
      <c r="N470" s="4" t="s">
        <v>1054</v>
      </c>
      <c r="O470" s="4" t="s">
        <v>89</v>
      </c>
      <c r="P470" s="4" t="s">
        <v>89</v>
      </c>
      <c r="Q470" s="8" t="s">
        <v>100</v>
      </c>
      <c r="R470" s="9">
        <f t="shared" si="8"/>
        <v>3.8534562111691836E-4</v>
      </c>
      <c r="S470" s="55">
        <f>Tabla3[[#This Row],[Subtotal]]/12</f>
        <v>1830406</v>
      </c>
    </row>
    <row r="471" spans="1:19" x14ac:dyDescent="0.2">
      <c r="A471" s="4">
        <v>1642</v>
      </c>
      <c r="B471" s="2">
        <v>21862058</v>
      </c>
      <c r="C471" s="2">
        <v>0</v>
      </c>
      <c r="D471" s="4" t="s">
        <v>1503</v>
      </c>
      <c r="E471" s="2">
        <v>21862058</v>
      </c>
      <c r="F471" s="2">
        <v>4153791.02</v>
      </c>
      <c r="G471" s="2">
        <v>546551.44999999995</v>
      </c>
      <c r="H471" s="4">
        <v>0</v>
      </c>
      <c r="I471" s="4">
        <v>0</v>
      </c>
      <c r="J471" s="4">
        <v>546551.44999999995</v>
      </c>
      <c r="K471" s="4">
        <v>25469297.57</v>
      </c>
      <c r="L471" s="4" t="s">
        <v>1501</v>
      </c>
      <c r="M471" s="4" t="s">
        <v>1502</v>
      </c>
      <c r="N471" s="4" t="s">
        <v>46</v>
      </c>
      <c r="O471" s="4" t="s">
        <v>27</v>
      </c>
      <c r="P471" s="4" t="s">
        <v>27</v>
      </c>
      <c r="Q471" s="8" t="s">
        <v>100</v>
      </c>
      <c r="R471" s="9">
        <f t="shared" si="8"/>
        <v>3.835418808224375E-4</v>
      </c>
      <c r="S471" s="55">
        <f>Tabla3[[#This Row],[Subtotal]]/12</f>
        <v>1821838.1666666667</v>
      </c>
    </row>
    <row r="472" spans="1:19" x14ac:dyDescent="0.2">
      <c r="A472" s="4">
        <v>713</v>
      </c>
      <c r="B472" s="2">
        <v>21814427</v>
      </c>
      <c r="C472" s="2">
        <v>0</v>
      </c>
      <c r="D472" s="4" t="s">
        <v>1506</v>
      </c>
      <c r="E472" s="2">
        <v>21814427</v>
      </c>
      <c r="F472" s="2">
        <v>4144741.13</v>
      </c>
      <c r="G472" s="2">
        <v>489213.99</v>
      </c>
      <c r="H472" s="4">
        <v>0</v>
      </c>
      <c r="I472" s="4">
        <v>0</v>
      </c>
      <c r="J472" s="4">
        <v>489213.99</v>
      </c>
      <c r="K472" s="4">
        <v>25469954.140000001</v>
      </c>
      <c r="L472" s="4" t="s">
        <v>1504</v>
      </c>
      <c r="M472" s="4" t="s">
        <v>1505</v>
      </c>
      <c r="N472" s="4" t="s">
        <v>464</v>
      </c>
      <c r="O472" s="4" t="s">
        <v>105</v>
      </c>
      <c r="P472" s="4" t="s">
        <v>105</v>
      </c>
      <c r="Q472" s="8" t="s">
        <v>100</v>
      </c>
      <c r="R472" s="9">
        <f t="shared" si="8"/>
        <v>3.8270625577170098E-4</v>
      </c>
      <c r="S472" s="55">
        <f>Tabla3[[#This Row],[Subtotal]]/12</f>
        <v>1817868.9166666667</v>
      </c>
    </row>
    <row r="473" spans="1:19" x14ac:dyDescent="0.2">
      <c r="A473" s="4">
        <v>417</v>
      </c>
      <c r="B473" s="2">
        <v>21879936</v>
      </c>
      <c r="C473" s="2">
        <v>132478.10999999999</v>
      </c>
      <c r="D473" s="4" t="s">
        <v>1509</v>
      </c>
      <c r="E473" s="2">
        <v>21747457.890000001</v>
      </c>
      <c r="F473" s="2">
        <v>4132017</v>
      </c>
      <c r="G473" s="2">
        <v>543686.46</v>
      </c>
      <c r="H473" s="4">
        <v>0</v>
      </c>
      <c r="I473" s="4">
        <v>0</v>
      </c>
      <c r="J473" s="4">
        <v>543686.46</v>
      </c>
      <c r="K473" s="4">
        <v>25335788.43</v>
      </c>
      <c r="L473" s="4" t="s">
        <v>1507</v>
      </c>
      <c r="M473" s="4" t="s">
        <v>1508</v>
      </c>
      <c r="N473" s="4" t="s">
        <v>1510</v>
      </c>
      <c r="O473" s="4" t="s">
        <v>89</v>
      </c>
      <c r="P473" s="4" t="s">
        <v>89</v>
      </c>
      <c r="Q473" s="8" t="s">
        <v>100</v>
      </c>
      <c r="R473" s="9">
        <f t="shared" si="8"/>
        <v>3.8153136828368849E-4</v>
      </c>
      <c r="S473" s="55">
        <f>Tabla3[[#This Row],[Subtotal]]/12</f>
        <v>1812288.1575</v>
      </c>
    </row>
    <row r="474" spans="1:19" x14ac:dyDescent="0.2">
      <c r="A474" s="4">
        <v>951</v>
      </c>
      <c r="B474" s="2">
        <v>22284660</v>
      </c>
      <c r="C474" s="2">
        <v>555682.5</v>
      </c>
      <c r="D474" s="4" t="s">
        <v>1513</v>
      </c>
      <c r="E474" s="2">
        <v>21728977.5</v>
      </c>
      <c r="F474" s="2">
        <v>4128505.73</v>
      </c>
      <c r="G474" s="2">
        <v>498312.68</v>
      </c>
      <c r="H474" s="4">
        <v>0</v>
      </c>
      <c r="I474" s="4">
        <v>0</v>
      </c>
      <c r="J474" s="4">
        <v>498312.68</v>
      </c>
      <c r="K474" s="4">
        <v>25359170.550000001</v>
      </c>
      <c r="L474" s="4" t="s">
        <v>1511</v>
      </c>
      <c r="M474" s="4" t="s">
        <v>1512</v>
      </c>
      <c r="N474" s="4" t="s">
        <v>20</v>
      </c>
      <c r="O474" s="4" t="s">
        <v>386</v>
      </c>
      <c r="P474" s="4" t="s">
        <v>386</v>
      </c>
      <c r="Q474" s="8" t="s">
        <v>1378</v>
      </c>
      <c r="R474" s="9">
        <f t="shared" si="8"/>
        <v>3.8120715344815322E-4</v>
      </c>
      <c r="S474" s="55">
        <f>Tabla3[[#This Row],[Subtotal]]/12</f>
        <v>1810748.125</v>
      </c>
    </row>
    <row r="475" spans="1:19" x14ac:dyDescent="0.2">
      <c r="A475" s="4">
        <v>320</v>
      </c>
      <c r="B475" s="2">
        <v>21691310</v>
      </c>
      <c r="C475" s="2">
        <v>0</v>
      </c>
      <c r="D475" s="4" t="s">
        <v>1516</v>
      </c>
      <c r="E475" s="2">
        <v>21691310</v>
      </c>
      <c r="F475" s="2">
        <v>4121348.9</v>
      </c>
      <c r="G475" s="2">
        <v>390252.37</v>
      </c>
      <c r="H475" s="4">
        <v>0</v>
      </c>
      <c r="I475" s="4">
        <v>0</v>
      </c>
      <c r="J475" s="4">
        <v>390252.37</v>
      </c>
      <c r="K475" s="4">
        <v>25422406.530000001</v>
      </c>
      <c r="L475" s="4" t="s">
        <v>1514</v>
      </c>
      <c r="M475" s="4" t="s">
        <v>1515</v>
      </c>
      <c r="N475" s="4" t="s">
        <v>20</v>
      </c>
      <c r="O475" s="4" t="s">
        <v>1517</v>
      </c>
      <c r="P475" s="4" t="s">
        <v>1517</v>
      </c>
      <c r="Q475" s="8" t="s">
        <v>100</v>
      </c>
      <c r="R475" s="9">
        <f t="shared" si="8"/>
        <v>3.8054632527745314E-4</v>
      </c>
      <c r="S475" s="55">
        <f>Tabla3[[#This Row],[Subtotal]]/12</f>
        <v>1807609.1666666667</v>
      </c>
    </row>
    <row r="476" spans="1:19" x14ac:dyDescent="0.2">
      <c r="A476" s="4">
        <v>1692</v>
      </c>
      <c r="B476" s="2">
        <v>21649272</v>
      </c>
      <c r="C476" s="2">
        <v>0</v>
      </c>
      <c r="D476" s="4" t="s">
        <v>1520</v>
      </c>
      <c r="E476" s="2">
        <v>21649272</v>
      </c>
      <c r="F476" s="2">
        <v>4113361.68</v>
      </c>
      <c r="G476" s="2">
        <v>0</v>
      </c>
      <c r="H476" s="4">
        <v>0</v>
      </c>
      <c r="I476" s="4">
        <v>0</v>
      </c>
      <c r="J476" s="4">
        <v>0</v>
      </c>
      <c r="K476" s="4">
        <v>25762633.68</v>
      </c>
      <c r="L476" s="4" t="s">
        <v>1518</v>
      </c>
      <c r="M476" s="4" t="s">
        <v>1519</v>
      </c>
      <c r="N476" s="4" t="s">
        <v>1058</v>
      </c>
      <c r="O476" s="4" t="s">
        <v>196</v>
      </c>
      <c r="P476" s="4" t="s">
        <v>196</v>
      </c>
      <c r="Q476" s="8" t="s">
        <v>100</v>
      </c>
      <c r="R476" s="9">
        <f t="shared" si="8"/>
        <v>3.7980882226716867E-4</v>
      </c>
      <c r="S476" s="55">
        <f>Tabla3[[#This Row],[Subtotal]]/12</f>
        <v>1804106</v>
      </c>
    </row>
    <row r="477" spans="1:19" x14ac:dyDescent="0.2">
      <c r="A477" s="4">
        <v>361</v>
      </c>
      <c r="B477" s="2">
        <v>21647139</v>
      </c>
      <c r="C477" s="2">
        <v>0</v>
      </c>
      <c r="D477" s="4" t="s">
        <v>1523</v>
      </c>
      <c r="E477" s="2">
        <v>21647139</v>
      </c>
      <c r="F477" s="2">
        <v>4112956.41</v>
      </c>
      <c r="G477" s="2">
        <v>406423.09</v>
      </c>
      <c r="H477" s="4">
        <v>0</v>
      </c>
      <c r="I477" s="4">
        <v>0</v>
      </c>
      <c r="J477" s="4">
        <v>406423.09</v>
      </c>
      <c r="K477" s="4">
        <v>25353672.32</v>
      </c>
      <c r="L477" s="4" t="s">
        <v>1521</v>
      </c>
      <c r="M477" s="4" t="s">
        <v>1522</v>
      </c>
      <c r="N477" s="4" t="s">
        <v>975</v>
      </c>
      <c r="O477" s="4" t="s">
        <v>89</v>
      </c>
      <c r="P477" s="4" t="s">
        <v>89</v>
      </c>
      <c r="Q477" s="8" t="s">
        <v>100</v>
      </c>
      <c r="R477" s="9">
        <f t="shared" si="8"/>
        <v>3.7977140150688183E-4</v>
      </c>
      <c r="S477" s="55">
        <f>Tabla3[[#This Row],[Subtotal]]/12</f>
        <v>1803928.25</v>
      </c>
    </row>
    <row r="478" spans="1:19" x14ac:dyDescent="0.2">
      <c r="A478" s="4">
        <v>287</v>
      </c>
      <c r="B478" s="2">
        <v>21599455</v>
      </c>
      <c r="C478" s="2">
        <v>0</v>
      </c>
      <c r="D478" s="4" t="s">
        <v>1526</v>
      </c>
      <c r="E478" s="2">
        <v>21599455</v>
      </c>
      <c r="F478" s="2">
        <v>4103896.45</v>
      </c>
      <c r="G478" s="2">
        <v>0</v>
      </c>
      <c r="H478" s="4">
        <v>0</v>
      </c>
      <c r="I478" s="4">
        <v>0</v>
      </c>
      <c r="J478" s="4">
        <v>0</v>
      </c>
      <c r="K478" s="4">
        <v>25703351.449999999</v>
      </c>
      <c r="L478" s="4" t="s">
        <v>1524</v>
      </c>
      <c r="M478" s="4" t="s">
        <v>1525</v>
      </c>
      <c r="N478" s="4" t="s">
        <v>20</v>
      </c>
      <c r="O478" s="4" t="s">
        <v>316</v>
      </c>
      <c r="P478" s="4" t="s">
        <v>316</v>
      </c>
      <c r="Q478" s="8" t="s">
        <v>100</v>
      </c>
      <c r="R478" s="9">
        <f t="shared" si="8"/>
        <v>3.7893484663884805E-4</v>
      </c>
      <c r="S478" s="55">
        <f>Tabla3[[#This Row],[Subtotal]]/12</f>
        <v>1799954.5833333333</v>
      </c>
    </row>
    <row r="479" spans="1:19" x14ac:dyDescent="0.2">
      <c r="A479" s="4">
        <v>655</v>
      </c>
      <c r="B479" s="2">
        <v>21530571</v>
      </c>
      <c r="C479" s="2">
        <v>0</v>
      </c>
      <c r="D479" s="4" t="s">
        <v>1529</v>
      </c>
      <c r="E479" s="2">
        <v>21530571</v>
      </c>
      <c r="F479" s="2">
        <v>4090808.49</v>
      </c>
      <c r="G479" s="2">
        <v>373603.03</v>
      </c>
      <c r="H479" s="4">
        <v>0</v>
      </c>
      <c r="I479" s="4">
        <v>0</v>
      </c>
      <c r="J479" s="4">
        <v>373603.03</v>
      </c>
      <c r="K479" s="4">
        <v>25247776.460000001</v>
      </c>
      <c r="L479" s="4" t="s">
        <v>1527</v>
      </c>
      <c r="M479" s="4" t="s">
        <v>1528</v>
      </c>
      <c r="N479" s="4" t="s">
        <v>20</v>
      </c>
      <c r="O479" s="4" t="s">
        <v>540</v>
      </c>
      <c r="P479" s="4" t="s">
        <v>540</v>
      </c>
      <c r="Q479" s="8" t="s">
        <v>100</v>
      </c>
      <c r="R479" s="9">
        <f t="shared" si="8"/>
        <v>3.7772636485188302E-4</v>
      </c>
      <c r="S479" s="55">
        <f>Tabla3[[#This Row],[Subtotal]]/12</f>
        <v>1794214.25</v>
      </c>
    </row>
    <row r="480" spans="1:19" x14ac:dyDescent="0.2">
      <c r="A480" s="4">
        <v>454</v>
      </c>
      <c r="B480" s="2">
        <v>21514555</v>
      </c>
      <c r="C480" s="2">
        <v>0</v>
      </c>
      <c r="D480" s="4" t="s">
        <v>1532</v>
      </c>
      <c r="E480" s="2">
        <v>21514555</v>
      </c>
      <c r="F480" s="2">
        <v>4087765.45</v>
      </c>
      <c r="G480" s="2">
        <v>508866.67</v>
      </c>
      <c r="H480" s="4">
        <v>0</v>
      </c>
      <c r="I480" s="4">
        <v>0</v>
      </c>
      <c r="J480" s="4">
        <v>508866.67</v>
      </c>
      <c r="K480" s="4">
        <v>25093453.780000001</v>
      </c>
      <c r="L480" s="4" t="s">
        <v>1530</v>
      </c>
      <c r="M480" s="4" t="s">
        <v>1531</v>
      </c>
      <c r="N480" s="4" t="s">
        <v>572</v>
      </c>
      <c r="O480" s="4" t="s">
        <v>105</v>
      </c>
      <c r="P480" s="4" t="s">
        <v>105</v>
      </c>
      <c r="Q480" s="8" t="s">
        <v>100</v>
      </c>
      <c r="R480" s="9">
        <f t="shared" si="8"/>
        <v>3.7744538459086405E-4</v>
      </c>
      <c r="S480" s="55">
        <f>Tabla3[[#This Row],[Subtotal]]/12</f>
        <v>1792879.5833333333</v>
      </c>
    </row>
    <row r="481" spans="1:19" x14ac:dyDescent="0.2">
      <c r="A481" s="4">
        <v>1162</v>
      </c>
      <c r="B481" s="2">
        <v>21501897</v>
      </c>
      <c r="C481" s="2">
        <v>0</v>
      </c>
      <c r="D481" s="4" t="s">
        <v>1534</v>
      </c>
      <c r="E481" s="2">
        <v>21501897</v>
      </c>
      <c r="F481" s="2">
        <v>4085360.43</v>
      </c>
      <c r="G481" s="2">
        <v>525199.13</v>
      </c>
      <c r="H481" s="4">
        <v>0</v>
      </c>
      <c r="I481" s="4">
        <v>126047.79</v>
      </c>
      <c r="J481" s="4">
        <v>651246.92000000004</v>
      </c>
      <c r="K481" s="4">
        <v>24936010.510000002</v>
      </c>
      <c r="L481" s="4" t="s">
        <v>1533</v>
      </c>
      <c r="M481" s="4" t="s">
        <v>548</v>
      </c>
      <c r="N481" s="4" t="s">
        <v>186</v>
      </c>
      <c r="O481" s="4" t="s">
        <v>59</v>
      </c>
      <c r="P481" s="4" t="s">
        <v>59</v>
      </c>
      <c r="Q481" s="8" t="s">
        <v>28</v>
      </c>
      <c r="R481" s="9">
        <f t="shared" si="8"/>
        <v>3.7722331615030596E-4</v>
      </c>
      <c r="S481" s="55">
        <f>Tabla3[[#This Row],[Subtotal]]/12</f>
        <v>1791824.75</v>
      </c>
    </row>
    <row r="482" spans="1:19" x14ac:dyDescent="0.2">
      <c r="A482" s="4">
        <v>847</v>
      </c>
      <c r="B482" s="2">
        <v>21437749</v>
      </c>
      <c r="C482" s="2">
        <v>0</v>
      </c>
      <c r="D482" s="4" t="s">
        <v>1537</v>
      </c>
      <c r="E482" s="2">
        <v>21437749</v>
      </c>
      <c r="F482" s="2">
        <v>4073172.31</v>
      </c>
      <c r="G482" s="2">
        <v>522794.77</v>
      </c>
      <c r="H482" s="4">
        <v>0</v>
      </c>
      <c r="I482" s="4">
        <v>0</v>
      </c>
      <c r="J482" s="4">
        <v>522794.77</v>
      </c>
      <c r="K482" s="4">
        <v>24988126.539999999</v>
      </c>
      <c r="L482" s="4" t="s">
        <v>1535</v>
      </c>
      <c r="M482" s="4" t="s">
        <v>1536</v>
      </c>
      <c r="N482" s="4" t="s">
        <v>88</v>
      </c>
      <c r="O482" s="4" t="s">
        <v>89</v>
      </c>
      <c r="P482" s="4" t="s">
        <v>89</v>
      </c>
      <c r="Q482" s="8" t="s">
        <v>100</v>
      </c>
      <c r="R482" s="9">
        <f t="shared" si="8"/>
        <v>3.7609792143353238E-4</v>
      </c>
      <c r="S482" s="55">
        <f>Tabla3[[#This Row],[Subtotal]]/12</f>
        <v>1786479.0833333333</v>
      </c>
    </row>
    <row r="483" spans="1:19" x14ac:dyDescent="0.2">
      <c r="A483" s="4">
        <v>811</v>
      </c>
      <c r="B483" s="2">
        <v>21342060</v>
      </c>
      <c r="C483" s="2">
        <v>0</v>
      </c>
      <c r="D483" s="4" t="s">
        <v>1540</v>
      </c>
      <c r="E483" s="2">
        <v>21342060</v>
      </c>
      <c r="F483" s="2">
        <v>4054991.4</v>
      </c>
      <c r="G483" s="2">
        <v>405563.81</v>
      </c>
      <c r="H483" s="4">
        <v>0</v>
      </c>
      <c r="I483" s="4">
        <v>0</v>
      </c>
      <c r="J483" s="4">
        <v>405563.81</v>
      </c>
      <c r="K483" s="4">
        <v>24991487.59</v>
      </c>
      <c r="L483" s="4" t="s">
        <v>1538</v>
      </c>
      <c r="M483" s="4" t="s">
        <v>1539</v>
      </c>
      <c r="N483" s="4" t="s">
        <v>434</v>
      </c>
      <c r="O483" s="4" t="s">
        <v>382</v>
      </c>
      <c r="P483" s="4" t="s">
        <v>382</v>
      </c>
      <c r="Q483" s="8" t="s">
        <v>100</v>
      </c>
      <c r="R483" s="9">
        <f t="shared" si="8"/>
        <v>3.7441918016251308E-4</v>
      </c>
      <c r="S483" s="55">
        <f>Tabla3[[#This Row],[Subtotal]]/12</f>
        <v>1778505</v>
      </c>
    </row>
    <row r="484" spans="1:19" x14ac:dyDescent="0.2">
      <c r="A484" s="4">
        <v>378</v>
      </c>
      <c r="B484" s="2">
        <v>21290252</v>
      </c>
      <c r="C484" s="2">
        <v>0</v>
      </c>
      <c r="D484" s="4" t="s">
        <v>1543</v>
      </c>
      <c r="E484" s="2">
        <v>21290252</v>
      </c>
      <c r="F484" s="2">
        <v>4045147.88</v>
      </c>
      <c r="G484" s="2">
        <v>0</v>
      </c>
      <c r="H484" s="4">
        <v>0</v>
      </c>
      <c r="I484" s="4">
        <v>0</v>
      </c>
      <c r="J484" s="4">
        <v>0</v>
      </c>
      <c r="K484" s="4">
        <v>25335399.879999999</v>
      </c>
      <c r="L484" s="4" t="s">
        <v>1541</v>
      </c>
      <c r="M484" s="4" t="s">
        <v>1542</v>
      </c>
      <c r="N484" s="4" t="s">
        <v>272</v>
      </c>
      <c r="O484" s="4" t="s">
        <v>89</v>
      </c>
      <c r="P484" s="4" t="s">
        <v>89</v>
      </c>
      <c r="Q484" s="8" t="s">
        <v>100</v>
      </c>
      <c r="R484" s="9">
        <f t="shared" si="8"/>
        <v>3.7351027498251356E-4</v>
      </c>
      <c r="S484" s="55">
        <f>Tabla3[[#This Row],[Subtotal]]/12</f>
        <v>1774187.6666666667</v>
      </c>
    </row>
    <row r="485" spans="1:19" x14ac:dyDescent="0.2">
      <c r="A485" s="4">
        <v>35</v>
      </c>
      <c r="B485" s="2">
        <v>21234895</v>
      </c>
      <c r="C485" s="2">
        <v>0</v>
      </c>
      <c r="D485" s="4" t="s">
        <v>1545</v>
      </c>
      <c r="E485" s="2">
        <v>21234895</v>
      </c>
      <c r="F485" s="2">
        <v>4034630.05</v>
      </c>
      <c r="G485" s="2">
        <v>530872.38</v>
      </c>
      <c r="H485" s="4">
        <v>605194.5</v>
      </c>
      <c r="I485" s="4">
        <v>0</v>
      </c>
      <c r="J485" s="4">
        <v>1136066.8799999999</v>
      </c>
      <c r="K485" s="4">
        <v>24133458.170000002</v>
      </c>
      <c r="L485" s="4" t="s">
        <v>1544</v>
      </c>
      <c r="M485" s="4" t="s">
        <v>146</v>
      </c>
      <c r="N485" s="4" t="s">
        <v>20</v>
      </c>
      <c r="O485" s="4" t="s">
        <v>71</v>
      </c>
      <c r="P485" s="4" t="s">
        <v>71</v>
      </c>
      <c r="Q485" s="8" t="s">
        <v>28</v>
      </c>
      <c r="R485" s="9">
        <f t="shared" si="8"/>
        <v>3.7253910713103833E-4</v>
      </c>
      <c r="S485" s="55">
        <f>Tabla3[[#This Row],[Subtotal]]/12</f>
        <v>1769574.5833333333</v>
      </c>
    </row>
    <row r="486" spans="1:19" x14ac:dyDescent="0.2">
      <c r="A486" s="4">
        <v>1174</v>
      </c>
      <c r="B486" s="2">
        <v>21146020</v>
      </c>
      <c r="C486" s="2">
        <v>130782.51</v>
      </c>
      <c r="D486" s="4" t="s">
        <v>1548</v>
      </c>
      <c r="E486" s="2">
        <v>21015237.489999998</v>
      </c>
      <c r="F486" s="2">
        <v>3992895.12</v>
      </c>
      <c r="G486" s="2">
        <v>0</v>
      </c>
      <c r="H486" s="4">
        <v>0</v>
      </c>
      <c r="I486" s="4">
        <v>0</v>
      </c>
      <c r="J486" s="4">
        <v>0</v>
      </c>
      <c r="K486" s="4">
        <v>25008132.609999999</v>
      </c>
      <c r="L486" s="4" t="s">
        <v>1546</v>
      </c>
      <c r="M486" s="4" t="s">
        <v>1547</v>
      </c>
      <c r="N486" s="4" t="s">
        <v>20</v>
      </c>
      <c r="O486" s="4" t="s">
        <v>1549</v>
      </c>
      <c r="P486" s="4" t="s">
        <v>1549</v>
      </c>
      <c r="Q486" s="8" t="s">
        <v>100</v>
      </c>
      <c r="R486" s="9">
        <f t="shared" si="8"/>
        <v>3.6868549671054753E-4</v>
      </c>
      <c r="S486" s="55">
        <f>Tabla3[[#This Row],[Subtotal]]/12</f>
        <v>1751269.7908333333</v>
      </c>
    </row>
    <row r="487" spans="1:19" x14ac:dyDescent="0.2">
      <c r="A487" s="4">
        <v>1508</v>
      </c>
      <c r="B487" s="2">
        <v>21002515</v>
      </c>
      <c r="C487" s="2">
        <v>0</v>
      </c>
      <c r="D487" s="4" t="s">
        <v>1552</v>
      </c>
      <c r="E487" s="2">
        <v>21002515</v>
      </c>
      <c r="F487" s="2">
        <v>3990477.85</v>
      </c>
      <c r="G487" s="2">
        <v>271743.34999999998</v>
      </c>
      <c r="H487" s="4">
        <v>0</v>
      </c>
      <c r="I487" s="4">
        <v>0</v>
      </c>
      <c r="J487" s="4">
        <v>271743.34999999998</v>
      </c>
      <c r="K487" s="4">
        <v>24721249.5</v>
      </c>
      <c r="L487" s="4" t="s">
        <v>1550</v>
      </c>
      <c r="M487" s="4" t="s">
        <v>1551</v>
      </c>
      <c r="N487" s="4" t="s">
        <v>1553</v>
      </c>
      <c r="O487" s="4" t="s">
        <v>747</v>
      </c>
      <c r="P487" s="4" t="s">
        <v>747</v>
      </c>
      <c r="Q487" s="8" t="s">
        <v>100</v>
      </c>
      <c r="R487" s="9">
        <f t="shared" si="8"/>
        <v>3.6846229687531959E-4</v>
      </c>
      <c r="S487" s="55">
        <f>Tabla3[[#This Row],[Subtotal]]/12</f>
        <v>1750209.5833333333</v>
      </c>
    </row>
    <row r="488" spans="1:19" x14ac:dyDescent="0.2">
      <c r="A488" s="4">
        <v>31</v>
      </c>
      <c r="B488" s="2">
        <v>20831432</v>
      </c>
      <c r="C488" s="2">
        <v>0</v>
      </c>
      <c r="D488" s="4" t="s">
        <v>1555</v>
      </c>
      <c r="E488" s="2">
        <v>20831432</v>
      </c>
      <c r="F488" s="2">
        <v>3957972.08</v>
      </c>
      <c r="G488" s="2">
        <v>520785.8</v>
      </c>
      <c r="H488" s="4">
        <v>593695.81000000006</v>
      </c>
      <c r="I488" s="4">
        <v>0</v>
      </c>
      <c r="J488" s="4">
        <v>1114481.6100000001</v>
      </c>
      <c r="K488" s="4">
        <v>23674922.469999999</v>
      </c>
      <c r="L488" s="4" t="s">
        <v>1554</v>
      </c>
      <c r="M488" s="4" t="s">
        <v>146</v>
      </c>
      <c r="N488" s="4" t="s">
        <v>306</v>
      </c>
      <c r="O488" s="4" t="s">
        <v>42</v>
      </c>
      <c r="P488" s="4" t="s">
        <v>42</v>
      </c>
      <c r="Q488" s="8" t="s">
        <v>28</v>
      </c>
      <c r="R488" s="9">
        <f t="shared" si="8"/>
        <v>3.6546086418326722E-4</v>
      </c>
      <c r="S488" s="55">
        <f>Tabla3[[#This Row],[Subtotal]]/12</f>
        <v>1735952.6666666667</v>
      </c>
    </row>
    <row r="489" spans="1:19" x14ac:dyDescent="0.2">
      <c r="A489" s="4">
        <v>1470</v>
      </c>
      <c r="B489" s="2">
        <v>20707222</v>
      </c>
      <c r="C489" s="2">
        <v>0</v>
      </c>
      <c r="D489" s="4" t="s">
        <v>1558</v>
      </c>
      <c r="E489" s="2">
        <v>20707222</v>
      </c>
      <c r="F489" s="2">
        <v>3934372.18</v>
      </c>
      <c r="G489" s="2">
        <v>0</v>
      </c>
      <c r="H489" s="4">
        <v>0</v>
      </c>
      <c r="I489" s="4">
        <v>0</v>
      </c>
      <c r="J489" s="4">
        <v>0</v>
      </c>
      <c r="K489" s="4">
        <v>24641594.18</v>
      </c>
      <c r="L489" s="4" t="s">
        <v>1556</v>
      </c>
      <c r="M489" s="4" t="s">
        <v>1557</v>
      </c>
      <c r="N489" s="4" t="s">
        <v>20</v>
      </c>
      <c r="O489" s="4" t="s">
        <v>316</v>
      </c>
      <c r="P489" s="4" t="s">
        <v>316</v>
      </c>
      <c r="Q489" s="8" t="s">
        <v>100</v>
      </c>
      <c r="R489" s="9">
        <f t="shared" si="8"/>
        <v>3.6328175840022724E-4</v>
      </c>
      <c r="S489" s="55">
        <f>Tabla3[[#This Row],[Subtotal]]/12</f>
        <v>1725601.8333333333</v>
      </c>
    </row>
    <row r="490" spans="1:19" x14ac:dyDescent="0.2">
      <c r="A490" s="4">
        <v>717</v>
      </c>
      <c r="B490" s="2">
        <v>20679144</v>
      </c>
      <c r="C490" s="2">
        <v>0</v>
      </c>
      <c r="D490" s="4" t="s">
        <v>1561</v>
      </c>
      <c r="E490" s="2">
        <v>20679144</v>
      </c>
      <c r="F490" s="2">
        <v>3929037.36</v>
      </c>
      <c r="G490" s="2">
        <v>342696.44</v>
      </c>
      <c r="H490" s="4">
        <v>0</v>
      </c>
      <c r="I490" s="4">
        <v>0</v>
      </c>
      <c r="J490" s="4">
        <v>342696.44</v>
      </c>
      <c r="K490" s="4">
        <v>24265484.920000002</v>
      </c>
      <c r="L490" s="4" t="s">
        <v>1559</v>
      </c>
      <c r="M490" s="4" t="s">
        <v>1560</v>
      </c>
      <c r="N490" s="4" t="s">
        <v>20</v>
      </c>
      <c r="O490" s="4" t="s">
        <v>1562</v>
      </c>
      <c r="P490" s="4" t="s">
        <v>1562</v>
      </c>
      <c r="Q490" s="8" t="s">
        <v>100</v>
      </c>
      <c r="R490" s="9">
        <f t="shared" si="8"/>
        <v>3.6278916575731448E-4</v>
      </c>
      <c r="S490" s="55">
        <f>Tabla3[[#This Row],[Subtotal]]/12</f>
        <v>1723262</v>
      </c>
    </row>
    <row r="491" spans="1:19" x14ac:dyDescent="0.2">
      <c r="A491" s="4">
        <v>1475</v>
      </c>
      <c r="B491" s="2">
        <v>20607172</v>
      </c>
      <c r="C491" s="2">
        <v>0</v>
      </c>
      <c r="D491" s="4" t="s">
        <v>1565</v>
      </c>
      <c r="E491" s="2">
        <v>20607172</v>
      </c>
      <c r="F491" s="2">
        <v>3915362.68</v>
      </c>
      <c r="G491" s="2">
        <v>0</v>
      </c>
      <c r="H491" s="4">
        <v>0</v>
      </c>
      <c r="I491" s="4">
        <v>0</v>
      </c>
      <c r="J491" s="4">
        <v>0</v>
      </c>
      <c r="K491" s="4">
        <v>24522534.68</v>
      </c>
      <c r="L491" s="4" t="s">
        <v>1563</v>
      </c>
      <c r="M491" s="4" t="s">
        <v>1564</v>
      </c>
      <c r="N491" s="4" t="s">
        <v>1566</v>
      </c>
      <c r="O491" s="4" t="s">
        <v>59</v>
      </c>
      <c r="P491" s="4" t="s">
        <v>59</v>
      </c>
      <c r="Q491" s="8" t="s">
        <v>100</v>
      </c>
      <c r="R491" s="9">
        <f t="shared" si="8"/>
        <v>3.6152650895498816E-4</v>
      </c>
      <c r="S491" s="55">
        <f>Tabla3[[#This Row],[Subtotal]]/12</f>
        <v>1717264.3333333333</v>
      </c>
    </row>
    <row r="492" spans="1:19" x14ac:dyDescent="0.2">
      <c r="A492" s="4">
        <v>703</v>
      </c>
      <c r="B492" s="2">
        <v>20569480</v>
      </c>
      <c r="C492" s="2">
        <v>0</v>
      </c>
      <c r="D492" s="4" t="s">
        <v>1569</v>
      </c>
      <c r="E492" s="2">
        <v>20569480</v>
      </c>
      <c r="F492" s="2">
        <v>3908201.2</v>
      </c>
      <c r="G492" s="2">
        <v>514237.02</v>
      </c>
      <c r="H492" s="4">
        <v>0</v>
      </c>
      <c r="I492" s="4">
        <v>0</v>
      </c>
      <c r="J492" s="4">
        <v>514237.02</v>
      </c>
      <c r="K492" s="4">
        <v>23963444.18</v>
      </c>
      <c r="L492" s="4" t="s">
        <v>1567</v>
      </c>
      <c r="M492" s="4" t="s">
        <v>1568</v>
      </c>
      <c r="N492" s="4" t="s">
        <v>627</v>
      </c>
      <c r="O492" s="4" t="s">
        <v>1277</v>
      </c>
      <c r="P492" s="4" t="s">
        <v>1277</v>
      </c>
      <c r="Q492" s="8" t="s">
        <v>100</v>
      </c>
      <c r="R492" s="9">
        <f t="shared" si="8"/>
        <v>3.608652509630846E-4</v>
      </c>
      <c r="S492" s="55">
        <f>Tabla3[[#This Row],[Subtotal]]/12</f>
        <v>1714123.3333333333</v>
      </c>
    </row>
    <row r="493" spans="1:19" x14ac:dyDescent="0.2">
      <c r="A493" s="4">
        <v>1152</v>
      </c>
      <c r="B493" s="2">
        <v>20526555</v>
      </c>
      <c r="C493" s="2">
        <v>0</v>
      </c>
      <c r="D493" s="4" t="s">
        <v>1572</v>
      </c>
      <c r="E493" s="2">
        <v>20526555</v>
      </c>
      <c r="F493" s="2">
        <v>3900045.45</v>
      </c>
      <c r="G493" s="2">
        <v>400132.71</v>
      </c>
      <c r="H493" s="4">
        <v>0</v>
      </c>
      <c r="I493" s="4">
        <v>0</v>
      </c>
      <c r="J493" s="4">
        <v>400132.71</v>
      </c>
      <c r="K493" s="4">
        <v>24026467.739999998</v>
      </c>
      <c r="L493" s="4" t="s">
        <v>1570</v>
      </c>
      <c r="M493" s="4" t="s">
        <v>1571</v>
      </c>
      <c r="N493" s="4" t="s">
        <v>20</v>
      </c>
      <c r="O493" s="4" t="s">
        <v>1356</v>
      </c>
      <c r="P493" s="4" t="s">
        <v>1039</v>
      </c>
      <c r="Q493" s="8" t="s">
        <v>100</v>
      </c>
      <c r="R493" s="9">
        <f t="shared" si="8"/>
        <v>3.6011218667086182E-4</v>
      </c>
      <c r="S493" s="55">
        <f>Tabla3[[#This Row],[Subtotal]]/12</f>
        <v>1710546.25</v>
      </c>
    </row>
    <row r="494" spans="1:19" x14ac:dyDescent="0.2">
      <c r="A494" s="4">
        <v>849</v>
      </c>
      <c r="B494" s="2">
        <v>20504860</v>
      </c>
      <c r="C494" s="2">
        <v>0</v>
      </c>
      <c r="D494" s="4" t="s">
        <v>1575</v>
      </c>
      <c r="E494" s="2">
        <v>20504860</v>
      </c>
      <c r="F494" s="2">
        <v>3895923.4</v>
      </c>
      <c r="G494" s="2">
        <v>512621.51</v>
      </c>
      <c r="H494" s="4">
        <v>0</v>
      </c>
      <c r="I494" s="4">
        <v>0</v>
      </c>
      <c r="J494" s="4">
        <v>512621.51</v>
      </c>
      <c r="K494" s="4">
        <v>23888161.890000001</v>
      </c>
      <c r="L494" s="4" t="s">
        <v>1573</v>
      </c>
      <c r="M494" s="4" t="s">
        <v>1574</v>
      </c>
      <c r="N494" s="4" t="s">
        <v>245</v>
      </c>
      <c r="O494" s="4" t="s">
        <v>237</v>
      </c>
      <c r="P494" s="4" t="s">
        <v>237</v>
      </c>
      <c r="Q494" s="8" t="s">
        <v>28</v>
      </c>
      <c r="R494" s="9">
        <f t="shared" si="8"/>
        <v>3.59731575609248E-4</v>
      </c>
      <c r="S494" s="55">
        <f>Tabla3[[#This Row],[Subtotal]]/12</f>
        <v>1708738.3333333333</v>
      </c>
    </row>
    <row r="495" spans="1:19" x14ac:dyDescent="0.2">
      <c r="A495" s="4">
        <v>353</v>
      </c>
      <c r="B495" s="2">
        <v>20487733</v>
      </c>
      <c r="C495" s="2">
        <v>0</v>
      </c>
      <c r="D495" s="4" t="s">
        <v>1578</v>
      </c>
      <c r="E495" s="2">
        <v>20487733</v>
      </c>
      <c r="F495" s="2">
        <v>3892669.27</v>
      </c>
      <c r="G495" s="2">
        <v>512193.34</v>
      </c>
      <c r="H495" s="4">
        <v>95654.15</v>
      </c>
      <c r="I495" s="4">
        <v>0</v>
      </c>
      <c r="J495" s="4">
        <v>607847.49</v>
      </c>
      <c r="K495" s="4">
        <v>23772554.780000001</v>
      </c>
      <c r="L495" s="4" t="s">
        <v>1576</v>
      </c>
      <c r="M495" s="4" t="s">
        <v>1577</v>
      </c>
      <c r="N495" s="4" t="s">
        <v>705</v>
      </c>
      <c r="O495" s="4" t="s">
        <v>59</v>
      </c>
      <c r="P495" s="4" t="s">
        <v>59</v>
      </c>
      <c r="Q495" s="8" t="s">
        <v>100</v>
      </c>
      <c r="R495" s="9">
        <f t="shared" si="8"/>
        <v>3.5943110427243033E-4</v>
      </c>
      <c r="S495" s="55">
        <f>Tabla3[[#This Row],[Subtotal]]/12</f>
        <v>1707311.0833333333</v>
      </c>
    </row>
    <row r="496" spans="1:19" x14ac:dyDescent="0.2">
      <c r="A496" s="4">
        <v>412</v>
      </c>
      <c r="B496" s="2">
        <v>20804872</v>
      </c>
      <c r="C496" s="2">
        <v>345210.69</v>
      </c>
      <c r="D496" s="4" t="s">
        <v>1581</v>
      </c>
      <c r="E496" s="2">
        <v>20459661.309999999</v>
      </c>
      <c r="F496" s="2">
        <v>3887335.65</v>
      </c>
      <c r="G496" s="2">
        <v>501483.32</v>
      </c>
      <c r="H496" s="4">
        <v>0</v>
      </c>
      <c r="I496" s="4">
        <v>0</v>
      </c>
      <c r="J496" s="4">
        <v>501483.32</v>
      </c>
      <c r="K496" s="4">
        <v>23845513.640000001</v>
      </c>
      <c r="L496" s="4" t="s">
        <v>1579</v>
      </c>
      <c r="M496" s="4" t="s">
        <v>1580</v>
      </c>
      <c r="N496" s="4" t="s">
        <v>200</v>
      </c>
      <c r="O496" s="4" t="s">
        <v>201</v>
      </c>
      <c r="P496" s="4" t="s">
        <v>201</v>
      </c>
      <c r="Q496" s="8" t="s">
        <v>100</v>
      </c>
      <c r="R496" s="9">
        <f t="shared" si="8"/>
        <v>3.5893862233040704E-4</v>
      </c>
      <c r="S496" s="55">
        <f>Tabla3[[#This Row],[Subtotal]]/12</f>
        <v>1704971.7758333331</v>
      </c>
    </row>
    <row r="497" spans="1:19" x14ac:dyDescent="0.2">
      <c r="A497" s="4">
        <v>1324</v>
      </c>
      <c r="B497" s="2">
        <v>20454596</v>
      </c>
      <c r="C497" s="2">
        <v>0</v>
      </c>
      <c r="D497" s="4" t="s">
        <v>1584</v>
      </c>
      <c r="E497" s="2">
        <v>20454596</v>
      </c>
      <c r="F497" s="2">
        <v>3886373.24</v>
      </c>
      <c r="G497" s="2">
        <v>0</v>
      </c>
      <c r="H497" s="4">
        <v>0</v>
      </c>
      <c r="I497" s="4">
        <v>0</v>
      </c>
      <c r="J497" s="4">
        <v>0</v>
      </c>
      <c r="K497" s="4">
        <v>24340969.239999998</v>
      </c>
      <c r="L497" s="4" t="s">
        <v>1582</v>
      </c>
      <c r="M497" s="4" t="s">
        <v>1583</v>
      </c>
      <c r="N497" s="4" t="s">
        <v>1421</v>
      </c>
      <c r="O497" s="4" t="s">
        <v>340</v>
      </c>
      <c r="P497" s="4" t="s">
        <v>340</v>
      </c>
      <c r="Q497" s="8" t="s">
        <v>100</v>
      </c>
      <c r="R497" s="9">
        <f t="shared" si="8"/>
        <v>3.5884975793692921E-4</v>
      </c>
      <c r="S497" s="55">
        <f>Tabla3[[#This Row],[Subtotal]]/12</f>
        <v>1704549.6666666667</v>
      </c>
    </row>
    <row r="498" spans="1:19" x14ac:dyDescent="0.2">
      <c r="A498" s="4">
        <v>1554</v>
      </c>
      <c r="B498" s="2">
        <v>20312980</v>
      </c>
      <c r="C498" s="2">
        <v>0</v>
      </c>
      <c r="D498" s="4" t="s">
        <v>1587</v>
      </c>
      <c r="E498" s="2">
        <v>20312980</v>
      </c>
      <c r="F498" s="2">
        <v>3859466.2</v>
      </c>
      <c r="G498" s="2">
        <v>0</v>
      </c>
      <c r="H498" s="4">
        <v>0</v>
      </c>
      <c r="I498" s="4">
        <v>0</v>
      </c>
      <c r="J498" s="4">
        <v>0</v>
      </c>
      <c r="K498" s="4">
        <v>24172446.199999999</v>
      </c>
      <c r="L498" s="4" t="s">
        <v>1585</v>
      </c>
      <c r="M498" s="4" t="s">
        <v>1586</v>
      </c>
      <c r="N498" s="4" t="s">
        <v>1588</v>
      </c>
      <c r="O498" s="4" t="s">
        <v>89</v>
      </c>
      <c r="P498" s="4" t="s">
        <v>89</v>
      </c>
      <c r="Q498" s="8" t="s">
        <v>100</v>
      </c>
      <c r="R498" s="9">
        <f t="shared" si="8"/>
        <v>3.5636528611846863E-4</v>
      </c>
      <c r="S498" s="55">
        <f>Tabla3[[#This Row],[Subtotal]]/12</f>
        <v>1692748.3333333333</v>
      </c>
    </row>
    <row r="499" spans="1:19" x14ac:dyDescent="0.2">
      <c r="A499" s="4">
        <v>1734</v>
      </c>
      <c r="B499" s="2">
        <v>20175908</v>
      </c>
      <c r="C499" s="2">
        <v>0</v>
      </c>
      <c r="D499" s="4" t="s">
        <v>1591</v>
      </c>
      <c r="E499" s="2">
        <v>20175908</v>
      </c>
      <c r="F499" s="2">
        <v>3833422.52</v>
      </c>
      <c r="G499" s="2">
        <v>0</v>
      </c>
      <c r="H499" s="4">
        <v>0</v>
      </c>
      <c r="I499" s="4">
        <v>0</v>
      </c>
      <c r="J499" s="4">
        <v>0</v>
      </c>
      <c r="K499" s="4">
        <v>24009330.52</v>
      </c>
      <c r="L499" s="4" t="s">
        <v>1589</v>
      </c>
      <c r="M499" s="4" t="s">
        <v>1590</v>
      </c>
      <c r="N499" s="4" t="s">
        <v>572</v>
      </c>
      <c r="O499" s="4" t="s">
        <v>105</v>
      </c>
      <c r="P499" s="4" t="s">
        <v>105</v>
      </c>
      <c r="Q499" s="8" t="s">
        <v>100</v>
      </c>
      <c r="R499" s="9">
        <f t="shared" si="8"/>
        <v>3.53960532975462E-4</v>
      </c>
      <c r="S499" s="55">
        <f>Tabla3[[#This Row],[Subtotal]]/12</f>
        <v>1681325.6666666667</v>
      </c>
    </row>
    <row r="500" spans="1:19" x14ac:dyDescent="0.2">
      <c r="A500" s="4">
        <v>869</v>
      </c>
      <c r="B500" s="2">
        <v>20174667</v>
      </c>
      <c r="C500" s="2">
        <v>0</v>
      </c>
      <c r="D500" s="4" t="s">
        <v>1594</v>
      </c>
      <c r="E500" s="2">
        <v>20174667</v>
      </c>
      <c r="F500" s="2">
        <v>3833186.73</v>
      </c>
      <c r="G500" s="2">
        <v>504366.69</v>
      </c>
      <c r="H500" s="4">
        <v>0</v>
      </c>
      <c r="I500" s="4">
        <v>0</v>
      </c>
      <c r="J500" s="4">
        <v>504366.69</v>
      </c>
      <c r="K500" s="4">
        <v>23503487.039999999</v>
      </c>
      <c r="L500" s="4" t="s">
        <v>1592</v>
      </c>
      <c r="M500" s="4" t="s">
        <v>1593</v>
      </c>
      <c r="N500" s="4" t="s">
        <v>1595</v>
      </c>
      <c r="O500" s="4" t="s">
        <v>105</v>
      </c>
      <c r="P500" s="4" t="s">
        <v>105</v>
      </c>
      <c r="Q500" s="8" t="s">
        <v>28</v>
      </c>
      <c r="R500" s="9">
        <f t="shared" si="8"/>
        <v>3.5393876121572645E-4</v>
      </c>
      <c r="S500" s="55">
        <f>Tabla3[[#This Row],[Subtotal]]/12</f>
        <v>1681222.25</v>
      </c>
    </row>
    <row r="501" spans="1:19" x14ac:dyDescent="0.2">
      <c r="A501" s="4">
        <v>1142</v>
      </c>
      <c r="B501" s="2">
        <v>20330386</v>
      </c>
      <c r="C501" s="2">
        <v>282219.93</v>
      </c>
      <c r="D501" s="4" t="s">
        <v>1598</v>
      </c>
      <c r="E501" s="2">
        <v>20048166.07</v>
      </c>
      <c r="F501" s="2">
        <v>3809151.56</v>
      </c>
      <c r="G501" s="2">
        <v>501204.16</v>
      </c>
      <c r="H501" s="4">
        <v>0</v>
      </c>
      <c r="I501" s="4">
        <v>0</v>
      </c>
      <c r="J501" s="4">
        <v>501204.16</v>
      </c>
      <c r="K501" s="4">
        <v>23356113.469999999</v>
      </c>
      <c r="L501" s="4" t="s">
        <v>1596</v>
      </c>
      <c r="M501" s="4" t="s">
        <v>1597</v>
      </c>
      <c r="N501" s="4" t="s">
        <v>20</v>
      </c>
      <c r="O501" s="4" t="s">
        <v>71</v>
      </c>
      <c r="P501" s="4" t="s">
        <v>71</v>
      </c>
      <c r="Q501" s="8" t="s">
        <v>100</v>
      </c>
      <c r="R501" s="9">
        <f t="shared" si="8"/>
        <v>3.5171946399229089E-4</v>
      </c>
      <c r="S501" s="55">
        <f>Tabla3[[#This Row],[Subtotal]]/12</f>
        <v>1670680.5058333334</v>
      </c>
    </row>
    <row r="502" spans="1:19" x14ac:dyDescent="0.2">
      <c r="A502" s="4">
        <v>1540</v>
      </c>
      <c r="B502" s="2">
        <v>20032332</v>
      </c>
      <c r="C502" s="2">
        <v>0</v>
      </c>
      <c r="D502" s="4" t="s">
        <v>1601</v>
      </c>
      <c r="E502" s="2">
        <v>20032332</v>
      </c>
      <c r="F502" s="2">
        <v>3806143.08</v>
      </c>
      <c r="G502" s="2">
        <v>500808.31</v>
      </c>
      <c r="H502" s="4">
        <v>0</v>
      </c>
      <c r="I502" s="4">
        <v>0</v>
      </c>
      <c r="J502" s="4">
        <v>500808.31</v>
      </c>
      <c r="K502" s="4">
        <v>23337666.77</v>
      </c>
      <c r="L502" s="4" t="s">
        <v>1599</v>
      </c>
      <c r="M502" s="4" t="s">
        <v>1600</v>
      </c>
      <c r="N502" s="4" t="s">
        <v>1602</v>
      </c>
      <c r="O502" s="4" t="s">
        <v>113</v>
      </c>
      <c r="P502" s="4" t="s">
        <v>113</v>
      </c>
      <c r="Q502" s="8" t="s">
        <v>100</v>
      </c>
      <c r="R502" s="9">
        <f t="shared" si="8"/>
        <v>3.5144167546072286E-4</v>
      </c>
      <c r="S502" s="55">
        <f>Tabla3[[#This Row],[Subtotal]]/12</f>
        <v>1669361</v>
      </c>
    </row>
    <row r="503" spans="1:19" x14ac:dyDescent="0.2">
      <c r="A503" s="4">
        <v>1421</v>
      </c>
      <c r="B503" s="2">
        <v>20102350</v>
      </c>
      <c r="C503" s="2">
        <v>94856.53</v>
      </c>
      <c r="D503" s="4" t="s">
        <v>1605</v>
      </c>
      <c r="E503" s="2">
        <v>20007493.469999999</v>
      </c>
      <c r="F503" s="2">
        <v>3801423.76</v>
      </c>
      <c r="G503" s="2">
        <v>478945.08</v>
      </c>
      <c r="H503" s="4">
        <v>0</v>
      </c>
      <c r="I503" s="4">
        <v>0</v>
      </c>
      <c r="J503" s="4">
        <v>478945.08</v>
      </c>
      <c r="K503" s="4">
        <v>23329972.149999999</v>
      </c>
      <c r="L503" s="4" t="s">
        <v>1603</v>
      </c>
      <c r="M503" s="4" t="s">
        <v>1604</v>
      </c>
      <c r="N503" s="4" t="s">
        <v>20</v>
      </c>
      <c r="O503" s="4" t="s">
        <v>1517</v>
      </c>
      <c r="P503" s="4" t="s">
        <v>1517</v>
      </c>
      <c r="Q503" s="8" t="s">
        <v>100</v>
      </c>
      <c r="R503" s="9">
        <f t="shared" si="8"/>
        <v>3.5100591518083226E-4</v>
      </c>
      <c r="S503" s="55">
        <f>Tabla3[[#This Row],[Subtotal]]/12</f>
        <v>1667291.1224999998</v>
      </c>
    </row>
    <row r="504" spans="1:19" x14ac:dyDescent="0.2">
      <c r="A504" s="4">
        <v>721</v>
      </c>
      <c r="B504" s="2">
        <v>19990997</v>
      </c>
      <c r="C504" s="2">
        <v>0</v>
      </c>
      <c r="D504" s="4" t="s">
        <v>1608</v>
      </c>
      <c r="E504" s="2">
        <v>19990997</v>
      </c>
      <c r="F504" s="2">
        <v>3798289.43</v>
      </c>
      <c r="G504" s="2">
        <v>0</v>
      </c>
      <c r="H504" s="4">
        <v>0</v>
      </c>
      <c r="I504" s="4">
        <v>0</v>
      </c>
      <c r="J504" s="4">
        <v>0</v>
      </c>
      <c r="K504" s="4">
        <v>23789286.43</v>
      </c>
      <c r="L504" s="4" t="s">
        <v>1606</v>
      </c>
      <c r="M504" s="4" t="s">
        <v>1607</v>
      </c>
      <c r="N504" s="4" t="s">
        <v>32</v>
      </c>
      <c r="O504" s="4" t="s">
        <v>33</v>
      </c>
      <c r="P504" s="4" t="s">
        <v>33</v>
      </c>
      <c r="Q504" s="8" t="s">
        <v>100</v>
      </c>
      <c r="R504" s="9">
        <f t="shared" si="8"/>
        <v>3.5071650568741994E-4</v>
      </c>
      <c r="S504" s="55">
        <f>Tabla3[[#This Row],[Subtotal]]/12</f>
        <v>1665916.4166666667</v>
      </c>
    </row>
    <row r="505" spans="1:19" x14ac:dyDescent="0.2">
      <c r="A505" s="4">
        <v>1572</v>
      </c>
      <c r="B505" s="2">
        <v>19986050</v>
      </c>
      <c r="C505" s="2">
        <v>0</v>
      </c>
      <c r="D505" s="4" t="s">
        <v>1611</v>
      </c>
      <c r="E505" s="2">
        <v>19986050</v>
      </c>
      <c r="F505" s="2">
        <v>3797349.5</v>
      </c>
      <c r="G505" s="2">
        <v>0</v>
      </c>
      <c r="H505" s="4">
        <v>0</v>
      </c>
      <c r="I505" s="4">
        <v>0</v>
      </c>
      <c r="J505" s="4">
        <v>0</v>
      </c>
      <c r="K505" s="4">
        <v>23783399.5</v>
      </c>
      <c r="L505" s="4" t="s">
        <v>1609</v>
      </c>
      <c r="M505" s="4" t="s">
        <v>1610</v>
      </c>
      <c r="N505" s="4" t="s">
        <v>1463</v>
      </c>
      <c r="O505" s="4" t="s">
        <v>105</v>
      </c>
      <c r="P505" s="4" t="s">
        <v>105</v>
      </c>
      <c r="Q505" s="8" t="s">
        <v>100</v>
      </c>
      <c r="R505" s="9">
        <f t="shared" si="8"/>
        <v>3.5062971689176181E-4</v>
      </c>
      <c r="S505" s="55">
        <f>Tabla3[[#This Row],[Subtotal]]/12</f>
        <v>1665504.1666666667</v>
      </c>
    </row>
    <row r="506" spans="1:19" x14ac:dyDescent="0.2">
      <c r="A506" s="4">
        <v>104</v>
      </c>
      <c r="B506" s="2">
        <v>19974796</v>
      </c>
      <c r="C506" s="2">
        <v>0</v>
      </c>
      <c r="D506" s="4" t="s">
        <v>1614</v>
      </c>
      <c r="E506" s="2">
        <v>19974796</v>
      </c>
      <c r="F506" s="2">
        <v>3795211.24</v>
      </c>
      <c r="G506" s="2">
        <v>0</v>
      </c>
      <c r="H506" s="4">
        <v>0</v>
      </c>
      <c r="I506" s="4">
        <v>0</v>
      </c>
      <c r="J506" s="4">
        <v>0</v>
      </c>
      <c r="K506" s="4">
        <v>23770007.239999998</v>
      </c>
      <c r="L506" s="4" t="s">
        <v>1612</v>
      </c>
      <c r="M506" s="4" t="s">
        <v>1613</v>
      </c>
      <c r="N506" s="4" t="s">
        <v>37</v>
      </c>
      <c r="O506" s="4" t="s">
        <v>33</v>
      </c>
      <c r="P506" s="4" t="s">
        <v>33</v>
      </c>
      <c r="Q506" s="8" t="s">
        <v>100</v>
      </c>
      <c r="R506" s="9">
        <f t="shared" si="8"/>
        <v>3.5043227983772165E-4</v>
      </c>
      <c r="S506" s="55">
        <f>Tabla3[[#This Row],[Subtotal]]/12</f>
        <v>1664566.3333333333</v>
      </c>
    </row>
    <row r="507" spans="1:19" x14ac:dyDescent="0.2">
      <c r="A507" s="4">
        <v>1103</v>
      </c>
      <c r="B507" s="2">
        <v>19855808</v>
      </c>
      <c r="C507" s="2">
        <v>0</v>
      </c>
      <c r="D507" s="4" t="s">
        <v>1617</v>
      </c>
      <c r="E507" s="2">
        <v>19855808</v>
      </c>
      <c r="F507" s="2">
        <v>3772603.52</v>
      </c>
      <c r="G507" s="2">
        <v>0</v>
      </c>
      <c r="H507" s="4">
        <v>0</v>
      </c>
      <c r="I507" s="4">
        <v>0</v>
      </c>
      <c r="J507" s="4">
        <v>0</v>
      </c>
      <c r="K507" s="4">
        <v>23628411.52</v>
      </c>
      <c r="L507" s="4" t="s">
        <v>1615</v>
      </c>
      <c r="M507" s="4" t="s">
        <v>1616</v>
      </c>
      <c r="N507" s="4" t="s">
        <v>975</v>
      </c>
      <c r="O507" s="4" t="s">
        <v>89</v>
      </c>
      <c r="P507" s="4" t="s">
        <v>89</v>
      </c>
      <c r="Q507" s="8" t="s">
        <v>100</v>
      </c>
      <c r="R507" s="9">
        <f t="shared" si="8"/>
        <v>3.4834478737405235E-4</v>
      </c>
      <c r="S507" s="55">
        <f>Tabla3[[#This Row],[Subtotal]]/12</f>
        <v>1654650.6666666667</v>
      </c>
    </row>
    <row r="508" spans="1:19" x14ac:dyDescent="0.2">
      <c r="A508" s="4">
        <v>739</v>
      </c>
      <c r="B508" s="2">
        <v>19873667</v>
      </c>
      <c r="C508" s="2">
        <v>65185.32</v>
      </c>
      <c r="D508" s="4" t="s">
        <v>1619</v>
      </c>
      <c r="E508" s="2">
        <v>19808481.68</v>
      </c>
      <c r="F508" s="2">
        <v>3763611.52</v>
      </c>
      <c r="G508" s="2">
        <v>366638.8</v>
      </c>
      <c r="H508" s="4">
        <v>486869.13</v>
      </c>
      <c r="I508" s="4">
        <v>0</v>
      </c>
      <c r="J508" s="4">
        <v>853507.93</v>
      </c>
      <c r="K508" s="4">
        <v>22718585.27</v>
      </c>
      <c r="L508" s="4" t="s">
        <v>1618</v>
      </c>
      <c r="M508" s="4" t="s">
        <v>81</v>
      </c>
      <c r="N508" s="4" t="s">
        <v>464</v>
      </c>
      <c r="O508" s="4" t="s">
        <v>105</v>
      </c>
      <c r="P508" s="4" t="s">
        <v>105</v>
      </c>
      <c r="Q508" s="8" t="s">
        <v>28</v>
      </c>
      <c r="R508" s="9">
        <f t="shared" si="8"/>
        <v>3.4751450754471496E-4</v>
      </c>
      <c r="S508" s="55">
        <f>Tabla3[[#This Row],[Subtotal]]/12</f>
        <v>1650706.8066666666</v>
      </c>
    </row>
    <row r="509" spans="1:19" x14ac:dyDescent="0.2">
      <c r="A509" s="4">
        <v>50</v>
      </c>
      <c r="B509" s="2">
        <v>19795896</v>
      </c>
      <c r="C509" s="2">
        <v>0</v>
      </c>
      <c r="D509" s="4" t="s">
        <v>1622</v>
      </c>
      <c r="E509" s="2">
        <v>19795896</v>
      </c>
      <c r="F509" s="2">
        <v>3761220.24</v>
      </c>
      <c r="G509" s="2">
        <v>0</v>
      </c>
      <c r="H509" s="4">
        <v>0</v>
      </c>
      <c r="I509" s="4">
        <v>0</v>
      </c>
      <c r="J509" s="4">
        <v>0</v>
      </c>
      <c r="K509" s="4">
        <v>23557116.239999998</v>
      </c>
      <c r="L509" s="4" t="s">
        <v>1620</v>
      </c>
      <c r="M509" s="4" t="s">
        <v>1621</v>
      </c>
      <c r="N509" s="4" t="s">
        <v>1623</v>
      </c>
      <c r="O509" s="4" t="s">
        <v>229</v>
      </c>
      <c r="P509" s="4" t="s">
        <v>229</v>
      </c>
      <c r="Q509" s="8" t="s">
        <v>100</v>
      </c>
      <c r="R509" s="9">
        <f t="shared" si="8"/>
        <v>3.4729370786617468E-4</v>
      </c>
      <c r="S509" s="55">
        <f>Tabla3[[#This Row],[Subtotal]]/12</f>
        <v>1649658</v>
      </c>
    </row>
    <row r="510" spans="1:19" x14ac:dyDescent="0.2">
      <c r="A510" s="4">
        <v>1415</v>
      </c>
      <c r="B510" s="2">
        <v>19742855</v>
      </c>
      <c r="C510" s="2">
        <v>0</v>
      </c>
      <c r="D510" s="4" t="s">
        <v>1626</v>
      </c>
      <c r="E510" s="2">
        <v>19742855</v>
      </c>
      <c r="F510" s="2">
        <v>3751142.45</v>
      </c>
      <c r="G510" s="2">
        <v>493571.38</v>
      </c>
      <c r="H510" s="4">
        <v>562671.37</v>
      </c>
      <c r="I510" s="4">
        <v>0</v>
      </c>
      <c r="J510" s="4">
        <v>1056242.75</v>
      </c>
      <c r="K510" s="4">
        <v>22437754.699999999</v>
      </c>
      <c r="L510" s="4" t="s">
        <v>1624</v>
      </c>
      <c r="M510" s="4" t="s">
        <v>1625</v>
      </c>
      <c r="N510" s="4" t="s">
        <v>332</v>
      </c>
      <c r="O510" s="4" t="s">
        <v>76</v>
      </c>
      <c r="P510" s="4" t="s">
        <v>76</v>
      </c>
      <c r="Q510" s="8" t="s">
        <v>585</v>
      </c>
      <c r="R510" s="9">
        <f t="shared" si="8"/>
        <v>3.4636317127622034E-4</v>
      </c>
      <c r="S510" s="55">
        <f>Tabla3[[#This Row],[Subtotal]]/12</f>
        <v>1645237.9166666667</v>
      </c>
    </row>
    <row r="511" spans="1:19" x14ac:dyDescent="0.2">
      <c r="A511" s="4">
        <v>192</v>
      </c>
      <c r="B511" s="2">
        <v>19698223</v>
      </c>
      <c r="C511" s="2">
        <v>0</v>
      </c>
      <c r="D511" s="4" t="s">
        <v>1629</v>
      </c>
      <c r="E511" s="2">
        <v>19698223</v>
      </c>
      <c r="F511" s="2">
        <v>3742662.37</v>
      </c>
      <c r="G511" s="2">
        <v>0</v>
      </c>
      <c r="H511" s="4">
        <v>0</v>
      </c>
      <c r="I511" s="4">
        <v>0</v>
      </c>
      <c r="J511" s="4">
        <v>0</v>
      </c>
      <c r="K511" s="4">
        <v>23440885.370000001</v>
      </c>
      <c r="L511" s="4" t="s">
        <v>1627</v>
      </c>
      <c r="M511" s="4" t="s">
        <v>1628</v>
      </c>
      <c r="N511" s="4" t="s">
        <v>1630</v>
      </c>
      <c r="O511" s="4" t="s">
        <v>196</v>
      </c>
      <c r="P511" s="4" t="s">
        <v>196</v>
      </c>
      <c r="Q511" s="8" t="s">
        <v>100</v>
      </c>
      <c r="R511" s="9">
        <f t="shared" si="8"/>
        <v>3.455801598495346E-4</v>
      </c>
      <c r="S511" s="55">
        <f>Tabla3[[#This Row],[Subtotal]]/12</f>
        <v>1641518.5833333333</v>
      </c>
    </row>
    <row r="512" spans="1:19" x14ac:dyDescent="0.2">
      <c r="A512" s="4">
        <v>344</v>
      </c>
      <c r="B512" s="2">
        <v>19675976</v>
      </c>
      <c r="C512" s="2">
        <v>0</v>
      </c>
      <c r="D512" s="4" t="s">
        <v>1632</v>
      </c>
      <c r="E512" s="2">
        <v>19675976</v>
      </c>
      <c r="F512" s="2">
        <v>3738435.44</v>
      </c>
      <c r="G512" s="2">
        <v>491899.43</v>
      </c>
      <c r="H512" s="4">
        <v>0</v>
      </c>
      <c r="I512" s="4">
        <v>0</v>
      </c>
      <c r="J512" s="4">
        <v>491899.43</v>
      </c>
      <c r="K512" s="4">
        <v>22922512.010000002</v>
      </c>
      <c r="L512" s="4" t="s">
        <v>1631</v>
      </c>
      <c r="M512" s="4" t="s">
        <v>895</v>
      </c>
      <c r="N512" s="4" t="s">
        <v>20</v>
      </c>
      <c r="O512" s="4" t="s">
        <v>386</v>
      </c>
      <c r="P512" s="4" t="s">
        <v>386</v>
      </c>
      <c r="Q512" s="8" t="s">
        <v>585</v>
      </c>
      <c r="R512" s="9">
        <f t="shared" si="8"/>
        <v>3.4518986465305053E-4</v>
      </c>
      <c r="S512" s="55">
        <f>Tabla3[[#This Row],[Subtotal]]/12</f>
        <v>1639664.6666666667</v>
      </c>
    </row>
    <row r="513" spans="1:19" x14ac:dyDescent="0.2">
      <c r="A513" s="4">
        <v>1184</v>
      </c>
      <c r="B513" s="2">
        <v>19589216</v>
      </c>
      <c r="C513" s="2">
        <v>0</v>
      </c>
      <c r="D513" s="4" t="s">
        <v>1635</v>
      </c>
      <c r="E513" s="2">
        <v>19589216</v>
      </c>
      <c r="F513" s="2">
        <v>3721951.04</v>
      </c>
      <c r="G513" s="2">
        <v>0</v>
      </c>
      <c r="H513" s="4">
        <v>0</v>
      </c>
      <c r="I513" s="4">
        <v>0</v>
      </c>
      <c r="J513" s="4">
        <v>0</v>
      </c>
      <c r="K513" s="4">
        <v>23311167.039999999</v>
      </c>
      <c r="L513" s="4" t="s">
        <v>1633</v>
      </c>
      <c r="M513" s="4" t="s">
        <v>1634</v>
      </c>
      <c r="N513" s="4" t="s">
        <v>32</v>
      </c>
      <c r="O513" s="4" t="s">
        <v>33</v>
      </c>
      <c r="P513" s="4" t="s">
        <v>33</v>
      </c>
      <c r="Q513" s="8" t="s">
        <v>100</v>
      </c>
      <c r="R513" s="9">
        <f t="shared" si="8"/>
        <v>3.4366777128104709E-4</v>
      </c>
      <c r="S513" s="55">
        <f>Tabla3[[#This Row],[Subtotal]]/12</f>
        <v>1632434.6666666667</v>
      </c>
    </row>
    <row r="514" spans="1:19" x14ac:dyDescent="0.2">
      <c r="A514" s="4">
        <v>100</v>
      </c>
      <c r="B514" s="2">
        <v>19523129</v>
      </c>
      <c r="C514" s="2">
        <v>0</v>
      </c>
      <c r="D514" s="4" t="s">
        <v>1638</v>
      </c>
      <c r="E514" s="2">
        <v>19523129</v>
      </c>
      <c r="F514" s="2">
        <v>3709394.51</v>
      </c>
      <c r="G514" s="2">
        <v>0</v>
      </c>
      <c r="H514" s="4">
        <v>0</v>
      </c>
      <c r="I514" s="4">
        <v>0</v>
      </c>
      <c r="J514" s="4">
        <v>0</v>
      </c>
      <c r="K514" s="4">
        <v>23232523.510000002</v>
      </c>
      <c r="L514" s="4" t="s">
        <v>1636</v>
      </c>
      <c r="M514" s="4" t="s">
        <v>1637</v>
      </c>
      <c r="N514" s="4" t="s">
        <v>20</v>
      </c>
      <c r="O514" s="4" t="s">
        <v>316</v>
      </c>
      <c r="P514" s="4" t="s">
        <v>316</v>
      </c>
      <c r="Q514" s="8" t="s">
        <v>100</v>
      </c>
      <c r="R514" s="9">
        <f t="shared" si="8"/>
        <v>3.4250835928616933E-4</v>
      </c>
      <c r="S514" s="55">
        <f>Tabla3[[#This Row],[Subtotal]]/12</f>
        <v>1626927.4166666667</v>
      </c>
    </row>
    <row r="515" spans="1:19" x14ac:dyDescent="0.2">
      <c r="A515" s="4">
        <v>1123</v>
      </c>
      <c r="B515" s="2">
        <v>19444090</v>
      </c>
      <c r="C515" s="2">
        <v>30180.33</v>
      </c>
      <c r="D515" s="4" t="s">
        <v>1641</v>
      </c>
      <c r="E515" s="2">
        <v>19413909.670000002</v>
      </c>
      <c r="F515" s="2">
        <v>3688642.84</v>
      </c>
      <c r="G515" s="2">
        <v>0</v>
      </c>
      <c r="H515" s="4">
        <v>0</v>
      </c>
      <c r="I515" s="4">
        <v>0</v>
      </c>
      <c r="J515" s="4">
        <v>0</v>
      </c>
      <c r="K515" s="4">
        <v>23102552.510000002</v>
      </c>
      <c r="L515" s="4" t="s">
        <v>1639</v>
      </c>
      <c r="M515" s="4" t="s">
        <v>1640</v>
      </c>
      <c r="N515" s="4" t="s">
        <v>20</v>
      </c>
      <c r="O515" s="4" t="s">
        <v>631</v>
      </c>
      <c r="P515" s="4" t="s">
        <v>631</v>
      </c>
      <c r="Q515" s="8" t="s">
        <v>100</v>
      </c>
      <c r="R515" s="9">
        <f t="shared" ref="R515:R578" si="9">E515/$E$1757</f>
        <v>3.4059224565906408E-4</v>
      </c>
      <c r="S515" s="55">
        <f>Tabla3[[#This Row],[Subtotal]]/12</f>
        <v>1617825.8058333334</v>
      </c>
    </row>
    <row r="516" spans="1:19" x14ac:dyDescent="0.2">
      <c r="A516" s="4">
        <v>967</v>
      </c>
      <c r="B516" s="2">
        <v>19334265</v>
      </c>
      <c r="C516" s="2">
        <v>0</v>
      </c>
      <c r="D516" s="4" t="s">
        <v>1644</v>
      </c>
      <c r="E516" s="2">
        <v>19334265</v>
      </c>
      <c r="F516" s="2">
        <v>0</v>
      </c>
      <c r="G516" s="2">
        <v>483356.63</v>
      </c>
      <c r="H516" s="4">
        <v>0</v>
      </c>
      <c r="I516" s="4">
        <v>0</v>
      </c>
      <c r="J516" s="4">
        <v>483356.63</v>
      </c>
      <c r="K516" s="4">
        <v>18850908.370000001</v>
      </c>
      <c r="L516" s="4" t="s">
        <v>1642</v>
      </c>
      <c r="M516" s="4" t="s">
        <v>1643</v>
      </c>
      <c r="N516" s="4" t="s">
        <v>205</v>
      </c>
      <c r="O516" s="4" t="s">
        <v>206</v>
      </c>
      <c r="P516" s="4" t="s">
        <v>206</v>
      </c>
      <c r="Q516" s="8" t="s">
        <v>100</v>
      </c>
      <c r="R516" s="9">
        <f t="shared" si="9"/>
        <v>3.3919498166272471E-4</v>
      </c>
      <c r="S516" s="55">
        <f>Tabla3[[#This Row],[Subtotal]]/12</f>
        <v>1611188.75</v>
      </c>
    </row>
    <row r="517" spans="1:19" x14ac:dyDescent="0.2">
      <c r="A517" s="4">
        <v>348</v>
      </c>
      <c r="B517" s="2">
        <v>19326138</v>
      </c>
      <c r="C517" s="2">
        <v>0</v>
      </c>
      <c r="D517" s="4" t="s">
        <v>1647</v>
      </c>
      <c r="E517" s="2">
        <v>19326138</v>
      </c>
      <c r="F517" s="2">
        <v>3671966.22</v>
      </c>
      <c r="G517" s="2">
        <v>430914.35</v>
      </c>
      <c r="H517" s="4">
        <v>0</v>
      </c>
      <c r="I517" s="4">
        <v>0</v>
      </c>
      <c r="J517" s="4">
        <v>430914.35</v>
      </c>
      <c r="K517" s="4">
        <v>22567189.870000001</v>
      </c>
      <c r="L517" s="4" t="s">
        <v>1645</v>
      </c>
      <c r="M517" s="4" t="s">
        <v>1646</v>
      </c>
      <c r="N517" s="4" t="s">
        <v>1648</v>
      </c>
      <c r="O517" s="4" t="s">
        <v>105</v>
      </c>
      <c r="P517" s="4" t="s">
        <v>105</v>
      </c>
      <c r="Q517" s="8" t="s">
        <v>100</v>
      </c>
      <c r="R517" s="9">
        <f t="shared" si="9"/>
        <v>3.390524038292269E-4</v>
      </c>
      <c r="S517" s="55">
        <f>Tabla3[[#This Row],[Subtotal]]/12</f>
        <v>1610511.5</v>
      </c>
    </row>
    <row r="518" spans="1:19" x14ac:dyDescent="0.2">
      <c r="A518" s="4">
        <v>1104</v>
      </c>
      <c r="B518" s="2">
        <v>19230689</v>
      </c>
      <c r="C518" s="2">
        <v>0</v>
      </c>
      <c r="D518" s="4" t="s">
        <v>1651</v>
      </c>
      <c r="E518" s="2">
        <v>19230689</v>
      </c>
      <c r="F518" s="2">
        <v>3653830.91</v>
      </c>
      <c r="G518" s="2">
        <v>306356.92</v>
      </c>
      <c r="H518" s="4">
        <v>0</v>
      </c>
      <c r="I518" s="4">
        <v>0</v>
      </c>
      <c r="J518" s="4">
        <v>306356.92</v>
      </c>
      <c r="K518" s="4">
        <v>22578162.989999998</v>
      </c>
      <c r="L518" s="4" t="s">
        <v>1649</v>
      </c>
      <c r="M518" s="4" t="s">
        <v>1650</v>
      </c>
      <c r="N518" s="4" t="s">
        <v>1269</v>
      </c>
      <c r="O518" s="4" t="s">
        <v>105</v>
      </c>
      <c r="P518" s="4" t="s">
        <v>105</v>
      </c>
      <c r="Q518" s="8" t="s">
        <v>100</v>
      </c>
      <c r="R518" s="9">
        <f t="shared" si="9"/>
        <v>3.373778730516294E-4</v>
      </c>
      <c r="S518" s="55">
        <f>Tabla3[[#This Row],[Subtotal]]/12</f>
        <v>1602557.4166666667</v>
      </c>
    </row>
    <row r="519" spans="1:19" x14ac:dyDescent="0.2">
      <c r="A519" s="4">
        <v>53</v>
      </c>
      <c r="B519" s="2">
        <v>19226299</v>
      </c>
      <c r="C519" s="2">
        <v>0</v>
      </c>
      <c r="D519" s="4" t="s">
        <v>1654</v>
      </c>
      <c r="E519" s="2">
        <v>19226299</v>
      </c>
      <c r="F519" s="2">
        <v>3652996.81</v>
      </c>
      <c r="G519" s="2">
        <v>0</v>
      </c>
      <c r="H519" s="4">
        <v>0</v>
      </c>
      <c r="I519" s="4">
        <v>0</v>
      </c>
      <c r="J519" s="4">
        <v>0</v>
      </c>
      <c r="K519" s="4">
        <v>22879295.809999999</v>
      </c>
      <c r="L519" s="4" t="s">
        <v>1652</v>
      </c>
      <c r="M519" s="4" t="s">
        <v>1653</v>
      </c>
      <c r="N519" s="4" t="s">
        <v>20</v>
      </c>
      <c r="O519" s="4" t="s">
        <v>1356</v>
      </c>
      <c r="P519" s="4" t="s">
        <v>1356</v>
      </c>
      <c r="Q519" s="8" t="s">
        <v>100</v>
      </c>
      <c r="R519" s="9">
        <f t="shared" si="9"/>
        <v>3.373008561094545E-4</v>
      </c>
      <c r="S519" s="55">
        <f>Tabla3[[#This Row],[Subtotal]]/12</f>
        <v>1602191.5833333333</v>
      </c>
    </row>
    <row r="520" spans="1:19" x14ac:dyDescent="0.2">
      <c r="A520" s="4">
        <v>720</v>
      </c>
      <c r="B520" s="2">
        <v>19196110</v>
      </c>
      <c r="C520" s="2">
        <v>0</v>
      </c>
      <c r="D520" s="4" t="s">
        <v>1657</v>
      </c>
      <c r="E520" s="2">
        <v>19196110</v>
      </c>
      <c r="F520" s="2">
        <v>3647260.9</v>
      </c>
      <c r="G520" s="2">
        <v>479902.75</v>
      </c>
      <c r="H520" s="4">
        <v>0</v>
      </c>
      <c r="I520" s="4">
        <v>0</v>
      </c>
      <c r="J520" s="4">
        <v>479902.75</v>
      </c>
      <c r="K520" s="4">
        <v>22363468.149999999</v>
      </c>
      <c r="L520" s="4" t="s">
        <v>1655</v>
      </c>
      <c r="M520" s="4" t="s">
        <v>1656</v>
      </c>
      <c r="N520" s="4" t="s">
        <v>472</v>
      </c>
      <c r="O520" s="4" t="s">
        <v>67</v>
      </c>
      <c r="P520" s="4" t="s">
        <v>67</v>
      </c>
      <c r="Q520" s="8" t="s">
        <v>28</v>
      </c>
      <c r="R520" s="9">
        <f t="shared" si="9"/>
        <v>3.3677122866815194E-4</v>
      </c>
      <c r="S520" s="55">
        <f>Tabla3[[#This Row],[Subtotal]]/12</f>
        <v>1599675.8333333333</v>
      </c>
    </row>
    <row r="521" spans="1:19" x14ac:dyDescent="0.2">
      <c r="A521" s="4">
        <v>1578</v>
      </c>
      <c r="B521" s="2">
        <v>19085680</v>
      </c>
      <c r="C521" s="2">
        <v>0</v>
      </c>
      <c r="D521" s="4" t="s">
        <v>1660</v>
      </c>
      <c r="E521" s="2">
        <v>19085680</v>
      </c>
      <c r="F521" s="2">
        <v>3626279.2</v>
      </c>
      <c r="G521" s="2">
        <v>0</v>
      </c>
      <c r="H521" s="4">
        <v>0</v>
      </c>
      <c r="I521" s="4">
        <v>0</v>
      </c>
      <c r="J521" s="4">
        <v>0</v>
      </c>
      <c r="K521" s="4">
        <v>22711959.199999999</v>
      </c>
      <c r="L521" s="4" t="s">
        <v>1658</v>
      </c>
      <c r="M521" s="4" t="s">
        <v>1659</v>
      </c>
      <c r="N521" s="4" t="s">
        <v>236</v>
      </c>
      <c r="O521" s="4" t="s">
        <v>237</v>
      </c>
      <c r="P521" s="4" t="s">
        <v>237</v>
      </c>
      <c r="Q521" s="8" t="s">
        <v>100</v>
      </c>
      <c r="R521" s="9">
        <f t="shared" si="9"/>
        <v>3.3483387538241725E-4</v>
      </c>
      <c r="S521" s="55">
        <f>Tabla3[[#This Row],[Subtotal]]/12</f>
        <v>1590473.3333333333</v>
      </c>
    </row>
    <row r="522" spans="1:19" x14ac:dyDescent="0.2">
      <c r="A522" s="4">
        <v>700</v>
      </c>
      <c r="B522" s="2">
        <v>19027926</v>
      </c>
      <c r="C522" s="2">
        <v>0</v>
      </c>
      <c r="D522" s="4" t="s">
        <v>1663</v>
      </c>
      <c r="E522" s="2">
        <v>19027926</v>
      </c>
      <c r="F522" s="2">
        <v>3615305.94</v>
      </c>
      <c r="G522" s="2">
        <v>364800.01</v>
      </c>
      <c r="H522" s="4">
        <v>0</v>
      </c>
      <c r="I522" s="4">
        <v>0</v>
      </c>
      <c r="J522" s="4">
        <v>364800.01</v>
      </c>
      <c r="K522" s="4">
        <v>22278431.93</v>
      </c>
      <c r="L522" s="4" t="s">
        <v>1661</v>
      </c>
      <c r="M522" s="4" t="s">
        <v>1662</v>
      </c>
      <c r="N522" s="4" t="s">
        <v>648</v>
      </c>
      <c r="O522" s="4" t="s">
        <v>340</v>
      </c>
      <c r="P522" s="4" t="s">
        <v>340</v>
      </c>
      <c r="Q522" s="8" t="s">
        <v>100</v>
      </c>
      <c r="R522" s="9">
        <f t="shared" si="9"/>
        <v>3.3382065522789112E-4</v>
      </c>
      <c r="S522" s="55">
        <f>Tabla3[[#This Row],[Subtotal]]/12</f>
        <v>1585660.5</v>
      </c>
    </row>
    <row r="523" spans="1:19" x14ac:dyDescent="0.2">
      <c r="A523" s="4">
        <v>1193</v>
      </c>
      <c r="B523" s="2">
        <v>19006552</v>
      </c>
      <c r="C523" s="2">
        <v>0</v>
      </c>
      <c r="D523" s="4" t="s">
        <v>1666</v>
      </c>
      <c r="E523" s="2">
        <v>19006552</v>
      </c>
      <c r="F523" s="2">
        <v>3611244.88</v>
      </c>
      <c r="G523" s="2">
        <v>0</v>
      </c>
      <c r="H523" s="4">
        <v>0</v>
      </c>
      <c r="I523" s="4">
        <v>0</v>
      </c>
      <c r="J523" s="4">
        <v>0</v>
      </c>
      <c r="K523" s="4">
        <v>22617796.879999999</v>
      </c>
      <c r="L523" s="4" t="s">
        <v>1664</v>
      </c>
      <c r="M523" s="4" t="s">
        <v>1665</v>
      </c>
      <c r="N523" s="4" t="s">
        <v>20</v>
      </c>
      <c r="O523" s="4" t="s">
        <v>257</v>
      </c>
      <c r="P523" s="4" t="s">
        <v>257</v>
      </c>
      <c r="Q523" s="8" t="s">
        <v>100</v>
      </c>
      <c r="R523" s="9">
        <f t="shared" si="9"/>
        <v>3.3344567570122905E-4</v>
      </c>
      <c r="S523" s="55">
        <f>Tabla3[[#This Row],[Subtotal]]/12</f>
        <v>1583879.3333333333</v>
      </c>
    </row>
    <row r="524" spans="1:19" x14ac:dyDescent="0.2">
      <c r="A524" s="4">
        <v>813</v>
      </c>
      <c r="B524" s="2">
        <v>18817767</v>
      </c>
      <c r="C524" s="2">
        <v>0</v>
      </c>
      <c r="D524" s="4" t="s">
        <v>1669</v>
      </c>
      <c r="E524" s="2">
        <v>18817767</v>
      </c>
      <c r="F524" s="2">
        <v>3575375.73</v>
      </c>
      <c r="G524" s="2">
        <v>0</v>
      </c>
      <c r="H524" s="4">
        <v>0</v>
      </c>
      <c r="I524" s="4">
        <v>0</v>
      </c>
      <c r="J524" s="4">
        <v>0</v>
      </c>
      <c r="K524" s="4">
        <v>22393142.73</v>
      </c>
      <c r="L524" s="4" t="s">
        <v>1667</v>
      </c>
      <c r="M524" s="4" t="s">
        <v>1668</v>
      </c>
      <c r="N524" s="4" t="s">
        <v>1670</v>
      </c>
      <c r="O524" s="4" t="s">
        <v>89</v>
      </c>
      <c r="P524" s="4" t="s">
        <v>89</v>
      </c>
      <c r="Q524" s="8" t="s">
        <v>100</v>
      </c>
      <c r="R524" s="9">
        <f t="shared" si="9"/>
        <v>3.301336840318691E-4</v>
      </c>
      <c r="S524" s="55">
        <f>Tabla3[[#This Row],[Subtotal]]/12</f>
        <v>1568147.25</v>
      </c>
    </row>
    <row r="525" spans="1:19" x14ac:dyDescent="0.2">
      <c r="A525" s="4">
        <v>1382</v>
      </c>
      <c r="B525" s="2">
        <v>18809416</v>
      </c>
      <c r="C525" s="2">
        <v>0</v>
      </c>
      <c r="D525" s="4" t="s">
        <v>1673</v>
      </c>
      <c r="E525" s="2">
        <v>18809416</v>
      </c>
      <c r="F525" s="2">
        <v>3573789.04</v>
      </c>
      <c r="G525" s="2">
        <v>95976.4</v>
      </c>
      <c r="H525" s="4">
        <v>0</v>
      </c>
      <c r="I525" s="4">
        <v>0</v>
      </c>
      <c r="J525" s="4">
        <v>95976.4</v>
      </c>
      <c r="K525" s="4">
        <v>22287228.640000001</v>
      </c>
      <c r="L525" s="4" t="s">
        <v>1671</v>
      </c>
      <c r="M525" s="4" t="s">
        <v>1672</v>
      </c>
      <c r="N525" s="4" t="s">
        <v>826</v>
      </c>
      <c r="O525" s="4" t="s">
        <v>89</v>
      </c>
      <c r="P525" s="4" t="s">
        <v>89</v>
      </c>
      <c r="Q525" s="8" t="s">
        <v>100</v>
      </c>
      <c r="R525" s="9">
        <f t="shared" si="9"/>
        <v>3.2998717640451091E-4</v>
      </c>
      <c r="S525" s="55">
        <f>Tabla3[[#This Row],[Subtotal]]/12</f>
        <v>1567451.3333333333</v>
      </c>
    </row>
    <row r="526" spans="1:19" x14ac:dyDescent="0.2">
      <c r="A526" s="4">
        <v>841</v>
      </c>
      <c r="B526" s="2">
        <v>19310207.780000001</v>
      </c>
      <c r="C526" s="2">
        <v>502053.03</v>
      </c>
      <c r="D526" s="4" t="s">
        <v>1676</v>
      </c>
      <c r="E526" s="2">
        <v>18808154.75</v>
      </c>
      <c r="F526" s="2">
        <v>3573549.41</v>
      </c>
      <c r="G526" s="2">
        <v>470203.87</v>
      </c>
      <c r="H526" s="4">
        <v>0</v>
      </c>
      <c r="I526" s="4">
        <v>0</v>
      </c>
      <c r="J526" s="4">
        <v>470203.87</v>
      </c>
      <c r="K526" s="4">
        <v>21911500.289999999</v>
      </c>
      <c r="L526" s="4" t="s">
        <v>1674</v>
      </c>
      <c r="M526" s="4" t="s">
        <v>1675</v>
      </c>
      <c r="N526" s="4" t="s">
        <v>20</v>
      </c>
      <c r="O526" s="4" t="s">
        <v>1677</v>
      </c>
      <c r="P526" s="4" t="s">
        <v>1677</v>
      </c>
      <c r="Q526" s="8" t="s">
        <v>144</v>
      </c>
      <c r="R526" s="9">
        <f t="shared" si="9"/>
        <v>3.2996504938439289E-4</v>
      </c>
      <c r="S526" s="55">
        <f>Tabla3[[#This Row],[Subtotal]]/12</f>
        <v>1567346.2291666667</v>
      </c>
    </row>
    <row r="527" spans="1:19" x14ac:dyDescent="0.2">
      <c r="A527" s="4">
        <v>494</v>
      </c>
      <c r="B527" s="2">
        <v>18711863</v>
      </c>
      <c r="C527" s="2">
        <v>0</v>
      </c>
      <c r="D527" s="4" t="s">
        <v>1680</v>
      </c>
      <c r="E527" s="2">
        <v>18711863</v>
      </c>
      <c r="F527" s="2">
        <v>3555253.97</v>
      </c>
      <c r="G527" s="2">
        <v>0</v>
      </c>
      <c r="H527" s="4">
        <v>0</v>
      </c>
      <c r="I527" s="4">
        <v>0</v>
      </c>
      <c r="J527" s="4">
        <v>0</v>
      </c>
      <c r="K527" s="4">
        <v>22267116.969999999</v>
      </c>
      <c r="L527" s="4" t="s">
        <v>1678</v>
      </c>
      <c r="M527" s="4" t="s">
        <v>1679</v>
      </c>
      <c r="N527" s="4" t="s">
        <v>20</v>
      </c>
      <c r="O527" s="4" t="s">
        <v>1356</v>
      </c>
      <c r="P527" s="4" t="s">
        <v>1356</v>
      </c>
      <c r="Q527" s="8" t="s">
        <v>100</v>
      </c>
      <c r="R527" s="9">
        <f t="shared" si="9"/>
        <v>3.2827573363458174E-4</v>
      </c>
      <c r="S527" s="55">
        <f>Tabla3[[#This Row],[Subtotal]]/12</f>
        <v>1559321.9166666667</v>
      </c>
    </row>
    <row r="528" spans="1:19" x14ac:dyDescent="0.2">
      <c r="A528" s="4">
        <v>1035</v>
      </c>
      <c r="B528" s="2">
        <v>18668260</v>
      </c>
      <c r="C528" s="2">
        <v>0</v>
      </c>
      <c r="D528" s="4" t="s">
        <v>1682</v>
      </c>
      <c r="E528" s="2">
        <v>18668260</v>
      </c>
      <c r="F528" s="2">
        <v>3546969.4</v>
      </c>
      <c r="G528" s="2">
        <v>333835.3</v>
      </c>
      <c r="H528" s="4">
        <v>525862.74</v>
      </c>
      <c r="I528" s="4">
        <v>80120.479999999996</v>
      </c>
      <c r="J528" s="4">
        <v>939818.52</v>
      </c>
      <c r="K528" s="4">
        <v>21275410.879999999</v>
      </c>
      <c r="L528" s="4" t="s">
        <v>1681</v>
      </c>
      <c r="M528" s="4" t="s">
        <v>178</v>
      </c>
      <c r="N528" s="4" t="s">
        <v>332</v>
      </c>
      <c r="O528" s="4" t="s">
        <v>1127</v>
      </c>
      <c r="P528" s="4" t="s">
        <v>1127</v>
      </c>
      <c r="Q528" s="8" t="s">
        <v>28</v>
      </c>
      <c r="R528" s="9">
        <f t="shared" si="9"/>
        <v>3.2751077469844221E-4</v>
      </c>
      <c r="S528" s="55">
        <f>Tabla3[[#This Row],[Subtotal]]/12</f>
        <v>1555688.3333333333</v>
      </c>
    </row>
    <row r="529" spans="1:19" x14ac:dyDescent="0.2">
      <c r="A529" s="4">
        <v>1641</v>
      </c>
      <c r="B529" s="2">
        <v>18628343</v>
      </c>
      <c r="C529" s="2">
        <v>0</v>
      </c>
      <c r="D529" s="4" t="s">
        <v>1685</v>
      </c>
      <c r="E529" s="2">
        <v>18628343</v>
      </c>
      <c r="F529" s="2">
        <v>3539385.17</v>
      </c>
      <c r="G529" s="2">
        <v>341898.05</v>
      </c>
      <c r="H529" s="4">
        <v>0</v>
      </c>
      <c r="I529" s="4">
        <v>0</v>
      </c>
      <c r="J529" s="4">
        <v>341898.05</v>
      </c>
      <c r="K529" s="4">
        <v>21825830.120000001</v>
      </c>
      <c r="L529" s="4" t="s">
        <v>1683</v>
      </c>
      <c r="M529" s="4" t="s">
        <v>1684</v>
      </c>
      <c r="N529" s="4" t="s">
        <v>1686</v>
      </c>
      <c r="O529" s="4" t="s">
        <v>89</v>
      </c>
      <c r="P529" s="4" t="s">
        <v>89</v>
      </c>
      <c r="Q529" s="8" t="s">
        <v>100</v>
      </c>
      <c r="R529" s="9">
        <f t="shared" si="9"/>
        <v>3.2681048192377348E-4</v>
      </c>
      <c r="S529" s="55">
        <f>Tabla3[[#This Row],[Subtotal]]/12</f>
        <v>1552361.9166666667</v>
      </c>
    </row>
    <row r="530" spans="1:19" x14ac:dyDescent="0.2">
      <c r="A530" s="4">
        <v>238</v>
      </c>
      <c r="B530" s="2">
        <v>18600290</v>
      </c>
      <c r="C530" s="2">
        <v>0</v>
      </c>
      <c r="D530" s="4" t="s">
        <v>1689</v>
      </c>
      <c r="E530" s="2">
        <v>18600290</v>
      </c>
      <c r="F530" s="2">
        <v>3534055.1</v>
      </c>
      <c r="G530" s="2">
        <v>0</v>
      </c>
      <c r="H530" s="4">
        <v>0</v>
      </c>
      <c r="I530" s="4">
        <v>0</v>
      </c>
      <c r="J530" s="4">
        <v>0</v>
      </c>
      <c r="K530" s="4">
        <v>22134345.100000001</v>
      </c>
      <c r="L530" s="4" t="s">
        <v>1687</v>
      </c>
      <c r="M530" s="4" t="s">
        <v>1688</v>
      </c>
      <c r="N530" s="4" t="s">
        <v>1690</v>
      </c>
      <c r="O530" s="4" t="s">
        <v>382</v>
      </c>
      <c r="P530" s="4" t="s">
        <v>382</v>
      </c>
      <c r="Q530" s="8" t="s">
        <v>100</v>
      </c>
      <c r="R530" s="9">
        <f t="shared" si="9"/>
        <v>3.2631832787392547E-4</v>
      </c>
      <c r="S530" s="55">
        <f>Tabla3[[#This Row],[Subtotal]]/12</f>
        <v>1550024.1666666667</v>
      </c>
    </row>
    <row r="531" spans="1:19" x14ac:dyDescent="0.2">
      <c r="A531" s="4">
        <v>1472</v>
      </c>
      <c r="B531" s="2">
        <v>18525331</v>
      </c>
      <c r="C531" s="2">
        <v>0</v>
      </c>
      <c r="D531" s="4" t="s">
        <v>1693</v>
      </c>
      <c r="E531" s="2">
        <v>18525331</v>
      </c>
      <c r="F531" s="2">
        <v>3519812.89</v>
      </c>
      <c r="G531" s="2">
        <v>444867.51</v>
      </c>
      <c r="H531" s="4">
        <v>0</v>
      </c>
      <c r="I531" s="4">
        <v>0</v>
      </c>
      <c r="J531" s="4">
        <v>444867.51</v>
      </c>
      <c r="K531" s="4">
        <v>21600276.379999999</v>
      </c>
      <c r="L531" s="4" t="s">
        <v>1691</v>
      </c>
      <c r="M531" s="4" t="s">
        <v>1692</v>
      </c>
      <c r="N531" s="4" t="s">
        <v>20</v>
      </c>
      <c r="O531" s="4" t="s">
        <v>76</v>
      </c>
      <c r="P531" s="4" t="s">
        <v>76</v>
      </c>
      <c r="Q531" s="8" t="s">
        <v>100</v>
      </c>
      <c r="R531" s="9">
        <f t="shared" si="9"/>
        <v>3.2500326797221953E-4</v>
      </c>
      <c r="S531" s="55">
        <f>Tabla3[[#This Row],[Subtotal]]/12</f>
        <v>1543777.5833333333</v>
      </c>
    </row>
    <row r="532" spans="1:19" x14ac:dyDescent="0.2">
      <c r="A532" s="4">
        <v>1136</v>
      </c>
      <c r="B532" s="2">
        <v>18505101</v>
      </c>
      <c r="C532" s="2">
        <v>0</v>
      </c>
      <c r="D532" s="4" t="s">
        <v>1695</v>
      </c>
      <c r="E532" s="2">
        <v>18505101</v>
      </c>
      <c r="F532" s="2">
        <v>3515969.19</v>
      </c>
      <c r="G532" s="2">
        <v>462627.53</v>
      </c>
      <c r="H532" s="4">
        <v>0</v>
      </c>
      <c r="I532" s="4">
        <v>0</v>
      </c>
      <c r="J532" s="4">
        <v>462627.53</v>
      </c>
      <c r="K532" s="4">
        <v>21558442.66</v>
      </c>
      <c r="L532" s="4" t="s">
        <v>1694</v>
      </c>
      <c r="M532" s="4" t="s">
        <v>984</v>
      </c>
      <c r="N532" s="4" t="s">
        <v>1418</v>
      </c>
      <c r="O532" s="4" t="s">
        <v>173</v>
      </c>
      <c r="P532" s="4" t="s">
        <v>173</v>
      </c>
      <c r="Q532" s="8" t="s">
        <v>100</v>
      </c>
      <c r="R532" s="9">
        <f t="shared" si="9"/>
        <v>3.2464835846420171E-4</v>
      </c>
      <c r="S532" s="55">
        <f>Tabla3[[#This Row],[Subtotal]]/12</f>
        <v>1542091.75</v>
      </c>
    </row>
    <row r="533" spans="1:19" x14ac:dyDescent="0.2">
      <c r="A533" s="4">
        <v>1025</v>
      </c>
      <c r="B533" s="2">
        <v>18479927</v>
      </c>
      <c r="C533" s="2">
        <v>0</v>
      </c>
      <c r="D533" s="4" t="s">
        <v>1697</v>
      </c>
      <c r="E533" s="2">
        <v>18479927</v>
      </c>
      <c r="F533" s="2">
        <v>3511186.13</v>
      </c>
      <c r="G533" s="2">
        <v>326360.7</v>
      </c>
      <c r="H533" s="4">
        <v>508129.9</v>
      </c>
      <c r="I533" s="4">
        <v>78326.570000000007</v>
      </c>
      <c r="J533" s="4">
        <v>912817.17</v>
      </c>
      <c r="K533" s="4">
        <v>21078295.960000001</v>
      </c>
      <c r="L533" s="4" t="s">
        <v>1696</v>
      </c>
      <c r="M533" s="4" t="s">
        <v>178</v>
      </c>
      <c r="N533" s="4" t="s">
        <v>20</v>
      </c>
      <c r="O533" s="4" t="s">
        <v>257</v>
      </c>
      <c r="P533" s="4" t="s">
        <v>257</v>
      </c>
      <c r="Q533" s="8" t="s">
        <v>28</v>
      </c>
      <c r="R533" s="9">
        <f t="shared" si="9"/>
        <v>3.2420671279169346E-4</v>
      </c>
      <c r="S533" s="55">
        <f>Tabla3[[#This Row],[Subtotal]]/12</f>
        <v>1539993.9166666667</v>
      </c>
    </row>
    <row r="534" spans="1:19" x14ac:dyDescent="0.2">
      <c r="A534" s="4">
        <v>560</v>
      </c>
      <c r="B534" s="2">
        <v>18465622</v>
      </c>
      <c r="C534" s="2">
        <v>0</v>
      </c>
      <c r="D534" s="4" t="s">
        <v>1700</v>
      </c>
      <c r="E534" s="2">
        <v>18465622</v>
      </c>
      <c r="F534" s="2">
        <v>3508468.18</v>
      </c>
      <c r="G534" s="2">
        <v>276563.55</v>
      </c>
      <c r="H534" s="4">
        <v>0</v>
      </c>
      <c r="I534" s="4">
        <v>0</v>
      </c>
      <c r="J534" s="4">
        <v>276563.55</v>
      </c>
      <c r="K534" s="4">
        <v>21697526.629999999</v>
      </c>
      <c r="L534" s="4" t="s">
        <v>1698</v>
      </c>
      <c r="M534" s="4" t="s">
        <v>1699</v>
      </c>
      <c r="N534" s="4" t="s">
        <v>1269</v>
      </c>
      <c r="O534" s="4" t="s">
        <v>105</v>
      </c>
      <c r="P534" s="4" t="s">
        <v>105</v>
      </c>
      <c r="Q534" s="8" t="s">
        <v>28</v>
      </c>
      <c r="R534" s="9">
        <f t="shared" si="9"/>
        <v>3.2395574984002786E-4</v>
      </c>
      <c r="S534" s="55">
        <f>Tabla3[[#This Row],[Subtotal]]/12</f>
        <v>1538801.8333333333</v>
      </c>
    </row>
    <row r="535" spans="1:19" x14ac:dyDescent="0.2">
      <c r="A535" s="4">
        <v>165</v>
      </c>
      <c r="B535" s="2">
        <v>18401330.039999999</v>
      </c>
      <c r="C535" s="2">
        <v>0</v>
      </c>
      <c r="D535" s="4" t="s">
        <v>1703</v>
      </c>
      <c r="E535" s="2">
        <v>18401330.039999999</v>
      </c>
      <c r="F535" s="2">
        <v>3496252.71</v>
      </c>
      <c r="G535" s="2">
        <v>460033.25</v>
      </c>
      <c r="H535" s="4">
        <v>0</v>
      </c>
      <c r="I535" s="4">
        <v>0</v>
      </c>
      <c r="J535" s="4">
        <v>460033.25</v>
      </c>
      <c r="K535" s="4">
        <v>21437549.5</v>
      </c>
      <c r="L535" s="4" t="s">
        <v>1701</v>
      </c>
      <c r="M535" s="4" t="s">
        <v>1702</v>
      </c>
      <c r="N535" s="4" t="s">
        <v>1704</v>
      </c>
      <c r="O535" s="4" t="s">
        <v>900</v>
      </c>
      <c r="P535" s="4" t="s">
        <v>900</v>
      </c>
      <c r="Q535" s="8" t="s">
        <v>144</v>
      </c>
      <c r="R535" s="9">
        <f t="shared" si="9"/>
        <v>3.2282782952895001E-4</v>
      </c>
      <c r="S535" s="55">
        <f>Tabla3[[#This Row],[Subtotal]]/12</f>
        <v>1533444.17</v>
      </c>
    </row>
    <row r="536" spans="1:19" x14ac:dyDescent="0.2">
      <c r="A536" s="4">
        <v>1410</v>
      </c>
      <c r="B536" s="2">
        <v>18391583.98</v>
      </c>
      <c r="C536" s="2">
        <v>0</v>
      </c>
      <c r="D536" s="4" t="s">
        <v>1707</v>
      </c>
      <c r="E536" s="2">
        <v>18391583.98</v>
      </c>
      <c r="F536" s="2">
        <v>3494400.97</v>
      </c>
      <c r="G536" s="2">
        <v>459789.61</v>
      </c>
      <c r="H536" s="4">
        <v>0</v>
      </c>
      <c r="I536" s="4">
        <v>0</v>
      </c>
      <c r="J536" s="4">
        <v>459789.61</v>
      </c>
      <c r="K536" s="4">
        <v>21426195.34</v>
      </c>
      <c r="L536" s="4" t="s">
        <v>1705</v>
      </c>
      <c r="M536" s="4" t="s">
        <v>1706</v>
      </c>
      <c r="N536" s="4" t="s">
        <v>332</v>
      </c>
      <c r="O536" s="4" t="s">
        <v>900</v>
      </c>
      <c r="P536" s="4" t="s">
        <v>900</v>
      </c>
      <c r="Q536" s="8" t="s">
        <v>144</v>
      </c>
      <c r="R536" s="9">
        <f t="shared" si="9"/>
        <v>3.226568473559539E-4</v>
      </c>
      <c r="S536" s="55">
        <f>Tabla3[[#This Row],[Subtotal]]/12</f>
        <v>1532631.9983333333</v>
      </c>
    </row>
    <row r="537" spans="1:19" x14ac:dyDescent="0.2">
      <c r="A537" s="4">
        <v>1630</v>
      </c>
      <c r="B537" s="2">
        <v>18339963</v>
      </c>
      <c r="C537" s="2">
        <v>0</v>
      </c>
      <c r="D537" s="4" t="s">
        <v>1710</v>
      </c>
      <c r="E537" s="2">
        <v>18339963</v>
      </c>
      <c r="F537" s="2">
        <v>3484592.97</v>
      </c>
      <c r="G537" s="2">
        <v>0</v>
      </c>
      <c r="H537" s="4">
        <v>0</v>
      </c>
      <c r="I537" s="4">
        <v>0</v>
      </c>
      <c r="J537" s="4">
        <v>0</v>
      </c>
      <c r="K537" s="4">
        <v>21824555.969999999</v>
      </c>
      <c r="L537" s="4" t="s">
        <v>1708</v>
      </c>
      <c r="M537" s="4" t="s">
        <v>1709</v>
      </c>
      <c r="N537" s="4" t="s">
        <v>746</v>
      </c>
      <c r="O537" s="4" t="s">
        <v>747</v>
      </c>
      <c r="P537" s="4" t="s">
        <v>747</v>
      </c>
      <c r="Q537" s="8" t="s">
        <v>100</v>
      </c>
      <c r="R537" s="9">
        <f t="shared" si="9"/>
        <v>3.2175122320295341E-4</v>
      </c>
      <c r="S537" s="55">
        <f>Tabla3[[#This Row],[Subtotal]]/12</f>
        <v>1528330.25</v>
      </c>
    </row>
    <row r="538" spans="1:19" x14ac:dyDescent="0.2">
      <c r="A538" s="4">
        <v>781</v>
      </c>
      <c r="B538" s="2">
        <v>18320134</v>
      </c>
      <c r="C538" s="2">
        <v>0</v>
      </c>
      <c r="D538" s="4" t="s">
        <v>1713</v>
      </c>
      <c r="E538" s="2">
        <v>18320134</v>
      </c>
      <c r="F538" s="2">
        <v>3480825.46</v>
      </c>
      <c r="G538" s="2">
        <v>0</v>
      </c>
      <c r="H538" s="4">
        <v>0</v>
      </c>
      <c r="I538" s="4">
        <v>0</v>
      </c>
      <c r="J538" s="4">
        <v>0</v>
      </c>
      <c r="K538" s="4">
        <v>21800959.460000001</v>
      </c>
      <c r="L538" s="4" t="s">
        <v>1711</v>
      </c>
      <c r="M538" s="4" t="s">
        <v>1712</v>
      </c>
      <c r="N538" s="4" t="s">
        <v>1714</v>
      </c>
      <c r="O538" s="4" t="s">
        <v>559</v>
      </c>
      <c r="P538" s="4" t="s">
        <v>559</v>
      </c>
      <c r="Q538" s="8" t="s">
        <v>100</v>
      </c>
      <c r="R538" s="9">
        <f t="shared" si="9"/>
        <v>3.2140334872769456E-4</v>
      </c>
      <c r="S538" s="55">
        <f>Tabla3[[#This Row],[Subtotal]]/12</f>
        <v>1526677.8333333333</v>
      </c>
    </row>
    <row r="539" spans="1:19" x14ac:dyDescent="0.2">
      <c r="A539" s="4">
        <v>732</v>
      </c>
      <c r="B539" s="2">
        <v>18301905</v>
      </c>
      <c r="C539" s="2">
        <v>0</v>
      </c>
      <c r="D539" s="4" t="s">
        <v>1717</v>
      </c>
      <c r="E539" s="2">
        <v>18301905</v>
      </c>
      <c r="F539" s="2">
        <v>3477361.95</v>
      </c>
      <c r="G539" s="2">
        <v>371508.56</v>
      </c>
      <c r="H539" s="4">
        <v>0</v>
      </c>
      <c r="I539" s="4">
        <v>0</v>
      </c>
      <c r="J539" s="4">
        <v>371508.56</v>
      </c>
      <c r="K539" s="4">
        <v>21407758.390000001</v>
      </c>
      <c r="L539" s="4" t="s">
        <v>1715</v>
      </c>
      <c r="M539" s="4" t="s">
        <v>1716</v>
      </c>
      <c r="N539" s="4" t="s">
        <v>46</v>
      </c>
      <c r="O539" s="4" t="s">
        <v>76</v>
      </c>
      <c r="P539" s="4" t="s">
        <v>76</v>
      </c>
      <c r="Q539" s="8" t="s">
        <v>408</v>
      </c>
      <c r="R539" s="9">
        <f t="shared" si="9"/>
        <v>3.2108354420858147E-4</v>
      </c>
      <c r="S539" s="55">
        <f>Tabla3[[#This Row],[Subtotal]]/12</f>
        <v>1525158.75</v>
      </c>
    </row>
    <row r="540" spans="1:19" x14ac:dyDescent="0.2">
      <c r="A540" s="4">
        <v>809</v>
      </c>
      <c r="B540" s="2">
        <v>18207558</v>
      </c>
      <c r="C540" s="2">
        <v>0</v>
      </c>
      <c r="D540" s="4" t="s">
        <v>1720</v>
      </c>
      <c r="E540" s="2">
        <v>18207558</v>
      </c>
      <c r="F540" s="2">
        <v>3459436.02</v>
      </c>
      <c r="G540" s="2">
        <v>455188.95</v>
      </c>
      <c r="H540" s="4">
        <v>0</v>
      </c>
      <c r="I540" s="4">
        <v>0</v>
      </c>
      <c r="J540" s="4">
        <v>455188.95</v>
      </c>
      <c r="K540" s="4">
        <v>21211805.07</v>
      </c>
      <c r="L540" s="4" t="s">
        <v>1718</v>
      </c>
      <c r="M540" s="4" t="s">
        <v>1719</v>
      </c>
      <c r="N540" s="4" t="s">
        <v>1721</v>
      </c>
      <c r="O540" s="4" t="s">
        <v>105</v>
      </c>
      <c r="P540" s="4" t="s">
        <v>105</v>
      </c>
      <c r="Q540" s="8" t="s">
        <v>28</v>
      </c>
      <c r="R540" s="9">
        <f t="shared" si="9"/>
        <v>3.1942834661327938E-4</v>
      </c>
      <c r="S540" s="55">
        <f>Tabla3[[#This Row],[Subtotal]]/12</f>
        <v>1517296.5</v>
      </c>
    </row>
    <row r="541" spans="1:19" x14ac:dyDescent="0.2">
      <c r="A541" s="4">
        <v>878</v>
      </c>
      <c r="B541" s="2">
        <v>18161425</v>
      </c>
      <c r="C541" s="2">
        <v>0</v>
      </c>
      <c r="D541" s="4" t="s">
        <v>1724</v>
      </c>
      <c r="E541" s="2">
        <v>18161425</v>
      </c>
      <c r="F541" s="2">
        <v>3450670.75</v>
      </c>
      <c r="G541" s="2">
        <v>0</v>
      </c>
      <c r="H541" s="4">
        <v>0</v>
      </c>
      <c r="I541" s="4">
        <v>0</v>
      </c>
      <c r="J541" s="4">
        <v>0</v>
      </c>
      <c r="K541" s="4">
        <v>21612095.75</v>
      </c>
      <c r="L541" s="4" t="s">
        <v>1722</v>
      </c>
      <c r="M541" s="4" t="s">
        <v>1723</v>
      </c>
      <c r="N541" s="4" t="s">
        <v>415</v>
      </c>
      <c r="O541" s="4" t="s">
        <v>382</v>
      </c>
      <c r="P541" s="4" t="s">
        <v>382</v>
      </c>
      <c r="Q541" s="8" t="s">
        <v>100</v>
      </c>
      <c r="R541" s="9">
        <f t="shared" si="9"/>
        <v>3.1861900205898441E-4</v>
      </c>
      <c r="S541" s="55">
        <f>Tabla3[[#This Row],[Subtotal]]/12</f>
        <v>1513452.0833333333</v>
      </c>
    </row>
    <row r="542" spans="1:19" x14ac:dyDescent="0.2">
      <c r="A542" s="4">
        <v>1519</v>
      </c>
      <c r="B542" s="2">
        <v>18144555</v>
      </c>
      <c r="C542" s="2">
        <v>0</v>
      </c>
      <c r="D542" s="4" t="s">
        <v>1727</v>
      </c>
      <c r="E542" s="2">
        <v>18144555</v>
      </c>
      <c r="F542" s="2">
        <v>3447465.45</v>
      </c>
      <c r="G542" s="2">
        <v>453613.89</v>
      </c>
      <c r="H542" s="4">
        <v>0</v>
      </c>
      <c r="I542" s="4">
        <v>0</v>
      </c>
      <c r="J542" s="4">
        <v>453613.89</v>
      </c>
      <c r="K542" s="4">
        <v>21138406.559999999</v>
      </c>
      <c r="L542" s="4" t="s">
        <v>1725</v>
      </c>
      <c r="M542" s="4" t="s">
        <v>1726</v>
      </c>
      <c r="N542" s="4" t="s">
        <v>775</v>
      </c>
      <c r="O542" s="4" t="s">
        <v>27</v>
      </c>
      <c r="P542" s="4" t="s">
        <v>27</v>
      </c>
      <c r="Q542" s="8" t="s">
        <v>28</v>
      </c>
      <c r="R542" s="9">
        <f t="shared" si="9"/>
        <v>3.1832303945887261E-4</v>
      </c>
      <c r="S542" s="55">
        <f>Tabla3[[#This Row],[Subtotal]]/12</f>
        <v>1512046.25</v>
      </c>
    </row>
    <row r="543" spans="1:19" x14ac:dyDescent="0.2">
      <c r="A543" s="4">
        <v>1460</v>
      </c>
      <c r="B543" s="2">
        <v>18052978</v>
      </c>
      <c r="C543" s="2">
        <v>0</v>
      </c>
      <c r="D543" s="4" t="s">
        <v>1730</v>
      </c>
      <c r="E543" s="2">
        <v>18052978</v>
      </c>
      <c r="F543" s="2">
        <v>3430065.82</v>
      </c>
      <c r="G543" s="2">
        <v>0</v>
      </c>
      <c r="H543" s="4">
        <v>0</v>
      </c>
      <c r="I543" s="4">
        <v>0</v>
      </c>
      <c r="J543" s="4">
        <v>0</v>
      </c>
      <c r="K543" s="4">
        <v>21483043.82</v>
      </c>
      <c r="L543" s="4" t="s">
        <v>1728</v>
      </c>
      <c r="M543" s="4" t="s">
        <v>1729</v>
      </c>
      <c r="N543" s="4" t="s">
        <v>104</v>
      </c>
      <c r="O543" s="4" t="s">
        <v>105</v>
      </c>
      <c r="P543" s="4" t="s">
        <v>105</v>
      </c>
      <c r="Q543" s="8" t="s">
        <v>100</v>
      </c>
      <c r="R543" s="9">
        <f t="shared" si="9"/>
        <v>3.1671643797514788E-4</v>
      </c>
      <c r="S543" s="55">
        <f>Tabla3[[#This Row],[Subtotal]]/12</f>
        <v>1504414.8333333333</v>
      </c>
    </row>
    <row r="544" spans="1:19" x14ac:dyDescent="0.2">
      <c r="A544" s="4">
        <v>363</v>
      </c>
      <c r="B544" s="2">
        <v>18039402</v>
      </c>
      <c r="C544" s="2">
        <v>0</v>
      </c>
      <c r="D544" s="4" t="s">
        <v>1733</v>
      </c>
      <c r="E544" s="2">
        <v>18039402</v>
      </c>
      <c r="F544" s="2">
        <v>3427486.38</v>
      </c>
      <c r="G544" s="2">
        <v>0</v>
      </c>
      <c r="H544" s="4">
        <v>0</v>
      </c>
      <c r="I544" s="4">
        <v>0</v>
      </c>
      <c r="J544" s="4">
        <v>0</v>
      </c>
      <c r="K544" s="4">
        <v>21466888.379999999</v>
      </c>
      <c r="L544" s="4" t="s">
        <v>1731</v>
      </c>
      <c r="M544" s="4" t="s">
        <v>1732</v>
      </c>
      <c r="N544" s="4" t="s">
        <v>20</v>
      </c>
      <c r="O544" s="4" t="s">
        <v>925</v>
      </c>
      <c r="P544" s="4" t="s">
        <v>925</v>
      </c>
      <c r="Q544" s="8" t="s">
        <v>100</v>
      </c>
      <c r="R544" s="9">
        <f t="shared" si="9"/>
        <v>3.1647826439725119E-4</v>
      </c>
      <c r="S544" s="55">
        <f>Tabla3[[#This Row],[Subtotal]]/12</f>
        <v>1503283.5</v>
      </c>
    </row>
    <row r="545" spans="1:19" x14ac:dyDescent="0.2">
      <c r="A545" s="4">
        <v>795</v>
      </c>
      <c r="B545" s="2">
        <v>17906194</v>
      </c>
      <c r="C545" s="2">
        <v>0</v>
      </c>
      <c r="D545" s="4" t="s">
        <v>1736</v>
      </c>
      <c r="E545" s="2">
        <v>17906194</v>
      </c>
      <c r="F545" s="2">
        <v>3402176.86</v>
      </c>
      <c r="G545" s="2">
        <v>0</v>
      </c>
      <c r="H545" s="4">
        <v>0</v>
      </c>
      <c r="I545" s="4">
        <v>0</v>
      </c>
      <c r="J545" s="4">
        <v>0</v>
      </c>
      <c r="K545" s="4">
        <v>21308370.859999999</v>
      </c>
      <c r="L545" s="4" t="s">
        <v>1734</v>
      </c>
      <c r="M545" s="4" t="s">
        <v>1735</v>
      </c>
      <c r="N545" s="4" t="s">
        <v>20</v>
      </c>
      <c r="O545" s="4" t="s">
        <v>1043</v>
      </c>
      <c r="P545" s="4" t="s">
        <v>1043</v>
      </c>
      <c r="Q545" s="8" t="s">
        <v>100</v>
      </c>
      <c r="R545" s="9">
        <f t="shared" si="9"/>
        <v>3.1414130019833655E-4</v>
      </c>
      <c r="S545" s="55">
        <f>Tabla3[[#This Row],[Subtotal]]/12</f>
        <v>1492182.8333333333</v>
      </c>
    </row>
    <row r="546" spans="1:19" x14ac:dyDescent="0.2">
      <c r="A546" s="4">
        <v>875</v>
      </c>
      <c r="B546" s="2">
        <v>17721381</v>
      </c>
      <c r="C546" s="2">
        <v>0</v>
      </c>
      <c r="D546" s="4" t="s">
        <v>1739</v>
      </c>
      <c r="E546" s="2">
        <v>17721381</v>
      </c>
      <c r="F546" s="2">
        <v>3367062.39</v>
      </c>
      <c r="G546" s="2">
        <v>443034.55</v>
      </c>
      <c r="H546" s="4">
        <v>0</v>
      </c>
      <c r="I546" s="4">
        <v>0</v>
      </c>
      <c r="J546" s="4">
        <v>443034.55</v>
      </c>
      <c r="K546" s="4">
        <v>20645408.84</v>
      </c>
      <c r="L546" s="4" t="s">
        <v>1737</v>
      </c>
      <c r="M546" s="4" t="s">
        <v>1738</v>
      </c>
      <c r="N546" s="4" t="s">
        <v>20</v>
      </c>
      <c r="O546" s="4" t="s">
        <v>386</v>
      </c>
      <c r="P546" s="4" t="s">
        <v>386</v>
      </c>
      <c r="Q546" s="8" t="s">
        <v>408</v>
      </c>
      <c r="R546" s="9">
        <f t="shared" si="9"/>
        <v>3.1089899219510845E-4</v>
      </c>
      <c r="S546" s="55">
        <f>Tabla3[[#This Row],[Subtotal]]/12</f>
        <v>1476781.75</v>
      </c>
    </row>
    <row r="547" spans="1:19" x14ac:dyDescent="0.2">
      <c r="A547" s="4">
        <v>66</v>
      </c>
      <c r="B547" s="2">
        <v>17646230</v>
      </c>
      <c r="C547" s="2">
        <v>0</v>
      </c>
      <c r="D547" s="4" t="s">
        <v>1742</v>
      </c>
      <c r="E547" s="2">
        <v>17646230</v>
      </c>
      <c r="F547" s="2">
        <v>3352783.7</v>
      </c>
      <c r="G547" s="2">
        <v>0</v>
      </c>
      <c r="H547" s="4">
        <v>0</v>
      </c>
      <c r="I547" s="4">
        <v>0</v>
      </c>
      <c r="J547" s="4">
        <v>0</v>
      </c>
      <c r="K547" s="4">
        <v>20999013.699999999</v>
      </c>
      <c r="L547" s="4" t="s">
        <v>1740</v>
      </c>
      <c r="M547" s="4" t="s">
        <v>1741</v>
      </c>
      <c r="N547" s="4" t="s">
        <v>233</v>
      </c>
      <c r="O547" s="4" t="s">
        <v>229</v>
      </c>
      <c r="P547" s="4" t="s">
        <v>229</v>
      </c>
      <c r="Q547" s="8" t="s">
        <v>100</v>
      </c>
      <c r="R547" s="9">
        <f t="shared" si="9"/>
        <v>3.0958056389866501E-4</v>
      </c>
      <c r="S547" s="55">
        <f>Tabla3[[#This Row],[Subtotal]]/12</f>
        <v>1470519.1666666667</v>
      </c>
    </row>
    <row r="548" spans="1:19" x14ac:dyDescent="0.2">
      <c r="A548" s="4">
        <v>251</v>
      </c>
      <c r="B548" s="2">
        <v>17582235</v>
      </c>
      <c r="C548" s="2">
        <v>0</v>
      </c>
      <c r="D548" s="4" t="s">
        <v>1745</v>
      </c>
      <c r="E548" s="2">
        <v>17582235</v>
      </c>
      <c r="F548" s="2">
        <v>3340624.65</v>
      </c>
      <c r="G548" s="2">
        <v>0</v>
      </c>
      <c r="H548" s="4">
        <v>0</v>
      </c>
      <c r="I548" s="4">
        <v>0</v>
      </c>
      <c r="J548" s="4">
        <v>0</v>
      </c>
      <c r="K548" s="4">
        <v>20922859.649999999</v>
      </c>
      <c r="L548" s="4" t="s">
        <v>1743</v>
      </c>
      <c r="M548" s="4" t="s">
        <v>1744</v>
      </c>
      <c r="N548" s="4" t="s">
        <v>1746</v>
      </c>
      <c r="O548" s="4" t="s">
        <v>89</v>
      </c>
      <c r="P548" s="4" t="s">
        <v>89</v>
      </c>
      <c r="Q548" s="8" t="s">
        <v>100</v>
      </c>
      <c r="R548" s="9">
        <f t="shared" si="9"/>
        <v>3.0845785337144788E-4</v>
      </c>
      <c r="S548" s="55">
        <f>Tabla3[[#This Row],[Subtotal]]/12</f>
        <v>1465186.25</v>
      </c>
    </row>
    <row r="549" spans="1:19" x14ac:dyDescent="0.2">
      <c r="A549" s="4">
        <v>1163</v>
      </c>
      <c r="B549" s="2">
        <v>17571708</v>
      </c>
      <c r="C549" s="2">
        <v>0</v>
      </c>
      <c r="D549" s="4" t="s">
        <v>1748</v>
      </c>
      <c r="E549" s="2">
        <v>17571708</v>
      </c>
      <c r="F549" s="2">
        <v>3338624.52</v>
      </c>
      <c r="G549" s="2">
        <v>435345.16</v>
      </c>
      <c r="H549" s="4">
        <v>0</v>
      </c>
      <c r="I549" s="4">
        <v>0</v>
      </c>
      <c r="J549" s="4">
        <v>435345.16</v>
      </c>
      <c r="K549" s="4">
        <v>20474987.359999999</v>
      </c>
      <c r="L549" s="4" t="s">
        <v>1747</v>
      </c>
      <c r="M549" s="4" t="s">
        <v>1747</v>
      </c>
      <c r="N549" s="4" t="s">
        <v>1553</v>
      </c>
      <c r="O549" s="4" t="s">
        <v>747</v>
      </c>
      <c r="P549" s="4" t="s">
        <v>747</v>
      </c>
      <c r="Q549" s="8" t="s">
        <v>100</v>
      </c>
      <c r="R549" s="9">
        <f t="shared" si="9"/>
        <v>3.0827317060373141E-4</v>
      </c>
      <c r="S549" s="55">
        <f>Tabla3[[#This Row],[Subtotal]]/12</f>
        <v>1464309</v>
      </c>
    </row>
    <row r="550" spans="1:19" x14ac:dyDescent="0.2">
      <c r="A550" s="4">
        <v>857</v>
      </c>
      <c r="B550" s="2">
        <v>17563937</v>
      </c>
      <c r="C550" s="2">
        <v>0</v>
      </c>
      <c r="D550" s="4" t="s">
        <v>1751</v>
      </c>
      <c r="E550" s="2">
        <v>17563937</v>
      </c>
      <c r="F550" s="2">
        <v>3337148.03</v>
      </c>
      <c r="G550" s="2">
        <v>0</v>
      </c>
      <c r="H550" s="4">
        <v>0</v>
      </c>
      <c r="I550" s="4">
        <v>0</v>
      </c>
      <c r="J550" s="4">
        <v>0</v>
      </c>
      <c r="K550" s="4">
        <v>20901085.030000001</v>
      </c>
      <c r="L550" s="4" t="s">
        <v>1749</v>
      </c>
      <c r="M550" s="4" t="s">
        <v>1750</v>
      </c>
      <c r="N550" s="4" t="s">
        <v>1107</v>
      </c>
      <c r="O550" s="4" t="s">
        <v>89</v>
      </c>
      <c r="P550" s="4" t="s">
        <v>89</v>
      </c>
      <c r="Q550" s="8" t="s">
        <v>100</v>
      </c>
      <c r="R550" s="9">
        <f t="shared" si="9"/>
        <v>3.08136838335476E-4</v>
      </c>
      <c r="S550" s="55">
        <f>Tabla3[[#This Row],[Subtotal]]/12</f>
        <v>1463661.4166666667</v>
      </c>
    </row>
    <row r="551" spans="1:19" x14ac:dyDescent="0.2">
      <c r="A551" s="4">
        <v>1490</v>
      </c>
      <c r="B551" s="2">
        <v>17750675</v>
      </c>
      <c r="C551" s="2">
        <v>227376.54</v>
      </c>
      <c r="D551" s="4" t="s">
        <v>1754</v>
      </c>
      <c r="E551" s="2">
        <v>17523298.460000001</v>
      </c>
      <c r="F551" s="2">
        <v>3329426.71</v>
      </c>
      <c r="G551" s="2">
        <v>0</v>
      </c>
      <c r="H551" s="4">
        <v>0</v>
      </c>
      <c r="I551" s="4">
        <v>0</v>
      </c>
      <c r="J551" s="4">
        <v>0</v>
      </c>
      <c r="K551" s="4">
        <v>20852725.170000002</v>
      </c>
      <c r="L551" s="4" t="s">
        <v>1752</v>
      </c>
      <c r="M551" s="4" t="s">
        <v>1753</v>
      </c>
      <c r="N551" s="4" t="s">
        <v>20</v>
      </c>
      <c r="O551" s="4" t="s">
        <v>316</v>
      </c>
      <c r="P551" s="4" t="s">
        <v>316</v>
      </c>
      <c r="Q551" s="8" t="s">
        <v>100</v>
      </c>
      <c r="R551" s="9">
        <f t="shared" si="9"/>
        <v>3.0742388706320889E-4</v>
      </c>
      <c r="S551" s="55">
        <f>Tabla3[[#This Row],[Subtotal]]/12</f>
        <v>1460274.8716666668</v>
      </c>
    </row>
    <row r="552" spans="1:19" x14ac:dyDescent="0.2">
      <c r="A552" s="4">
        <v>805</v>
      </c>
      <c r="B552" s="2">
        <v>17504293</v>
      </c>
      <c r="C552" s="2">
        <v>0</v>
      </c>
      <c r="D552" s="4" t="s">
        <v>1757</v>
      </c>
      <c r="E552" s="2">
        <v>17504293</v>
      </c>
      <c r="F552" s="2">
        <v>3325815.67</v>
      </c>
      <c r="G552" s="2">
        <v>0</v>
      </c>
      <c r="H552" s="4">
        <v>0</v>
      </c>
      <c r="I552" s="4">
        <v>0</v>
      </c>
      <c r="J552" s="4">
        <v>0</v>
      </c>
      <c r="K552" s="4">
        <v>20830108.670000002</v>
      </c>
      <c r="L552" s="4" t="s">
        <v>1755</v>
      </c>
      <c r="M552" s="4" t="s">
        <v>1756</v>
      </c>
      <c r="N552" s="4" t="s">
        <v>112</v>
      </c>
      <c r="O552" s="4" t="s">
        <v>113</v>
      </c>
      <c r="P552" s="4" t="s">
        <v>113</v>
      </c>
      <c r="Q552" s="8" t="s">
        <v>100</v>
      </c>
      <c r="R552" s="9">
        <f t="shared" si="9"/>
        <v>3.0709046054525269E-4</v>
      </c>
      <c r="S552" s="55">
        <f>Tabla3[[#This Row],[Subtotal]]/12</f>
        <v>1458691.0833333333</v>
      </c>
    </row>
    <row r="553" spans="1:19" x14ac:dyDescent="0.2">
      <c r="A553" s="4">
        <v>129</v>
      </c>
      <c r="B553" s="2">
        <v>17484787</v>
      </c>
      <c r="C553" s="2">
        <v>0</v>
      </c>
      <c r="D553" s="4" t="s">
        <v>1760</v>
      </c>
      <c r="E553" s="2">
        <v>17484787</v>
      </c>
      <c r="F553" s="2">
        <v>3322109.53</v>
      </c>
      <c r="G553" s="2">
        <v>0</v>
      </c>
      <c r="H553" s="4">
        <v>0</v>
      </c>
      <c r="I553" s="4">
        <v>0</v>
      </c>
      <c r="J553" s="4">
        <v>0</v>
      </c>
      <c r="K553" s="4">
        <v>20806896.530000001</v>
      </c>
      <c r="L553" s="4" t="s">
        <v>1758</v>
      </c>
      <c r="M553" s="4" t="s">
        <v>1759</v>
      </c>
      <c r="N553" s="4" t="s">
        <v>88</v>
      </c>
      <c r="O553" s="4" t="s">
        <v>89</v>
      </c>
      <c r="P553" s="4" t="s">
        <v>89</v>
      </c>
      <c r="Q553" s="8" t="s">
        <v>100</v>
      </c>
      <c r="R553" s="9">
        <f t="shared" si="9"/>
        <v>3.067482526923908E-4</v>
      </c>
      <c r="S553" s="55">
        <f>Tabla3[[#This Row],[Subtotal]]/12</f>
        <v>1457065.5833333333</v>
      </c>
    </row>
    <row r="554" spans="1:19" x14ac:dyDescent="0.2">
      <c r="A554" s="4">
        <v>1321</v>
      </c>
      <c r="B554" s="2">
        <v>17376633</v>
      </c>
      <c r="C554" s="2">
        <v>0</v>
      </c>
      <c r="D554" s="4" t="s">
        <v>1763</v>
      </c>
      <c r="E554" s="2">
        <v>17376633</v>
      </c>
      <c r="F554" s="2">
        <v>3301560.27</v>
      </c>
      <c r="G554" s="2">
        <v>0</v>
      </c>
      <c r="H554" s="4">
        <v>0</v>
      </c>
      <c r="I554" s="4">
        <v>0</v>
      </c>
      <c r="J554" s="4">
        <v>0</v>
      </c>
      <c r="K554" s="4">
        <v>20678193.27</v>
      </c>
      <c r="L554" s="4" t="s">
        <v>1761</v>
      </c>
      <c r="M554" s="4" t="s">
        <v>1762</v>
      </c>
      <c r="N554" s="4" t="s">
        <v>1421</v>
      </c>
      <c r="O554" s="4" t="s">
        <v>340</v>
      </c>
      <c r="P554" s="4" t="s">
        <v>340</v>
      </c>
      <c r="Q554" s="8" t="s">
        <v>100</v>
      </c>
      <c r="R554" s="9">
        <f t="shared" si="9"/>
        <v>3.0485082891927346E-4</v>
      </c>
      <c r="S554" s="55">
        <f>Tabla3[[#This Row],[Subtotal]]/12</f>
        <v>1448052.75</v>
      </c>
    </row>
    <row r="555" spans="1:19" x14ac:dyDescent="0.2">
      <c r="A555" s="4">
        <v>1731</v>
      </c>
      <c r="B555" s="2">
        <v>17362764</v>
      </c>
      <c r="C555" s="2">
        <v>0</v>
      </c>
      <c r="D555" s="4" t="s">
        <v>1766</v>
      </c>
      <c r="E555" s="2">
        <v>17362764</v>
      </c>
      <c r="F555" s="2">
        <v>3298925.16</v>
      </c>
      <c r="G555" s="2">
        <v>0</v>
      </c>
      <c r="H555" s="4">
        <v>0</v>
      </c>
      <c r="I555" s="4">
        <v>0</v>
      </c>
      <c r="J555" s="4">
        <v>0</v>
      </c>
      <c r="K555" s="4">
        <v>20661689.16</v>
      </c>
      <c r="L555" s="4" t="s">
        <v>1764</v>
      </c>
      <c r="M555" s="4" t="s">
        <v>1765</v>
      </c>
      <c r="N555" s="4" t="s">
        <v>186</v>
      </c>
      <c r="O555" s="4" t="s">
        <v>59</v>
      </c>
      <c r="P555" s="4" t="s">
        <v>59</v>
      </c>
      <c r="Q555" s="8" t="s">
        <v>100</v>
      </c>
      <c r="R555" s="9">
        <f t="shared" si="9"/>
        <v>3.0460751503065759E-4</v>
      </c>
      <c r="S555" s="55">
        <f>Tabla3[[#This Row],[Subtotal]]/12</f>
        <v>1446897</v>
      </c>
    </row>
    <row r="556" spans="1:19" x14ac:dyDescent="0.2">
      <c r="A556" s="4">
        <v>1322</v>
      </c>
      <c r="B556" s="2">
        <v>17154663</v>
      </c>
      <c r="C556" s="2">
        <v>0</v>
      </c>
      <c r="D556" s="4" t="s">
        <v>1769</v>
      </c>
      <c r="E556" s="2">
        <v>17154663</v>
      </c>
      <c r="F556" s="2">
        <v>3259385.97</v>
      </c>
      <c r="G556" s="2">
        <v>0</v>
      </c>
      <c r="H556" s="4">
        <v>0</v>
      </c>
      <c r="I556" s="4">
        <v>0</v>
      </c>
      <c r="J556" s="4">
        <v>0</v>
      </c>
      <c r="K556" s="4">
        <v>20414048.969999999</v>
      </c>
      <c r="L556" s="4" t="s">
        <v>1767</v>
      </c>
      <c r="M556" s="4" t="s">
        <v>1768</v>
      </c>
      <c r="N556" s="4" t="s">
        <v>705</v>
      </c>
      <c r="O556" s="4" t="s">
        <v>59</v>
      </c>
      <c r="P556" s="4" t="s">
        <v>59</v>
      </c>
      <c r="Q556" s="8" t="s">
        <v>100</v>
      </c>
      <c r="R556" s="9">
        <f t="shared" si="9"/>
        <v>3.0095664881572804E-4</v>
      </c>
      <c r="S556" s="55">
        <f>Tabla3[[#This Row],[Subtotal]]/12</f>
        <v>1429555.25</v>
      </c>
    </row>
    <row r="557" spans="1:19" x14ac:dyDescent="0.2">
      <c r="A557" s="4">
        <v>683</v>
      </c>
      <c r="B557" s="2">
        <v>17125582</v>
      </c>
      <c r="C557" s="2">
        <v>0</v>
      </c>
      <c r="D557" s="4" t="s">
        <v>1772</v>
      </c>
      <c r="E557" s="2">
        <v>17125582</v>
      </c>
      <c r="F557" s="2">
        <v>3253860.58</v>
      </c>
      <c r="G557" s="2">
        <v>260238.96</v>
      </c>
      <c r="H557" s="4">
        <v>0</v>
      </c>
      <c r="I557" s="4">
        <v>0</v>
      </c>
      <c r="J557" s="4">
        <v>260238.96</v>
      </c>
      <c r="K557" s="4">
        <v>20119203.620000001</v>
      </c>
      <c r="L557" s="4" t="s">
        <v>1770</v>
      </c>
      <c r="M557" s="4" t="s">
        <v>1771</v>
      </c>
      <c r="N557" s="4" t="s">
        <v>20</v>
      </c>
      <c r="O557" s="4" t="s">
        <v>631</v>
      </c>
      <c r="P557" s="4" t="s">
        <v>631</v>
      </c>
      <c r="Q557" s="8" t="s">
        <v>100</v>
      </c>
      <c r="R557" s="9">
        <f t="shared" si="9"/>
        <v>3.0044645981905637E-4</v>
      </c>
      <c r="S557" s="55">
        <f>Tabla3[[#This Row],[Subtotal]]/12</f>
        <v>1427131.8333333333</v>
      </c>
    </row>
    <row r="558" spans="1:19" x14ac:dyDescent="0.2">
      <c r="A558" s="4">
        <v>1559</v>
      </c>
      <c r="B558" s="2">
        <v>17086544</v>
      </c>
      <c r="C558" s="2">
        <v>0</v>
      </c>
      <c r="D558" s="4" t="s">
        <v>1775</v>
      </c>
      <c r="E558" s="2">
        <v>17086544</v>
      </c>
      <c r="F558" s="2">
        <v>3246443.36</v>
      </c>
      <c r="G558" s="2">
        <v>0</v>
      </c>
      <c r="H558" s="4">
        <v>0</v>
      </c>
      <c r="I558" s="4">
        <v>0</v>
      </c>
      <c r="J558" s="4">
        <v>0</v>
      </c>
      <c r="K558" s="4">
        <v>20332987.359999999</v>
      </c>
      <c r="L558" s="4" t="s">
        <v>1773</v>
      </c>
      <c r="M558" s="4" t="s">
        <v>1774</v>
      </c>
      <c r="N558" s="4" t="s">
        <v>20</v>
      </c>
      <c r="O558" s="4" t="s">
        <v>1356</v>
      </c>
      <c r="P558" s="4" t="s">
        <v>1356</v>
      </c>
      <c r="Q558" s="8" t="s">
        <v>100</v>
      </c>
      <c r="R558" s="9">
        <f t="shared" si="9"/>
        <v>2.9976158797654522E-4</v>
      </c>
      <c r="S558" s="55">
        <f>Tabla3[[#This Row],[Subtotal]]/12</f>
        <v>1423878.6666666667</v>
      </c>
    </row>
    <row r="559" spans="1:19" x14ac:dyDescent="0.2">
      <c r="A559" s="4">
        <v>647</v>
      </c>
      <c r="B559" s="2">
        <v>16986456</v>
      </c>
      <c r="C559" s="2">
        <v>0</v>
      </c>
      <c r="D559" s="4" t="s">
        <v>1777</v>
      </c>
      <c r="E559" s="2">
        <v>16986456</v>
      </c>
      <c r="F559" s="2">
        <v>3227426.64</v>
      </c>
      <c r="G559" s="2">
        <v>228903.8</v>
      </c>
      <c r="H559" s="4">
        <v>0</v>
      </c>
      <c r="I559" s="4">
        <v>0</v>
      </c>
      <c r="J559" s="4">
        <v>228903.8</v>
      </c>
      <c r="K559" s="4">
        <v>19984978.84</v>
      </c>
      <c r="L559" s="4" t="s">
        <v>1776</v>
      </c>
      <c r="M559" s="4" t="s">
        <v>304</v>
      </c>
      <c r="N559" s="4" t="s">
        <v>867</v>
      </c>
      <c r="O559" s="4" t="s">
        <v>42</v>
      </c>
      <c r="P559" s="4" t="s">
        <v>42</v>
      </c>
      <c r="Q559" s="8" t="s">
        <v>28</v>
      </c>
      <c r="R559" s="9">
        <f t="shared" si="9"/>
        <v>2.9800567186984763E-4</v>
      </c>
      <c r="S559" s="55">
        <f>Tabla3[[#This Row],[Subtotal]]/12</f>
        <v>1415538</v>
      </c>
    </row>
    <row r="560" spans="1:19" x14ac:dyDescent="0.2">
      <c r="A560" s="4">
        <v>1220</v>
      </c>
      <c r="B560" s="2">
        <v>16937161</v>
      </c>
      <c r="C560" s="2">
        <v>0</v>
      </c>
      <c r="D560" s="4" t="s">
        <v>1779</v>
      </c>
      <c r="E560" s="2">
        <v>16937161</v>
      </c>
      <c r="F560" s="2">
        <v>3218060.59</v>
      </c>
      <c r="G560" s="2">
        <v>390060.66</v>
      </c>
      <c r="H560" s="4">
        <v>482709.09</v>
      </c>
      <c r="I560" s="4">
        <v>93614.55</v>
      </c>
      <c r="J560" s="4">
        <v>966384.3</v>
      </c>
      <c r="K560" s="4">
        <v>19188837.289999999</v>
      </c>
      <c r="L560" s="4" t="s">
        <v>1778</v>
      </c>
      <c r="M560" s="4" t="s">
        <v>1006</v>
      </c>
      <c r="N560" s="4" t="s">
        <v>83</v>
      </c>
      <c r="O560" s="4" t="s">
        <v>84</v>
      </c>
      <c r="P560" s="4" t="s">
        <v>84</v>
      </c>
      <c r="Q560" s="8" t="s">
        <v>28</v>
      </c>
      <c r="R560" s="9">
        <f t="shared" si="9"/>
        <v>2.971408540647196E-4</v>
      </c>
      <c r="S560" s="55">
        <f>Tabla3[[#This Row],[Subtotal]]/12</f>
        <v>1411430.0833333333</v>
      </c>
    </row>
    <row r="561" spans="1:19" x14ac:dyDescent="0.2">
      <c r="A561" s="4">
        <v>1367</v>
      </c>
      <c r="B561" s="2">
        <v>16889226</v>
      </c>
      <c r="C561" s="2">
        <v>0</v>
      </c>
      <c r="D561" s="4" t="s">
        <v>1782</v>
      </c>
      <c r="E561" s="2">
        <v>16889226</v>
      </c>
      <c r="F561" s="2">
        <v>3208952.94</v>
      </c>
      <c r="G561" s="2">
        <v>324091.2</v>
      </c>
      <c r="H561" s="4">
        <v>0</v>
      </c>
      <c r="I561" s="4">
        <v>0</v>
      </c>
      <c r="J561" s="4">
        <v>324091.2</v>
      </c>
      <c r="K561" s="4">
        <v>19774087.739999998</v>
      </c>
      <c r="L561" s="4" t="s">
        <v>1780</v>
      </c>
      <c r="M561" s="4" t="s">
        <v>1781</v>
      </c>
      <c r="N561" s="4" t="s">
        <v>1783</v>
      </c>
      <c r="O561" s="4" t="s">
        <v>89</v>
      </c>
      <c r="P561" s="4" t="s">
        <v>89</v>
      </c>
      <c r="Q561" s="8" t="s">
        <v>100</v>
      </c>
      <c r="R561" s="9">
        <f t="shared" si="9"/>
        <v>2.9629989572231547E-4</v>
      </c>
      <c r="S561" s="55">
        <f>Tabla3[[#This Row],[Subtotal]]/12</f>
        <v>1407435.5</v>
      </c>
    </row>
    <row r="562" spans="1:19" x14ac:dyDescent="0.2">
      <c r="A562" s="4">
        <v>515</v>
      </c>
      <c r="B562" s="2">
        <v>16833358</v>
      </c>
      <c r="C562" s="2">
        <v>0</v>
      </c>
      <c r="D562" s="4" t="s">
        <v>1786</v>
      </c>
      <c r="E562" s="2">
        <v>16833358</v>
      </c>
      <c r="F562" s="2">
        <v>3198338.02</v>
      </c>
      <c r="G562" s="2">
        <v>399342.74</v>
      </c>
      <c r="H562" s="4">
        <v>0</v>
      </c>
      <c r="I562" s="4">
        <v>0</v>
      </c>
      <c r="J562" s="4">
        <v>399342.74</v>
      </c>
      <c r="K562" s="4">
        <v>19632353.280000001</v>
      </c>
      <c r="L562" s="4" t="s">
        <v>1784</v>
      </c>
      <c r="M562" s="4" t="s">
        <v>1785</v>
      </c>
      <c r="N562" s="4" t="s">
        <v>127</v>
      </c>
      <c r="O562" s="4" t="s">
        <v>67</v>
      </c>
      <c r="P562" s="4" t="s">
        <v>67</v>
      </c>
      <c r="Q562" s="8" t="s">
        <v>28</v>
      </c>
      <c r="R562" s="9">
        <f t="shared" si="9"/>
        <v>2.9531976302859614E-4</v>
      </c>
      <c r="S562" s="55">
        <f>Tabla3[[#This Row],[Subtotal]]/12</f>
        <v>1402779.8333333333</v>
      </c>
    </row>
    <row r="563" spans="1:19" x14ac:dyDescent="0.2">
      <c r="A563" s="4">
        <v>8</v>
      </c>
      <c r="B563" s="2">
        <v>16704227</v>
      </c>
      <c r="C563" s="2">
        <v>0</v>
      </c>
      <c r="D563" s="4" t="s">
        <v>1789</v>
      </c>
      <c r="E563" s="2">
        <v>16704227</v>
      </c>
      <c r="F563" s="2">
        <v>3173803.13</v>
      </c>
      <c r="G563" s="2">
        <v>409885.38</v>
      </c>
      <c r="H563" s="4">
        <v>0</v>
      </c>
      <c r="I563" s="4">
        <v>0</v>
      </c>
      <c r="J563" s="4">
        <v>409885.38</v>
      </c>
      <c r="K563" s="4">
        <v>19468144.75</v>
      </c>
      <c r="L563" s="4" t="s">
        <v>1787</v>
      </c>
      <c r="M563" s="4" t="s">
        <v>1788</v>
      </c>
      <c r="N563" s="4" t="s">
        <v>1269</v>
      </c>
      <c r="O563" s="4" t="s">
        <v>105</v>
      </c>
      <c r="P563" s="4" t="s">
        <v>105</v>
      </c>
      <c r="Q563" s="8" t="s">
        <v>100</v>
      </c>
      <c r="R563" s="9">
        <f t="shared" si="9"/>
        <v>2.9305432458668539E-4</v>
      </c>
      <c r="S563" s="55">
        <f>Tabla3[[#This Row],[Subtotal]]/12</f>
        <v>1392018.9166666667</v>
      </c>
    </row>
    <row r="564" spans="1:19" x14ac:dyDescent="0.2">
      <c r="A564" s="4">
        <v>367</v>
      </c>
      <c r="B564" s="2">
        <v>16577418</v>
      </c>
      <c r="C564" s="2">
        <v>0</v>
      </c>
      <c r="D564" s="4" t="s">
        <v>1792</v>
      </c>
      <c r="E564" s="2">
        <v>16577418</v>
      </c>
      <c r="F564" s="2">
        <v>3149709.42</v>
      </c>
      <c r="G564" s="2">
        <v>414435.46</v>
      </c>
      <c r="H564" s="4">
        <v>265741.05</v>
      </c>
      <c r="I564" s="4">
        <v>0</v>
      </c>
      <c r="J564" s="4">
        <v>680176.51</v>
      </c>
      <c r="K564" s="4">
        <v>19046950.91</v>
      </c>
      <c r="L564" s="4" t="s">
        <v>1790</v>
      </c>
      <c r="M564" s="4" t="s">
        <v>1791</v>
      </c>
      <c r="N564" s="4" t="s">
        <v>88</v>
      </c>
      <c r="O564" s="4" t="s">
        <v>76</v>
      </c>
      <c r="P564" s="4" t="s">
        <v>76</v>
      </c>
      <c r="Q564" s="8" t="s">
        <v>408</v>
      </c>
      <c r="R564" s="9">
        <f t="shared" si="9"/>
        <v>2.9082962266863116E-4</v>
      </c>
      <c r="S564" s="55">
        <f>Tabla3[[#This Row],[Subtotal]]/12</f>
        <v>1381451.5</v>
      </c>
    </row>
    <row r="565" spans="1:19" x14ac:dyDescent="0.2">
      <c r="A565" s="4">
        <v>1210</v>
      </c>
      <c r="B565" s="2">
        <v>16570944</v>
      </c>
      <c r="C565" s="2">
        <v>0</v>
      </c>
      <c r="D565" s="4" t="s">
        <v>1795</v>
      </c>
      <c r="E565" s="2">
        <v>16570944</v>
      </c>
      <c r="F565" s="2">
        <v>3148479.36</v>
      </c>
      <c r="G565" s="2">
        <v>0</v>
      </c>
      <c r="H565" s="4">
        <v>0</v>
      </c>
      <c r="I565" s="4">
        <v>0</v>
      </c>
      <c r="J565" s="4">
        <v>0</v>
      </c>
      <c r="K565" s="4">
        <v>19719423.359999999</v>
      </c>
      <c r="L565" s="4" t="s">
        <v>1793</v>
      </c>
      <c r="M565" s="4" t="s">
        <v>1794</v>
      </c>
      <c r="N565" s="4" t="s">
        <v>20</v>
      </c>
      <c r="O565" s="4" t="s">
        <v>692</v>
      </c>
      <c r="P565" s="4" t="s">
        <v>692</v>
      </c>
      <c r="Q565" s="8" t="s">
        <v>100</v>
      </c>
      <c r="R565" s="9">
        <f t="shared" si="9"/>
        <v>2.9071604460857644E-4</v>
      </c>
      <c r="S565" s="55">
        <f>Tabla3[[#This Row],[Subtotal]]/12</f>
        <v>1380912</v>
      </c>
    </row>
    <row r="566" spans="1:19" x14ac:dyDescent="0.2">
      <c r="A566" s="4">
        <v>1595</v>
      </c>
      <c r="B566" s="2">
        <v>16566596</v>
      </c>
      <c r="C566" s="2">
        <v>0</v>
      </c>
      <c r="D566" s="4" t="s">
        <v>1798</v>
      </c>
      <c r="E566" s="2">
        <v>16566596</v>
      </c>
      <c r="F566" s="2">
        <v>3147653.24</v>
      </c>
      <c r="G566" s="2">
        <v>403692.96</v>
      </c>
      <c r="H566" s="4">
        <v>0</v>
      </c>
      <c r="I566" s="4">
        <v>0</v>
      </c>
      <c r="J566" s="4">
        <v>403692.96</v>
      </c>
      <c r="K566" s="4">
        <v>19310556.280000001</v>
      </c>
      <c r="L566" s="4" t="s">
        <v>1796</v>
      </c>
      <c r="M566" s="4" t="s">
        <v>1797</v>
      </c>
      <c r="N566" s="4" t="s">
        <v>1421</v>
      </c>
      <c r="O566" s="4" t="s">
        <v>340</v>
      </c>
      <c r="P566" s="4" t="s">
        <v>340</v>
      </c>
      <c r="Q566" s="8" t="s">
        <v>100</v>
      </c>
      <c r="R566" s="9">
        <f t="shared" si="9"/>
        <v>2.9063976450275036E-4</v>
      </c>
      <c r="S566" s="55">
        <f>Tabla3[[#This Row],[Subtotal]]/12</f>
        <v>1380549.6666666667</v>
      </c>
    </row>
    <row r="567" spans="1:19" x14ac:dyDescent="0.2">
      <c r="A567" s="4">
        <v>2</v>
      </c>
      <c r="B567" s="2">
        <v>16457378</v>
      </c>
      <c r="C567" s="2">
        <v>0</v>
      </c>
      <c r="D567" s="4" t="s">
        <v>1801</v>
      </c>
      <c r="E567" s="2">
        <v>16457378</v>
      </c>
      <c r="F567" s="2">
        <v>3126901.82</v>
      </c>
      <c r="G567" s="2">
        <v>343907.8</v>
      </c>
      <c r="H567" s="4">
        <v>86996.479999999996</v>
      </c>
      <c r="I567" s="4">
        <v>0</v>
      </c>
      <c r="J567" s="4">
        <v>430904.28</v>
      </c>
      <c r="K567" s="4">
        <v>19153375.539999999</v>
      </c>
      <c r="L567" s="4" t="s">
        <v>1799</v>
      </c>
      <c r="M567" s="4" t="s">
        <v>1800</v>
      </c>
      <c r="N567" s="4" t="s">
        <v>20</v>
      </c>
      <c r="O567" s="4" t="s">
        <v>76</v>
      </c>
      <c r="P567" s="4" t="s">
        <v>76</v>
      </c>
      <c r="Q567" s="8" t="s">
        <v>1378</v>
      </c>
      <c r="R567" s="9">
        <f t="shared" si="9"/>
        <v>2.8872367420879611E-4</v>
      </c>
      <c r="S567" s="55">
        <f>Tabla3[[#This Row],[Subtotal]]/12</f>
        <v>1371448.1666666667</v>
      </c>
    </row>
    <row r="568" spans="1:19" x14ac:dyDescent="0.2">
      <c r="A568" s="4">
        <v>829</v>
      </c>
      <c r="B568" s="2">
        <v>16451683</v>
      </c>
      <c r="C568" s="2">
        <v>0</v>
      </c>
      <c r="D568" s="4" t="s">
        <v>1804</v>
      </c>
      <c r="E568" s="2">
        <v>16451683</v>
      </c>
      <c r="F568" s="2">
        <v>3125819.77</v>
      </c>
      <c r="G568" s="2">
        <v>256939.84</v>
      </c>
      <c r="H568" s="4">
        <v>0</v>
      </c>
      <c r="I568" s="4">
        <v>0</v>
      </c>
      <c r="J568" s="4">
        <v>256939.84</v>
      </c>
      <c r="K568" s="4">
        <v>19320562.93</v>
      </c>
      <c r="L568" s="4" t="s">
        <v>1802</v>
      </c>
      <c r="M568" s="4" t="s">
        <v>1803</v>
      </c>
      <c r="N568" s="4" t="s">
        <v>1553</v>
      </c>
      <c r="O568" s="4" t="s">
        <v>747</v>
      </c>
      <c r="P568" s="4" t="s">
        <v>747</v>
      </c>
      <c r="Q568" s="8" t="s">
        <v>100</v>
      </c>
      <c r="R568" s="9">
        <f t="shared" si="9"/>
        <v>2.8862376270863979E-4</v>
      </c>
      <c r="S568" s="55">
        <f>Tabla3[[#This Row],[Subtotal]]/12</f>
        <v>1370973.5833333333</v>
      </c>
    </row>
    <row r="569" spans="1:19" x14ac:dyDescent="0.2">
      <c r="A569" s="4">
        <v>948</v>
      </c>
      <c r="B569" s="2">
        <v>16450613</v>
      </c>
      <c r="C569" s="2">
        <v>0</v>
      </c>
      <c r="D569" s="4" t="s">
        <v>1807</v>
      </c>
      <c r="E569" s="2">
        <v>16450613</v>
      </c>
      <c r="F569" s="2">
        <v>3125616.47</v>
      </c>
      <c r="G569" s="2">
        <v>336164.45</v>
      </c>
      <c r="H569" s="4">
        <v>0</v>
      </c>
      <c r="I569" s="4">
        <v>0</v>
      </c>
      <c r="J569" s="4">
        <v>336164.45</v>
      </c>
      <c r="K569" s="4">
        <v>19240065.02</v>
      </c>
      <c r="L569" s="4" t="s">
        <v>1805</v>
      </c>
      <c r="M569" s="4" t="s">
        <v>1806</v>
      </c>
      <c r="N569" s="4" t="s">
        <v>1421</v>
      </c>
      <c r="O569" s="4" t="s">
        <v>76</v>
      </c>
      <c r="P569" s="4" t="s">
        <v>76</v>
      </c>
      <c r="Q569" s="8" t="s">
        <v>1378</v>
      </c>
      <c r="R569" s="9">
        <f t="shared" si="9"/>
        <v>2.8860499092546731E-4</v>
      </c>
      <c r="S569" s="55">
        <f>Tabla3[[#This Row],[Subtotal]]/12</f>
        <v>1370884.4166666667</v>
      </c>
    </row>
    <row r="570" spans="1:19" x14ac:dyDescent="0.2">
      <c r="A570" s="4">
        <v>1155</v>
      </c>
      <c r="B570" s="2">
        <v>16427848</v>
      </c>
      <c r="C570" s="2">
        <v>0</v>
      </c>
      <c r="D570" s="4" t="s">
        <v>1810</v>
      </c>
      <c r="E570" s="2">
        <v>16427848</v>
      </c>
      <c r="F570" s="2">
        <v>3121291.12</v>
      </c>
      <c r="G570" s="2">
        <v>0</v>
      </c>
      <c r="H570" s="4">
        <v>0</v>
      </c>
      <c r="I570" s="4">
        <v>0</v>
      </c>
      <c r="J570" s="4">
        <v>0</v>
      </c>
      <c r="K570" s="4">
        <v>19549139.120000001</v>
      </c>
      <c r="L570" s="4" t="s">
        <v>1808</v>
      </c>
      <c r="M570" s="4" t="s">
        <v>1809</v>
      </c>
      <c r="N570" s="4" t="s">
        <v>20</v>
      </c>
      <c r="O570" s="4" t="s">
        <v>692</v>
      </c>
      <c r="P570" s="4" t="s">
        <v>692</v>
      </c>
      <c r="Q570" s="8" t="s">
        <v>100</v>
      </c>
      <c r="R570" s="9">
        <f t="shared" si="9"/>
        <v>2.8820560808068106E-4</v>
      </c>
      <c r="S570" s="55">
        <f>Tabla3[[#This Row],[Subtotal]]/12</f>
        <v>1368987.3333333333</v>
      </c>
    </row>
    <row r="571" spans="1:19" x14ac:dyDescent="0.2">
      <c r="A571" s="4">
        <v>770</v>
      </c>
      <c r="B571" s="2">
        <v>16304278</v>
      </c>
      <c r="C571" s="2">
        <v>0</v>
      </c>
      <c r="D571" s="4" t="s">
        <v>1813</v>
      </c>
      <c r="E571" s="2">
        <v>16304278</v>
      </c>
      <c r="F571" s="2">
        <v>3097812.82</v>
      </c>
      <c r="G571" s="2">
        <v>0</v>
      </c>
      <c r="H571" s="4">
        <v>0</v>
      </c>
      <c r="I571" s="4">
        <v>0</v>
      </c>
      <c r="J571" s="4">
        <v>0</v>
      </c>
      <c r="K571" s="4">
        <v>19402090.82</v>
      </c>
      <c r="L571" s="4" t="s">
        <v>1811</v>
      </c>
      <c r="M571" s="4" t="s">
        <v>1812</v>
      </c>
      <c r="N571" s="4" t="s">
        <v>20</v>
      </c>
      <c r="O571" s="4" t="s">
        <v>372</v>
      </c>
      <c r="P571" s="4" t="s">
        <v>372</v>
      </c>
      <c r="Q571" s="8" t="s">
        <v>100</v>
      </c>
      <c r="R571" s="9">
        <f t="shared" si="9"/>
        <v>2.8603773028009941E-4</v>
      </c>
      <c r="S571" s="55">
        <f>Tabla3[[#This Row],[Subtotal]]/12</f>
        <v>1358689.8333333333</v>
      </c>
    </row>
    <row r="572" spans="1:19" x14ac:dyDescent="0.2">
      <c r="A572" s="4">
        <v>1311</v>
      </c>
      <c r="B572" s="2">
        <v>16282544</v>
      </c>
      <c r="C572" s="2">
        <v>0</v>
      </c>
      <c r="D572" s="4" t="s">
        <v>1816</v>
      </c>
      <c r="E572" s="2">
        <v>16282544</v>
      </c>
      <c r="F572" s="2">
        <v>3093683.36</v>
      </c>
      <c r="G572" s="2">
        <v>0</v>
      </c>
      <c r="H572" s="4">
        <v>0</v>
      </c>
      <c r="I572" s="4">
        <v>0</v>
      </c>
      <c r="J572" s="4">
        <v>0</v>
      </c>
      <c r="K572" s="4">
        <v>19376227.359999999</v>
      </c>
      <c r="L572" s="4" t="s">
        <v>1814</v>
      </c>
      <c r="M572" s="4" t="s">
        <v>1815</v>
      </c>
      <c r="N572" s="4" t="s">
        <v>186</v>
      </c>
      <c r="O572" s="4" t="s">
        <v>59</v>
      </c>
      <c r="P572" s="4" t="s">
        <v>59</v>
      </c>
      <c r="Q572" s="8" t="s">
        <v>100</v>
      </c>
      <c r="R572" s="9">
        <f t="shared" si="9"/>
        <v>2.8565643501330453E-4</v>
      </c>
      <c r="S572" s="55">
        <f>Tabla3[[#This Row],[Subtotal]]/12</f>
        <v>1356878.6666666667</v>
      </c>
    </row>
    <row r="573" spans="1:19" x14ac:dyDescent="0.2">
      <c r="A573" s="4">
        <v>791</v>
      </c>
      <c r="B573" s="2">
        <v>16271623</v>
      </c>
      <c r="C573" s="2">
        <v>0</v>
      </c>
      <c r="D573" s="4" t="s">
        <v>1819</v>
      </c>
      <c r="E573" s="2">
        <v>16271623</v>
      </c>
      <c r="F573" s="2">
        <v>3091608.37</v>
      </c>
      <c r="G573" s="2">
        <v>0</v>
      </c>
      <c r="H573" s="4">
        <v>0</v>
      </c>
      <c r="I573" s="4">
        <v>0</v>
      </c>
      <c r="J573" s="4">
        <v>0</v>
      </c>
      <c r="K573" s="4">
        <v>19363231.370000001</v>
      </c>
      <c r="L573" s="4" t="s">
        <v>1817</v>
      </c>
      <c r="M573" s="4" t="s">
        <v>1818</v>
      </c>
      <c r="N573" s="4" t="s">
        <v>1553</v>
      </c>
      <c r="O573" s="4" t="s">
        <v>747</v>
      </c>
      <c r="P573" s="4" t="s">
        <v>747</v>
      </c>
      <c r="Q573" s="8" t="s">
        <v>100</v>
      </c>
      <c r="R573" s="9">
        <f t="shared" si="9"/>
        <v>2.8546484001888716E-4</v>
      </c>
      <c r="S573" s="55">
        <f>Tabla3[[#This Row],[Subtotal]]/12</f>
        <v>1355968.5833333333</v>
      </c>
    </row>
    <row r="574" spans="1:19" x14ac:dyDescent="0.2">
      <c r="A574" s="4">
        <v>411</v>
      </c>
      <c r="B574" s="2">
        <v>16229443</v>
      </c>
      <c r="C574" s="2">
        <v>0</v>
      </c>
      <c r="D574" s="4" t="s">
        <v>1822</v>
      </c>
      <c r="E574" s="2">
        <v>16229443</v>
      </c>
      <c r="F574" s="2">
        <v>3083594.17</v>
      </c>
      <c r="G574" s="2">
        <v>0</v>
      </c>
      <c r="H574" s="4">
        <v>0</v>
      </c>
      <c r="I574" s="4">
        <v>0</v>
      </c>
      <c r="J574" s="4">
        <v>0</v>
      </c>
      <c r="K574" s="4">
        <v>19313037.170000002</v>
      </c>
      <c r="L574" s="4" t="s">
        <v>1820</v>
      </c>
      <c r="M574" s="4" t="s">
        <v>1821</v>
      </c>
      <c r="N574" s="4" t="s">
        <v>20</v>
      </c>
      <c r="O574" s="4" t="s">
        <v>372</v>
      </c>
      <c r="P574" s="4" t="s">
        <v>372</v>
      </c>
      <c r="Q574" s="8" t="s">
        <v>100</v>
      </c>
      <c r="R574" s="9">
        <f t="shared" si="9"/>
        <v>2.8472484579999475E-4</v>
      </c>
      <c r="S574" s="55">
        <f>Tabla3[[#This Row],[Subtotal]]/12</f>
        <v>1352453.5833333333</v>
      </c>
    </row>
    <row r="575" spans="1:19" x14ac:dyDescent="0.2">
      <c r="A575" s="4">
        <v>26</v>
      </c>
      <c r="B575" s="2">
        <v>16191503</v>
      </c>
      <c r="C575" s="2">
        <v>0</v>
      </c>
      <c r="D575" s="4" t="s">
        <v>1824</v>
      </c>
      <c r="E575" s="2">
        <v>16191503</v>
      </c>
      <c r="F575" s="2">
        <v>3076385.57</v>
      </c>
      <c r="G575" s="2">
        <v>404787.58</v>
      </c>
      <c r="H575" s="4">
        <v>461457.85</v>
      </c>
      <c r="I575" s="4">
        <v>0</v>
      </c>
      <c r="J575" s="4">
        <v>866245.43</v>
      </c>
      <c r="K575" s="4">
        <v>18401643.140000001</v>
      </c>
      <c r="L575" s="4" t="s">
        <v>1823</v>
      </c>
      <c r="M575" s="4" t="s">
        <v>146</v>
      </c>
      <c r="N575" s="4" t="s">
        <v>32</v>
      </c>
      <c r="O575" s="4" t="s">
        <v>33</v>
      </c>
      <c r="P575" s="4" t="s">
        <v>33</v>
      </c>
      <c r="Q575" s="8" t="s">
        <v>28</v>
      </c>
      <c r="R575" s="9">
        <f t="shared" si="9"/>
        <v>2.840592369648886E-4</v>
      </c>
      <c r="S575" s="55">
        <f>Tabla3[[#This Row],[Subtotal]]/12</f>
        <v>1349291.9166666667</v>
      </c>
    </row>
    <row r="576" spans="1:19" x14ac:dyDescent="0.2">
      <c r="A576" s="4">
        <v>1189</v>
      </c>
      <c r="B576" s="2">
        <v>16111402</v>
      </c>
      <c r="C576" s="2">
        <v>0</v>
      </c>
      <c r="D576" s="4" t="s">
        <v>1827</v>
      </c>
      <c r="E576" s="2">
        <v>16111402</v>
      </c>
      <c r="F576" s="2">
        <v>3061166.38</v>
      </c>
      <c r="G576" s="2">
        <v>0</v>
      </c>
      <c r="H576" s="4">
        <v>0</v>
      </c>
      <c r="I576" s="4">
        <v>0</v>
      </c>
      <c r="J576" s="4">
        <v>0</v>
      </c>
      <c r="K576" s="4">
        <v>19172568.379999999</v>
      </c>
      <c r="L576" s="4" t="s">
        <v>1825</v>
      </c>
      <c r="M576" s="4" t="s">
        <v>1826</v>
      </c>
      <c r="N576" s="4" t="s">
        <v>20</v>
      </c>
      <c r="O576" s="4" t="s">
        <v>257</v>
      </c>
      <c r="P576" s="4" t="s">
        <v>1039</v>
      </c>
      <c r="Q576" s="8" t="s">
        <v>100</v>
      </c>
      <c r="R576" s="9">
        <f t="shared" si="9"/>
        <v>2.8265396724161927E-4</v>
      </c>
      <c r="S576" s="55">
        <f>Tabla3[[#This Row],[Subtotal]]/12</f>
        <v>1342616.8333333333</v>
      </c>
    </row>
    <row r="577" spans="1:19" x14ac:dyDescent="0.2">
      <c r="A577" s="4">
        <v>937</v>
      </c>
      <c r="B577" s="2">
        <v>16026229</v>
      </c>
      <c r="C577" s="2">
        <v>0</v>
      </c>
      <c r="D577" s="4" t="s">
        <v>1830</v>
      </c>
      <c r="E577" s="2">
        <v>16026229</v>
      </c>
      <c r="F577" s="2">
        <v>3044983.51</v>
      </c>
      <c r="G577" s="2">
        <v>0</v>
      </c>
      <c r="H577" s="4">
        <v>0</v>
      </c>
      <c r="I577" s="4">
        <v>0</v>
      </c>
      <c r="J577" s="4">
        <v>0</v>
      </c>
      <c r="K577" s="4">
        <v>19071212.510000002</v>
      </c>
      <c r="L577" s="4" t="s">
        <v>1828</v>
      </c>
      <c r="M577" s="4" t="s">
        <v>1829</v>
      </c>
      <c r="N577" s="4" t="s">
        <v>1831</v>
      </c>
      <c r="O577" s="4" t="s">
        <v>33</v>
      </c>
      <c r="P577" s="4" t="s">
        <v>33</v>
      </c>
      <c r="Q577" s="8" t="s">
        <v>100</v>
      </c>
      <c r="R577" s="9">
        <f t="shared" si="9"/>
        <v>2.8115971575736794E-4</v>
      </c>
      <c r="S577" s="55">
        <f>Tabla3[[#This Row],[Subtotal]]/12</f>
        <v>1335519.0833333333</v>
      </c>
    </row>
    <row r="578" spans="1:19" x14ac:dyDescent="0.2">
      <c r="A578" s="4">
        <v>1354</v>
      </c>
      <c r="B578" s="2">
        <v>16023472</v>
      </c>
      <c r="C578" s="2">
        <v>0</v>
      </c>
      <c r="D578" s="4" t="s">
        <v>1834</v>
      </c>
      <c r="E578" s="2">
        <v>16023472</v>
      </c>
      <c r="F578" s="2">
        <v>3044459.68</v>
      </c>
      <c r="G578" s="2">
        <v>0</v>
      </c>
      <c r="H578" s="4">
        <v>0</v>
      </c>
      <c r="I578" s="4">
        <v>0</v>
      </c>
      <c r="J578" s="4">
        <v>0</v>
      </c>
      <c r="K578" s="4">
        <v>19067931.68</v>
      </c>
      <c r="L578" s="4" t="s">
        <v>1832</v>
      </c>
      <c r="M578" s="4" t="s">
        <v>1833</v>
      </c>
      <c r="N578" s="4" t="s">
        <v>58</v>
      </c>
      <c r="O578" s="4" t="s">
        <v>59</v>
      </c>
      <c r="P578" s="4" t="s">
        <v>59</v>
      </c>
      <c r="Q578" s="8" t="s">
        <v>100</v>
      </c>
      <c r="R578" s="9">
        <f t="shared" si="9"/>
        <v>2.8111134771418428E-4</v>
      </c>
      <c r="S578" s="55">
        <f>Tabla3[[#This Row],[Subtotal]]/12</f>
        <v>1335289.3333333333</v>
      </c>
    </row>
    <row r="579" spans="1:19" x14ac:dyDescent="0.2">
      <c r="A579" s="4">
        <v>1652</v>
      </c>
      <c r="B579" s="2">
        <v>15984990</v>
      </c>
      <c r="C579" s="2">
        <v>0</v>
      </c>
      <c r="D579" s="4" t="s">
        <v>1837</v>
      </c>
      <c r="E579" s="2">
        <v>15984990</v>
      </c>
      <c r="F579" s="2">
        <v>3037148.1</v>
      </c>
      <c r="G579" s="2">
        <v>0</v>
      </c>
      <c r="H579" s="4">
        <v>0</v>
      </c>
      <c r="I579" s="4">
        <v>0</v>
      </c>
      <c r="J579" s="4">
        <v>0</v>
      </c>
      <c r="K579" s="4">
        <v>19022138.100000001</v>
      </c>
      <c r="L579" s="4" t="s">
        <v>1835</v>
      </c>
      <c r="M579" s="4" t="s">
        <v>1836</v>
      </c>
      <c r="N579" s="4" t="s">
        <v>368</v>
      </c>
      <c r="O579" s="4" t="s">
        <v>76</v>
      </c>
      <c r="P579" s="4" t="s">
        <v>76</v>
      </c>
      <c r="Q579" s="8" t="s">
        <v>585</v>
      </c>
      <c r="R579" s="9">
        <f t="shared" ref="R579:R642" si="10">E579/$E$1757</f>
        <v>2.8043623018143371E-4</v>
      </c>
      <c r="S579" s="55">
        <f>Tabla3[[#This Row],[Subtotal]]/12</f>
        <v>1332082.5</v>
      </c>
    </row>
    <row r="580" spans="1:19" x14ac:dyDescent="0.2">
      <c r="A580" s="4">
        <v>510</v>
      </c>
      <c r="B580" s="2">
        <v>16267555</v>
      </c>
      <c r="C580" s="2">
        <v>301187.52</v>
      </c>
      <c r="D580" s="4" t="s">
        <v>1840</v>
      </c>
      <c r="E580" s="2">
        <v>15966367.48</v>
      </c>
      <c r="F580" s="2">
        <v>3033609.82</v>
      </c>
      <c r="G580" s="2">
        <v>351279.25</v>
      </c>
      <c r="H580" s="4">
        <v>0</v>
      </c>
      <c r="I580" s="4">
        <v>0</v>
      </c>
      <c r="J580" s="4">
        <v>351279.25</v>
      </c>
      <c r="K580" s="4">
        <v>18648698.050000001</v>
      </c>
      <c r="L580" s="4" t="s">
        <v>1838</v>
      </c>
      <c r="M580" s="4" t="s">
        <v>1839</v>
      </c>
      <c r="N580" s="4" t="s">
        <v>20</v>
      </c>
      <c r="O580" s="4" t="s">
        <v>71</v>
      </c>
      <c r="P580" s="4" t="s">
        <v>71</v>
      </c>
      <c r="Q580" s="8" t="s">
        <v>100</v>
      </c>
      <c r="R580" s="9">
        <f t="shared" si="10"/>
        <v>2.801095218566066E-4</v>
      </c>
      <c r="S580" s="55">
        <f>Tabla3[[#This Row],[Subtotal]]/12</f>
        <v>1330530.6233333333</v>
      </c>
    </row>
    <row r="581" spans="1:19" x14ac:dyDescent="0.2">
      <c r="A581" s="4">
        <v>68</v>
      </c>
      <c r="B581" s="2">
        <v>15952166</v>
      </c>
      <c r="C581" s="2">
        <v>0</v>
      </c>
      <c r="D581" s="4" t="s">
        <v>1843</v>
      </c>
      <c r="E581" s="2">
        <v>15952166</v>
      </c>
      <c r="F581" s="2">
        <v>3030911.54</v>
      </c>
      <c r="G581" s="2">
        <v>0</v>
      </c>
      <c r="H581" s="4">
        <v>0</v>
      </c>
      <c r="I581" s="4">
        <v>0</v>
      </c>
      <c r="J581" s="4">
        <v>0</v>
      </c>
      <c r="K581" s="4">
        <v>18983077.539999999</v>
      </c>
      <c r="L581" s="4" t="s">
        <v>1841</v>
      </c>
      <c r="M581" s="4" t="s">
        <v>1842</v>
      </c>
      <c r="N581" s="4" t="s">
        <v>112</v>
      </c>
      <c r="O581" s="4" t="s">
        <v>113</v>
      </c>
      <c r="P581" s="4" t="s">
        <v>113</v>
      </c>
      <c r="Q581" s="8" t="s">
        <v>100</v>
      </c>
      <c r="R581" s="9">
        <f t="shared" si="10"/>
        <v>2.7986037503110361E-4</v>
      </c>
      <c r="S581" s="55">
        <f>Tabla3[[#This Row],[Subtotal]]/12</f>
        <v>1329347.1666666667</v>
      </c>
    </row>
    <row r="582" spans="1:19" x14ac:dyDescent="0.2">
      <c r="A582" s="4">
        <v>821</v>
      </c>
      <c r="B582" s="2">
        <v>15815579</v>
      </c>
      <c r="C582" s="2">
        <v>0</v>
      </c>
      <c r="D582" s="4" t="s">
        <v>1846</v>
      </c>
      <c r="E582" s="2">
        <v>15815579</v>
      </c>
      <c r="F582" s="2">
        <v>3004960.01</v>
      </c>
      <c r="G582" s="2">
        <v>395389.49</v>
      </c>
      <c r="H582" s="4">
        <v>0</v>
      </c>
      <c r="I582" s="4">
        <v>0</v>
      </c>
      <c r="J582" s="4">
        <v>395389.49</v>
      </c>
      <c r="K582" s="4">
        <v>18425149.52</v>
      </c>
      <c r="L582" s="4" t="s">
        <v>1844</v>
      </c>
      <c r="M582" s="4" t="s">
        <v>1845</v>
      </c>
      <c r="N582" s="4" t="s">
        <v>293</v>
      </c>
      <c r="O582" s="4" t="s">
        <v>229</v>
      </c>
      <c r="P582" s="4" t="s">
        <v>229</v>
      </c>
      <c r="Q582" s="8" t="s">
        <v>100</v>
      </c>
      <c r="R582" s="9">
        <f t="shared" si="10"/>
        <v>2.7746413059355366E-4</v>
      </c>
      <c r="S582" s="55">
        <f>Tabla3[[#This Row],[Subtotal]]/12</f>
        <v>1317964.9166666667</v>
      </c>
    </row>
    <row r="583" spans="1:19" x14ac:dyDescent="0.2">
      <c r="A583" s="4">
        <v>866</v>
      </c>
      <c r="B583" s="2">
        <v>15771714</v>
      </c>
      <c r="C583" s="2">
        <v>0</v>
      </c>
      <c r="D583" s="4" t="s">
        <v>1849</v>
      </c>
      <c r="E583" s="2">
        <v>15771714</v>
      </c>
      <c r="F583" s="2">
        <v>2996625.66</v>
      </c>
      <c r="G583" s="2">
        <v>158913.24</v>
      </c>
      <c r="H583" s="4">
        <v>0</v>
      </c>
      <c r="I583" s="4">
        <v>0</v>
      </c>
      <c r="J583" s="4">
        <v>158913.24</v>
      </c>
      <c r="K583" s="4">
        <v>18609426.420000002</v>
      </c>
      <c r="L583" s="4" t="s">
        <v>1847</v>
      </c>
      <c r="M583" s="4" t="s">
        <v>1848</v>
      </c>
      <c r="N583" s="4" t="s">
        <v>20</v>
      </c>
      <c r="O583" s="4" t="s">
        <v>316</v>
      </c>
      <c r="P583" s="4" t="s">
        <v>316</v>
      </c>
      <c r="Q583" s="8" t="s">
        <v>100</v>
      </c>
      <c r="R583" s="9">
        <f t="shared" si="10"/>
        <v>2.7669457520209528E-4</v>
      </c>
      <c r="S583" s="55">
        <f>Tabla3[[#This Row],[Subtotal]]/12</f>
        <v>1314309.5</v>
      </c>
    </row>
    <row r="584" spans="1:19" x14ac:dyDescent="0.2">
      <c r="A584" s="4">
        <v>1565</v>
      </c>
      <c r="B584" s="2">
        <v>15788772</v>
      </c>
      <c r="C584" s="2">
        <v>96639.360000000001</v>
      </c>
      <c r="D584" s="4" t="s">
        <v>1852</v>
      </c>
      <c r="E584" s="2">
        <v>15692132.640000001</v>
      </c>
      <c r="F584" s="2">
        <v>2981505.2</v>
      </c>
      <c r="G584" s="2">
        <v>392303.32</v>
      </c>
      <c r="H584" s="4">
        <v>0</v>
      </c>
      <c r="I584" s="4">
        <v>0</v>
      </c>
      <c r="J584" s="4">
        <v>392303.32</v>
      </c>
      <c r="K584" s="4">
        <v>18281334.52</v>
      </c>
      <c r="L584" s="4" t="s">
        <v>1850</v>
      </c>
      <c r="M584" s="4" t="s">
        <v>1851</v>
      </c>
      <c r="N584" s="4" t="s">
        <v>1853</v>
      </c>
      <c r="O584" s="4" t="s">
        <v>386</v>
      </c>
      <c r="P584" s="4" t="s">
        <v>386</v>
      </c>
      <c r="Q584" s="8" t="s">
        <v>1378</v>
      </c>
      <c r="R584" s="9">
        <f t="shared" si="10"/>
        <v>2.7529842189883319E-4</v>
      </c>
      <c r="S584" s="55">
        <f>Tabla3[[#This Row],[Subtotal]]/12</f>
        <v>1307677.72</v>
      </c>
    </row>
    <row r="585" spans="1:19" x14ac:dyDescent="0.2">
      <c r="A585" s="4">
        <v>272</v>
      </c>
      <c r="B585" s="2">
        <v>15690053</v>
      </c>
      <c r="C585" s="2">
        <v>0</v>
      </c>
      <c r="D585" s="4" t="s">
        <v>1856</v>
      </c>
      <c r="E585" s="2">
        <v>15690053</v>
      </c>
      <c r="F585" s="2">
        <v>2981110.07</v>
      </c>
      <c r="G585" s="2">
        <v>145913.32</v>
      </c>
      <c r="H585" s="4">
        <v>0</v>
      </c>
      <c r="I585" s="4">
        <v>0</v>
      </c>
      <c r="J585" s="4">
        <v>145913.32</v>
      </c>
      <c r="K585" s="4">
        <v>18525249.75</v>
      </c>
      <c r="L585" s="4" t="s">
        <v>1854</v>
      </c>
      <c r="M585" s="4" t="s">
        <v>1855</v>
      </c>
      <c r="N585" s="4" t="s">
        <v>20</v>
      </c>
      <c r="O585" s="4" t="s">
        <v>1356</v>
      </c>
      <c r="P585" s="4" t="s">
        <v>1356</v>
      </c>
      <c r="Q585" s="8" t="s">
        <v>100</v>
      </c>
      <c r="R585" s="9">
        <f t="shared" si="10"/>
        <v>2.7526193727158381E-4</v>
      </c>
      <c r="S585" s="55">
        <f>Tabla3[[#This Row],[Subtotal]]/12</f>
        <v>1307504.4166666667</v>
      </c>
    </row>
    <row r="586" spans="1:19" x14ac:dyDescent="0.2">
      <c r="A586" s="4">
        <v>1242</v>
      </c>
      <c r="B586" s="2">
        <v>15683133</v>
      </c>
      <c r="C586" s="2">
        <v>0</v>
      </c>
      <c r="D586" s="4" t="s">
        <v>1859</v>
      </c>
      <c r="E586" s="2">
        <v>15683133</v>
      </c>
      <c r="F586" s="2">
        <v>2979795.27</v>
      </c>
      <c r="G586" s="2">
        <v>392078.33</v>
      </c>
      <c r="H586" s="4">
        <v>0</v>
      </c>
      <c r="I586" s="4">
        <v>0</v>
      </c>
      <c r="J586" s="4">
        <v>392078.33</v>
      </c>
      <c r="K586" s="4">
        <v>18270849.940000001</v>
      </c>
      <c r="L586" s="4" t="s">
        <v>1857</v>
      </c>
      <c r="M586" s="4" t="s">
        <v>1858</v>
      </c>
      <c r="N586" s="4" t="s">
        <v>200</v>
      </c>
      <c r="O586" s="4" t="s">
        <v>201</v>
      </c>
      <c r="P586" s="4" t="s">
        <v>201</v>
      </c>
      <c r="Q586" s="8" t="s">
        <v>100</v>
      </c>
      <c r="R586" s="9">
        <f t="shared" si="10"/>
        <v>2.7514053471125346E-4</v>
      </c>
      <c r="S586" s="55">
        <f>Tabla3[[#This Row],[Subtotal]]/12</f>
        <v>1306927.75</v>
      </c>
    </row>
    <row r="587" spans="1:19" x14ac:dyDescent="0.2">
      <c r="A587" s="4">
        <v>603</v>
      </c>
      <c r="B587" s="2">
        <v>15677478</v>
      </c>
      <c r="C587" s="2">
        <v>0</v>
      </c>
      <c r="D587" s="4" t="s">
        <v>1862</v>
      </c>
      <c r="E587" s="2">
        <v>15677478</v>
      </c>
      <c r="F587" s="2">
        <v>2978720.82</v>
      </c>
      <c r="G587" s="2">
        <v>376693.63</v>
      </c>
      <c r="H587" s="4">
        <v>0</v>
      </c>
      <c r="I587" s="4">
        <v>0</v>
      </c>
      <c r="J587" s="4">
        <v>376693.63</v>
      </c>
      <c r="K587" s="4">
        <v>18279505.190000001</v>
      </c>
      <c r="L587" s="4" t="s">
        <v>1860</v>
      </c>
      <c r="M587" s="4" t="s">
        <v>1861</v>
      </c>
      <c r="N587" s="4" t="s">
        <v>88</v>
      </c>
      <c r="O587" s="4" t="s">
        <v>89</v>
      </c>
      <c r="P587" s="4" t="s">
        <v>89</v>
      </c>
      <c r="Q587" s="8" t="s">
        <v>100</v>
      </c>
      <c r="R587" s="9">
        <f t="shared" si="10"/>
        <v>2.7504132496000081E-4</v>
      </c>
      <c r="S587" s="55">
        <f>Tabla3[[#This Row],[Subtotal]]/12</f>
        <v>1306456.5</v>
      </c>
    </row>
    <row r="588" spans="1:19" x14ac:dyDescent="0.2">
      <c r="A588" s="4">
        <v>288</v>
      </c>
      <c r="B588" s="2">
        <v>15663123</v>
      </c>
      <c r="C588" s="2">
        <v>0</v>
      </c>
      <c r="D588" s="4" t="s">
        <v>1865</v>
      </c>
      <c r="E588" s="2">
        <v>15663123</v>
      </c>
      <c r="F588" s="2">
        <v>2975993.37</v>
      </c>
      <c r="G588" s="2">
        <v>0</v>
      </c>
      <c r="H588" s="4">
        <v>0</v>
      </c>
      <c r="I588" s="4">
        <v>0</v>
      </c>
      <c r="J588" s="4">
        <v>0</v>
      </c>
      <c r="K588" s="4">
        <v>18639116.370000001</v>
      </c>
      <c r="L588" s="4" t="s">
        <v>1863</v>
      </c>
      <c r="M588" s="4" t="s">
        <v>1864</v>
      </c>
      <c r="N588" s="4" t="s">
        <v>186</v>
      </c>
      <c r="O588" s="4" t="s">
        <v>59</v>
      </c>
      <c r="P588" s="4" t="s">
        <v>59</v>
      </c>
      <c r="Q588" s="8" t="s">
        <v>100</v>
      </c>
      <c r="R588" s="9">
        <f t="shared" si="10"/>
        <v>2.7478948482220566E-4</v>
      </c>
      <c r="S588" s="55">
        <f>Tabla3[[#This Row],[Subtotal]]/12</f>
        <v>1305260.25</v>
      </c>
    </row>
    <row r="589" spans="1:19" x14ac:dyDescent="0.2">
      <c r="A589" s="4">
        <v>508</v>
      </c>
      <c r="B589" s="2">
        <v>15554389</v>
      </c>
      <c r="C589" s="2">
        <v>0</v>
      </c>
      <c r="D589" s="4" t="s">
        <v>1868</v>
      </c>
      <c r="E589" s="2">
        <v>15554389</v>
      </c>
      <c r="F589" s="2">
        <v>2955333.91</v>
      </c>
      <c r="G589" s="2">
        <v>344512.04</v>
      </c>
      <c r="H589" s="4">
        <v>0</v>
      </c>
      <c r="I589" s="4">
        <v>0</v>
      </c>
      <c r="J589" s="4">
        <v>344512.04</v>
      </c>
      <c r="K589" s="4">
        <v>18165210.870000001</v>
      </c>
      <c r="L589" s="4" t="s">
        <v>1866</v>
      </c>
      <c r="M589" s="4" t="s">
        <v>1867</v>
      </c>
      <c r="N589" s="4" t="s">
        <v>20</v>
      </c>
      <c r="O589" s="4" t="s">
        <v>71</v>
      </c>
      <c r="P589" s="4" t="s">
        <v>71</v>
      </c>
      <c r="Q589" s="8" t="s">
        <v>100</v>
      </c>
      <c r="R589" s="9">
        <f t="shared" si="10"/>
        <v>2.7288188568998548E-4</v>
      </c>
      <c r="S589" s="55">
        <f>Tabla3[[#This Row],[Subtotal]]/12</f>
        <v>1296199.0833333333</v>
      </c>
    </row>
    <row r="590" spans="1:19" x14ac:dyDescent="0.2">
      <c r="A590" s="4">
        <v>1716</v>
      </c>
      <c r="B590" s="2">
        <v>15505508</v>
      </c>
      <c r="C590" s="2">
        <v>0</v>
      </c>
      <c r="D590" s="4" t="s">
        <v>1871</v>
      </c>
      <c r="E590" s="2">
        <v>15505508</v>
      </c>
      <c r="F590" s="2">
        <v>2946046.52</v>
      </c>
      <c r="G590" s="2">
        <v>0</v>
      </c>
      <c r="H590" s="4">
        <v>0</v>
      </c>
      <c r="I590" s="4">
        <v>0</v>
      </c>
      <c r="J590" s="4">
        <v>0</v>
      </c>
      <c r="K590" s="4">
        <v>18451554.52</v>
      </c>
      <c r="L590" s="4" t="s">
        <v>1869</v>
      </c>
      <c r="M590" s="4" t="s">
        <v>1870</v>
      </c>
      <c r="N590" s="4" t="s">
        <v>20</v>
      </c>
      <c r="O590" s="4" t="s">
        <v>1549</v>
      </c>
      <c r="P590" s="4" t="s">
        <v>1549</v>
      </c>
      <c r="Q590" s="8" t="s">
        <v>100</v>
      </c>
      <c r="R590" s="9">
        <f t="shared" si="10"/>
        <v>2.7202433098601013E-4</v>
      </c>
      <c r="S590" s="55">
        <f>Tabla3[[#This Row],[Subtotal]]/12</f>
        <v>1292125.6666666667</v>
      </c>
    </row>
    <row r="591" spans="1:19" x14ac:dyDescent="0.2">
      <c r="A591" s="4">
        <v>1149</v>
      </c>
      <c r="B591" s="2">
        <v>15492304</v>
      </c>
      <c r="C591" s="2">
        <v>0</v>
      </c>
      <c r="D591" s="4" t="s">
        <v>1874</v>
      </c>
      <c r="E591" s="2">
        <v>15492304</v>
      </c>
      <c r="F591" s="2">
        <v>2943537.76</v>
      </c>
      <c r="G591" s="2">
        <v>0</v>
      </c>
      <c r="H591" s="4">
        <v>0</v>
      </c>
      <c r="I591" s="4">
        <v>0</v>
      </c>
      <c r="J591" s="4">
        <v>0</v>
      </c>
      <c r="K591" s="4">
        <v>18435841.760000002</v>
      </c>
      <c r="L591" s="4" t="s">
        <v>1872</v>
      </c>
      <c r="M591" s="4" t="s">
        <v>1873</v>
      </c>
      <c r="N591" s="4" t="s">
        <v>20</v>
      </c>
      <c r="O591" s="4" t="s">
        <v>540</v>
      </c>
      <c r="P591" s="4" t="s">
        <v>540</v>
      </c>
      <c r="Q591" s="8" t="s">
        <v>100</v>
      </c>
      <c r="R591" s="9">
        <f t="shared" si="10"/>
        <v>2.717926836729173E-4</v>
      </c>
      <c r="S591" s="55">
        <f>Tabla3[[#This Row],[Subtotal]]/12</f>
        <v>1291025.3333333333</v>
      </c>
    </row>
    <row r="592" spans="1:19" x14ac:dyDescent="0.2">
      <c r="A592" s="4">
        <v>536</v>
      </c>
      <c r="B592" s="2">
        <v>15441030</v>
      </c>
      <c r="C592" s="2">
        <v>0</v>
      </c>
      <c r="D592" s="4" t="s">
        <v>1877</v>
      </c>
      <c r="E592" s="2">
        <v>15441030</v>
      </c>
      <c r="F592" s="2">
        <v>2933795.7</v>
      </c>
      <c r="G592" s="2">
        <v>0</v>
      </c>
      <c r="H592" s="4">
        <v>0</v>
      </c>
      <c r="I592" s="4">
        <v>0</v>
      </c>
      <c r="J592" s="4">
        <v>0</v>
      </c>
      <c r="K592" s="4">
        <v>18374825.699999999</v>
      </c>
      <c r="L592" s="4" t="s">
        <v>1875</v>
      </c>
      <c r="M592" s="4" t="s">
        <v>1876</v>
      </c>
      <c r="N592" s="4" t="s">
        <v>1878</v>
      </c>
      <c r="O592" s="4" t="s">
        <v>382</v>
      </c>
      <c r="P592" s="4" t="s">
        <v>382</v>
      </c>
      <c r="Q592" s="8" t="s">
        <v>100</v>
      </c>
      <c r="R592" s="9">
        <f t="shared" si="10"/>
        <v>2.7089314684078147E-4</v>
      </c>
      <c r="S592" s="55">
        <f>Tabla3[[#This Row],[Subtotal]]/12</f>
        <v>1286752.5</v>
      </c>
    </row>
    <row r="593" spans="1:19" x14ac:dyDescent="0.2">
      <c r="A593" s="4">
        <v>121</v>
      </c>
      <c r="B593" s="2">
        <v>15855857</v>
      </c>
      <c r="C593" s="2">
        <v>433903.48</v>
      </c>
      <c r="D593" s="4" t="s">
        <v>1881</v>
      </c>
      <c r="E593" s="2">
        <v>15421953.52</v>
      </c>
      <c r="F593" s="2">
        <v>2930171.17</v>
      </c>
      <c r="G593" s="2">
        <v>0</v>
      </c>
      <c r="H593" s="4">
        <v>0</v>
      </c>
      <c r="I593" s="4">
        <v>0</v>
      </c>
      <c r="J593" s="4">
        <v>0</v>
      </c>
      <c r="K593" s="4">
        <v>18352124.690000001</v>
      </c>
      <c r="L593" s="4" t="s">
        <v>1879</v>
      </c>
      <c r="M593" s="4" t="s">
        <v>1880</v>
      </c>
      <c r="N593" s="4" t="s">
        <v>117</v>
      </c>
      <c r="O593" s="4" t="s">
        <v>93</v>
      </c>
      <c r="P593" s="4" t="s">
        <v>93</v>
      </c>
      <c r="Q593" s="8" t="s">
        <v>100</v>
      </c>
      <c r="R593" s="9">
        <f t="shared" si="10"/>
        <v>2.705584743676469E-4</v>
      </c>
      <c r="S593" s="55">
        <f>Tabla3[[#This Row],[Subtotal]]/12</f>
        <v>1285162.7933333332</v>
      </c>
    </row>
    <row r="594" spans="1:19" x14ac:dyDescent="0.2">
      <c r="A594" s="4">
        <v>964</v>
      </c>
      <c r="B594" s="2">
        <v>15337694</v>
      </c>
      <c r="C594" s="2">
        <v>0</v>
      </c>
      <c r="D594" s="4" t="s">
        <v>1884</v>
      </c>
      <c r="E594" s="2">
        <v>15337694</v>
      </c>
      <c r="F594" s="2">
        <v>2914161.86</v>
      </c>
      <c r="G594" s="2">
        <v>383442.36</v>
      </c>
      <c r="H594" s="4">
        <v>0</v>
      </c>
      <c r="I594" s="4">
        <v>0</v>
      </c>
      <c r="J594" s="4">
        <v>383442.36</v>
      </c>
      <c r="K594" s="4">
        <v>17868413.5</v>
      </c>
      <c r="L594" s="4" t="s">
        <v>1882</v>
      </c>
      <c r="M594" s="4" t="s">
        <v>1883</v>
      </c>
      <c r="N594" s="4" t="s">
        <v>245</v>
      </c>
      <c r="O594" s="4" t="s">
        <v>237</v>
      </c>
      <c r="P594" s="4" t="s">
        <v>237</v>
      </c>
      <c r="Q594" s="8" t="s">
        <v>28</v>
      </c>
      <c r="R594" s="9">
        <f t="shared" si="10"/>
        <v>2.6908024872310807E-4</v>
      </c>
      <c r="S594" s="55">
        <f>Tabla3[[#This Row],[Subtotal]]/12</f>
        <v>1278141.1666666667</v>
      </c>
    </row>
    <row r="595" spans="1:19" x14ac:dyDescent="0.2">
      <c r="A595" s="4">
        <v>49</v>
      </c>
      <c r="B595" s="2">
        <v>15331279</v>
      </c>
      <c r="C595" s="2">
        <v>0</v>
      </c>
      <c r="D595" s="4" t="s">
        <v>1887</v>
      </c>
      <c r="E595" s="2">
        <v>15331279</v>
      </c>
      <c r="F595" s="2">
        <v>2912943.01</v>
      </c>
      <c r="G595" s="2">
        <v>219528.38</v>
      </c>
      <c r="H595" s="4">
        <v>0</v>
      </c>
      <c r="I595" s="4">
        <v>0</v>
      </c>
      <c r="J595" s="4">
        <v>219528.38</v>
      </c>
      <c r="K595" s="4">
        <v>18024693.629999999</v>
      </c>
      <c r="L595" s="4" t="s">
        <v>1885</v>
      </c>
      <c r="M595" s="4" t="s">
        <v>1886</v>
      </c>
      <c r="N595" s="4" t="s">
        <v>20</v>
      </c>
      <c r="O595" s="4" t="s">
        <v>540</v>
      </c>
      <c r="P595" s="4" t="s">
        <v>540</v>
      </c>
      <c r="Q595" s="8" t="s">
        <v>100</v>
      </c>
      <c r="R595" s="9">
        <f t="shared" si="10"/>
        <v>2.6896770574268619E-4</v>
      </c>
      <c r="S595" s="55">
        <f>Tabla3[[#This Row],[Subtotal]]/12</f>
        <v>1277606.5833333333</v>
      </c>
    </row>
    <row r="596" spans="1:19" x14ac:dyDescent="0.2">
      <c r="A596" s="4">
        <v>735</v>
      </c>
      <c r="B596" s="2">
        <v>15323749.060000001</v>
      </c>
      <c r="C596" s="2">
        <v>0</v>
      </c>
      <c r="D596" s="4" t="s">
        <v>1890</v>
      </c>
      <c r="E596" s="2">
        <v>15323749.060000001</v>
      </c>
      <c r="F596" s="2">
        <v>2911512.32</v>
      </c>
      <c r="G596" s="2">
        <v>0</v>
      </c>
      <c r="H596" s="4">
        <v>0</v>
      </c>
      <c r="I596" s="4">
        <v>0</v>
      </c>
      <c r="J596" s="4">
        <v>0</v>
      </c>
      <c r="K596" s="4">
        <v>18235261.379999999</v>
      </c>
      <c r="L596" s="4" t="s">
        <v>1888</v>
      </c>
      <c r="M596" s="4" t="s">
        <v>1889</v>
      </c>
      <c r="N596" s="4" t="s">
        <v>63</v>
      </c>
      <c r="O596" s="4" t="s">
        <v>1891</v>
      </c>
      <c r="P596" s="4" t="s">
        <v>1891</v>
      </c>
      <c r="Q596" s="8" t="s">
        <v>144</v>
      </c>
      <c r="R596" s="9">
        <f t="shared" si="10"/>
        <v>2.6883560256419861E-4</v>
      </c>
      <c r="S596" s="55">
        <f>Tabla3[[#This Row],[Subtotal]]/12</f>
        <v>1276979.0883333334</v>
      </c>
    </row>
    <row r="597" spans="1:19" x14ac:dyDescent="0.2">
      <c r="A597" s="4">
        <v>1426</v>
      </c>
      <c r="B597" s="2">
        <v>15557683</v>
      </c>
      <c r="C597" s="2">
        <v>314294.01</v>
      </c>
      <c r="D597" s="4" t="s">
        <v>1894</v>
      </c>
      <c r="E597" s="2">
        <v>15243388.99</v>
      </c>
      <c r="F597" s="2">
        <v>2896243.92</v>
      </c>
      <c r="G597" s="2">
        <v>0</v>
      </c>
      <c r="H597" s="4">
        <v>0</v>
      </c>
      <c r="I597" s="4">
        <v>0</v>
      </c>
      <c r="J597" s="4">
        <v>0</v>
      </c>
      <c r="K597" s="4">
        <v>18139632.91</v>
      </c>
      <c r="L597" s="4" t="s">
        <v>1892</v>
      </c>
      <c r="M597" s="4" t="s">
        <v>1893</v>
      </c>
      <c r="N597" s="4" t="s">
        <v>1418</v>
      </c>
      <c r="O597" s="4" t="s">
        <v>173</v>
      </c>
      <c r="P597" s="4" t="s">
        <v>173</v>
      </c>
      <c r="Q597" s="8" t="s">
        <v>100</v>
      </c>
      <c r="R597" s="9">
        <f t="shared" si="10"/>
        <v>2.6742578778871757E-4</v>
      </c>
      <c r="S597" s="55">
        <f>Tabla3[[#This Row],[Subtotal]]/12</f>
        <v>1270282.4158333333</v>
      </c>
    </row>
    <row r="598" spans="1:19" x14ac:dyDescent="0.2">
      <c r="A598" s="4">
        <v>1236</v>
      </c>
      <c r="B598" s="2">
        <v>15240412</v>
      </c>
      <c r="C598" s="2">
        <v>0</v>
      </c>
      <c r="D598" s="4" t="s">
        <v>1897</v>
      </c>
      <c r="E598" s="2">
        <v>15240412</v>
      </c>
      <c r="F598" s="2">
        <v>2895678.28</v>
      </c>
      <c r="G598" s="2">
        <v>0</v>
      </c>
      <c r="H598" s="4">
        <v>0</v>
      </c>
      <c r="I598" s="4">
        <v>0</v>
      </c>
      <c r="J598" s="4">
        <v>0</v>
      </c>
      <c r="K598" s="4">
        <v>18136090.280000001</v>
      </c>
      <c r="L598" s="4" t="s">
        <v>1895</v>
      </c>
      <c r="M598" s="4" t="s">
        <v>1896</v>
      </c>
      <c r="N598" s="4" t="s">
        <v>186</v>
      </c>
      <c r="O598" s="4" t="s">
        <v>59</v>
      </c>
      <c r="P598" s="4" t="s">
        <v>59</v>
      </c>
      <c r="Q598" s="8" t="s">
        <v>100</v>
      </c>
      <c r="R598" s="9">
        <f t="shared" si="10"/>
        <v>2.6737356030200114E-4</v>
      </c>
      <c r="S598" s="55">
        <f>Tabla3[[#This Row],[Subtotal]]/12</f>
        <v>1270034.3333333333</v>
      </c>
    </row>
    <row r="599" spans="1:19" x14ac:dyDescent="0.2">
      <c r="A599" s="4">
        <v>545</v>
      </c>
      <c r="B599" s="2">
        <v>15199874</v>
      </c>
      <c r="C599" s="2">
        <v>0</v>
      </c>
      <c r="D599" s="4" t="s">
        <v>1900</v>
      </c>
      <c r="E599" s="2">
        <v>15199874</v>
      </c>
      <c r="F599" s="2">
        <v>2887976.06</v>
      </c>
      <c r="G599" s="2">
        <v>379996.85</v>
      </c>
      <c r="H599" s="4">
        <v>0</v>
      </c>
      <c r="I599" s="4">
        <v>0</v>
      </c>
      <c r="J599" s="4">
        <v>379996.85</v>
      </c>
      <c r="K599" s="4">
        <v>17707853.210000001</v>
      </c>
      <c r="L599" s="4" t="s">
        <v>1898</v>
      </c>
      <c r="M599" s="4" t="s">
        <v>1899</v>
      </c>
      <c r="N599" s="4" t="s">
        <v>20</v>
      </c>
      <c r="O599" s="4" t="s">
        <v>386</v>
      </c>
      <c r="P599" s="4" t="s">
        <v>386</v>
      </c>
      <c r="Q599" s="8" t="s">
        <v>408</v>
      </c>
      <c r="R599" s="9">
        <f t="shared" si="10"/>
        <v>2.6666237287560331E-4</v>
      </c>
      <c r="S599" s="55">
        <f>Tabla3[[#This Row],[Subtotal]]/12</f>
        <v>1266656.1666666667</v>
      </c>
    </row>
    <row r="600" spans="1:19" x14ac:dyDescent="0.2">
      <c r="A600" s="4">
        <v>427</v>
      </c>
      <c r="B600" s="2">
        <v>15245085</v>
      </c>
      <c r="C600" s="2">
        <v>64488.51</v>
      </c>
      <c r="D600" s="4" t="s">
        <v>1903</v>
      </c>
      <c r="E600" s="2">
        <v>15180596.49</v>
      </c>
      <c r="F600" s="2">
        <v>2884313.33</v>
      </c>
      <c r="G600" s="2">
        <v>236313.83</v>
      </c>
      <c r="H600" s="4">
        <v>0</v>
      </c>
      <c r="I600" s="4">
        <v>0</v>
      </c>
      <c r="J600" s="4">
        <v>236313.83</v>
      </c>
      <c r="K600" s="4">
        <v>17828595.989999998</v>
      </c>
      <c r="L600" s="4" t="s">
        <v>1901</v>
      </c>
      <c r="M600" s="4" t="s">
        <v>1902</v>
      </c>
      <c r="N600" s="4" t="s">
        <v>20</v>
      </c>
      <c r="O600" s="4" t="s">
        <v>316</v>
      </c>
      <c r="P600" s="4" t="s">
        <v>316</v>
      </c>
      <c r="Q600" s="8" t="s">
        <v>100</v>
      </c>
      <c r="R600" s="9">
        <f t="shared" si="10"/>
        <v>2.6632417358791625E-4</v>
      </c>
      <c r="S600" s="55">
        <f>Tabla3[[#This Row],[Subtotal]]/12</f>
        <v>1265049.7075</v>
      </c>
    </row>
    <row r="601" spans="1:19" x14ac:dyDescent="0.2">
      <c r="A601" s="4">
        <v>581</v>
      </c>
      <c r="B601" s="2">
        <v>15137195</v>
      </c>
      <c r="C601" s="2">
        <v>0</v>
      </c>
      <c r="D601" s="4" t="s">
        <v>1906</v>
      </c>
      <c r="E601" s="2">
        <v>15137195</v>
      </c>
      <c r="F601" s="2">
        <v>2876067.05</v>
      </c>
      <c r="G601" s="2">
        <v>378429.88</v>
      </c>
      <c r="H601" s="4">
        <v>0</v>
      </c>
      <c r="I601" s="4">
        <v>0</v>
      </c>
      <c r="J601" s="4">
        <v>378429.88</v>
      </c>
      <c r="K601" s="4">
        <v>17634832.170000002</v>
      </c>
      <c r="L601" s="4" t="s">
        <v>1904</v>
      </c>
      <c r="M601" s="4" t="s">
        <v>1905</v>
      </c>
      <c r="N601" s="4" t="s">
        <v>20</v>
      </c>
      <c r="O601" s="4" t="s">
        <v>1043</v>
      </c>
      <c r="P601" s="4" t="s">
        <v>1043</v>
      </c>
      <c r="Q601" s="8" t="s">
        <v>100</v>
      </c>
      <c r="R601" s="9">
        <f t="shared" si="10"/>
        <v>2.6556274988731604E-4</v>
      </c>
      <c r="S601" s="55">
        <f>Tabla3[[#This Row],[Subtotal]]/12</f>
        <v>1261432.9166666667</v>
      </c>
    </row>
    <row r="602" spans="1:19" x14ac:dyDescent="0.2">
      <c r="A602" s="4">
        <v>1222</v>
      </c>
      <c r="B602" s="2">
        <v>15095099</v>
      </c>
      <c r="C602" s="2">
        <v>0</v>
      </c>
      <c r="D602" s="4" t="s">
        <v>1908</v>
      </c>
      <c r="E602" s="2">
        <v>15095099</v>
      </c>
      <c r="F602" s="2">
        <v>2868068.81</v>
      </c>
      <c r="G602" s="2">
        <v>377377.48</v>
      </c>
      <c r="H602" s="4">
        <v>430210.32</v>
      </c>
      <c r="I602" s="4">
        <v>86603.15</v>
      </c>
      <c r="J602" s="4">
        <v>894190.95</v>
      </c>
      <c r="K602" s="4">
        <v>17068976.859999999</v>
      </c>
      <c r="L602" s="4" t="s">
        <v>1907</v>
      </c>
      <c r="M602" s="4" t="s">
        <v>1006</v>
      </c>
      <c r="N602" s="4" t="s">
        <v>221</v>
      </c>
      <c r="O602" s="4" t="s">
        <v>33</v>
      </c>
      <c r="P602" s="4" t="s">
        <v>33</v>
      </c>
      <c r="Q602" s="8" t="s">
        <v>28</v>
      </c>
      <c r="R602" s="9">
        <f t="shared" si="10"/>
        <v>2.6482422934112127E-4</v>
      </c>
      <c r="S602" s="55">
        <f>Tabla3[[#This Row],[Subtotal]]/12</f>
        <v>1257924.9166666667</v>
      </c>
    </row>
    <row r="603" spans="1:19" x14ac:dyDescent="0.2">
      <c r="A603" s="4">
        <v>992</v>
      </c>
      <c r="B603" s="2">
        <v>15091566</v>
      </c>
      <c r="C603" s="2">
        <v>0</v>
      </c>
      <c r="D603" s="4" t="s">
        <v>1911</v>
      </c>
      <c r="E603" s="2">
        <v>15091566</v>
      </c>
      <c r="F603" s="2">
        <v>2867397.54</v>
      </c>
      <c r="G603" s="2">
        <v>377289.18</v>
      </c>
      <c r="H603" s="4">
        <v>0</v>
      </c>
      <c r="I603" s="4">
        <v>0</v>
      </c>
      <c r="J603" s="4">
        <v>377289.18</v>
      </c>
      <c r="K603" s="4">
        <v>17581674.359999999</v>
      </c>
      <c r="L603" s="4" t="s">
        <v>1909</v>
      </c>
      <c r="M603" s="4" t="s">
        <v>1910</v>
      </c>
      <c r="N603" s="4" t="s">
        <v>20</v>
      </c>
      <c r="O603" s="4" t="s">
        <v>1043</v>
      </c>
      <c r="P603" s="4" t="s">
        <v>1043</v>
      </c>
      <c r="Q603" s="8" t="s">
        <v>100</v>
      </c>
      <c r="R603" s="9">
        <f t="shared" si="10"/>
        <v>2.6476224736920692E-4</v>
      </c>
      <c r="S603" s="55">
        <f>Tabla3[[#This Row],[Subtotal]]/12</f>
        <v>1257630.5</v>
      </c>
    </row>
    <row r="604" spans="1:19" x14ac:dyDescent="0.2">
      <c r="A604" s="4">
        <v>1377</v>
      </c>
      <c r="B604" s="2">
        <v>15090764</v>
      </c>
      <c r="C604" s="2">
        <v>0</v>
      </c>
      <c r="D604" s="4" t="s">
        <v>1914</v>
      </c>
      <c r="E604" s="2">
        <v>15090764</v>
      </c>
      <c r="F604" s="2">
        <v>2867245.16</v>
      </c>
      <c r="G604" s="2">
        <v>293420.46000000002</v>
      </c>
      <c r="H604" s="4">
        <v>0</v>
      </c>
      <c r="I604" s="4">
        <v>0</v>
      </c>
      <c r="J604" s="4">
        <v>293420.46000000002</v>
      </c>
      <c r="K604" s="4">
        <v>17664588.699999999</v>
      </c>
      <c r="L604" s="4" t="s">
        <v>1912</v>
      </c>
      <c r="M604" s="4" t="s">
        <v>1913</v>
      </c>
      <c r="N604" s="4" t="s">
        <v>32</v>
      </c>
      <c r="O604" s="4" t="s">
        <v>33</v>
      </c>
      <c r="P604" s="4" t="s">
        <v>33</v>
      </c>
      <c r="Q604" s="8" t="s">
        <v>100</v>
      </c>
      <c r="R604" s="9">
        <f t="shared" si="10"/>
        <v>2.6474817730368885E-4</v>
      </c>
      <c r="S604" s="55">
        <f>Tabla3[[#This Row],[Subtotal]]/12</f>
        <v>1257563.6666666667</v>
      </c>
    </row>
    <row r="605" spans="1:19" x14ac:dyDescent="0.2">
      <c r="A605" s="4">
        <v>1639</v>
      </c>
      <c r="B605" s="2">
        <v>15058153</v>
      </c>
      <c r="C605" s="2">
        <v>0</v>
      </c>
      <c r="D605" s="4" t="s">
        <v>1917</v>
      </c>
      <c r="E605" s="2">
        <v>15058153</v>
      </c>
      <c r="F605" s="2">
        <v>2861049.07</v>
      </c>
      <c r="G605" s="2">
        <v>0</v>
      </c>
      <c r="H605" s="4">
        <v>0</v>
      </c>
      <c r="I605" s="4">
        <v>0</v>
      </c>
      <c r="J605" s="4">
        <v>0</v>
      </c>
      <c r="K605" s="4">
        <v>17919202.07</v>
      </c>
      <c r="L605" s="4" t="s">
        <v>1915</v>
      </c>
      <c r="M605" s="4" t="s">
        <v>1916</v>
      </c>
      <c r="N605" s="4" t="s">
        <v>20</v>
      </c>
      <c r="O605" s="4" t="s">
        <v>257</v>
      </c>
      <c r="P605" s="4" t="s">
        <v>257</v>
      </c>
      <c r="Q605" s="8" t="s">
        <v>100</v>
      </c>
      <c r="R605" s="9">
        <f t="shared" si="10"/>
        <v>2.6417605896627064E-4</v>
      </c>
      <c r="S605" s="55">
        <f>Tabla3[[#This Row],[Subtotal]]/12</f>
        <v>1254846.0833333333</v>
      </c>
    </row>
    <row r="606" spans="1:19" x14ac:dyDescent="0.2">
      <c r="A606" s="4">
        <v>1034</v>
      </c>
      <c r="B606" s="2">
        <v>15035120</v>
      </c>
      <c r="C606" s="2">
        <v>0</v>
      </c>
      <c r="D606" s="4" t="s">
        <v>1919</v>
      </c>
      <c r="E606" s="2">
        <v>15035120</v>
      </c>
      <c r="F606" s="2">
        <v>2856672.8</v>
      </c>
      <c r="G606" s="2">
        <v>307235.90000000002</v>
      </c>
      <c r="H606" s="4">
        <v>406750.85</v>
      </c>
      <c r="I606" s="4">
        <v>73736.61</v>
      </c>
      <c r="J606" s="4">
        <v>787723.36</v>
      </c>
      <c r="K606" s="4">
        <v>17104069.440000001</v>
      </c>
      <c r="L606" s="4" t="s">
        <v>1918</v>
      </c>
      <c r="M606" s="4" t="s">
        <v>178</v>
      </c>
      <c r="N606" s="4" t="s">
        <v>20</v>
      </c>
      <c r="O606" s="4" t="s">
        <v>71</v>
      </c>
      <c r="P606" s="4" t="s">
        <v>71</v>
      </c>
      <c r="Q606" s="8" t="s">
        <v>28</v>
      </c>
      <c r="R606" s="9">
        <f t="shared" si="10"/>
        <v>2.6377197440382997E-4</v>
      </c>
      <c r="S606" s="55">
        <f>Tabla3[[#This Row],[Subtotal]]/12</f>
        <v>1252926.6666666667</v>
      </c>
    </row>
    <row r="607" spans="1:19" x14ac:dyDescent="0.2">
      <c r="A607" s="4">
        <v>1059</v>
      </c>
      <c r="B607" s="2">
        <v>14984352</v>
      </c>
      <c r="C607" s="2">
        <v>0</v>
      </c>
      <c r="D607" s="4" t="s">
        <v>1922</v>
      </c>
      <c r="E607" s="2">
        <v>14984352</v>
      </c>
      <c r="F607" s="2">
        <v>2847026.88</v>
      </c>
      <c r="G607" s="2">
        <v>0</v>
      </c>
      <c r="H607" s="4">
        <v>0</v>
      </c>
      <c r="I607" s="4">
        <v>0</v>
      </c>
      <c r="J607" s="4">
        <v>0</v>
      </c>
      <c r="K607" s="4">
        <v>17831378.879999999</v>
      </c>
      <c r="L607" s="4" t="s">
        <v>1920</v>
      </c>
      <c r="M607" s="4" t="s">
        <v>1921</v>
      </c>
      <c r="N607" s="4" t="s">
        <v>186</v>
      </c>
      <c r="O607" s="4" t="s">
        <v>59</v>
      </c>
      <c r="P607" s="4" t="s">
        <v>59</v>
      </c>
      <c r="Q607" s="8" t="s">
        <v>100</v>
      </c>
      <c r="R607" s="9">
        <f t="shared" si="10"/>
        <v>2.6288131469532521E-4</v>
      </c>
      <c r="S607" s="55">
        <f>Tabla3[[#This Row],[Subtotal]]/12</f>
        <v>1248696</v>
      </c>
    </row>
    <row r="608" spans="1:19" x14ac:dyDescent="0.2">
      <c r="A608" s="4">
        <v>1058</v>
      </c>
      <c r="B608" s="2">
        <v>14929835</v>
      </c>
      <c r="C608" s="2">
        <v>0</v>
      </c>
      <c r="D608" s="4" t="s">
        <v>1924</v>
      </c>
      <c r="E608" s="2">
        <v>14929835</v>
      </c>
      <c r="F608" s="2">
        <v>2836668.65</v>
      </c>
      <c r="G608" s="2">
        <v>362964.08</v>
      </c>
      <c r="H608" s="4">
        <v>0</v>
      </c>
      <c r="I608" s="4">
        <v>0</v>
      </c>
      <c r="J608" s="4">
        <v>362964.08</v>
      </c>
      <c r="K608" s="4">
        <v>17403539.57</v>
      </c>
      <c r="L608" s="4" t="s">
        <v>1923</v>
      </c>
      <c r="M608" s="4" t="s">
        <v>723</v>
      </c>
      <c r="N608" s="4" t="s">
        <v>427</v>
      </c>
      <c r="O608" s="4" t="s">
        <v>89</v>
      </c>
      <c r="P608" s="4" t="s">
        <v>89</v>
      </c>
      <c r="Q608" s="8" t="s">
        <v>100</v>
      </c>
      <c r="R608" s="9">
        <f t="shared" si="10"/>
        <v>2.619248835708265E-4</v>
      </c>
      <c r="S608" s="55">
        <f>Tabla3[[#This Row],[Subtotal]]/12</f>
        <v>1244152.9166666667</v>
      </c>
    </row>
    <row r="609" spans="1:19" x14ac:dyDescent="0.2">
      <c r="A609" s="4">
        <v>391</v>
      </c>
      <c r="B609" s="2">
        <v>14918479</v>
      </c>
      <c r="C609" s="2">
        <v>0</v>
      </c>
      <c r="D609" s="4" t="s">
        <v>1926</v>
      </c>
      <c r="E609" s="2">
        <v>14918479</v>
      </c>
      <c r="F609" s="2">
        <v>2834511.01</v>
      </c>
      <c r="G609" s="2">
        <v>372961.97</v>
      </c>
      <c r="H609" s="4">
        <v>425176.66</v>
      </c>
      <c r="I609" s="4">
        <v>0</v>
      </c>
      <c r="J609" s="4">
        <v>798138.63</v>
      </c>
      <c r="K609" s="4">
        <v>16954851.379999999</v>
      </c>
      <c r="L609" s="4" t="s">
        <v>1925</v>
      </c>
      <c r="M609" s="4" t="s">
        <v>137</v>
      </c>
      <c r="N609" s="4" t="s">
        <v>58</v>
      </c>
      <c r="O609" s="4" t="s">
        <v>59</v>
      </c>
      <c r="P609" s="4" t="s">
        <v>59</v>
      </c>
      <c r="Q609" s="8" t="s">
        <v>22</v>
      </c>
      <c r="R609" s="9">
        <f t="shared" si="10"/>
        <v>2.6172565705708201E-4</v>
      </c>
      <c r="S609" s="55">
        <f>Tabla3[[#This Row],[Subtotal]]/12</f>
        <v>1243206.5833333333</v>
      </c>
    </row>
    <row r="610" spans="1:19" x14ac:dyDescent="0.2">
      <c r="A610" s="4">
        <v>38</v>
      </c>
      <c r="B610" s="2">
        <v>14893717</v>
      </c>
      <c r="C610" s="2">
        <v>0</v>
      </c>
      <c r="D610" s="4" t="s">
        <v>1928</v>
      </c>
      <c r="E610" s="2">
        <v>14893717</v>
      </c>
      <c r="F610" s="2">
        <v>2829806.23</v>
      </c>
      <c r="G610" s="2">
        <v>372342.93</v>
      </c>
      <c r="H610" s="4">
        <v>424470.93</v>
      </c>
      <c r="I610" s="4">
        <v>0</v>
      </c>
      <c r="J610" s="4">
        <v>796813.86</v>
      </c>
      <c r="K610" s="4">
        <v>16926709.370000001</v>
      </c>
      <c r="L610" s="4" t="s">
        <v>1927</v>
      </c>
      <c r="M610" s="4" t="s">
        <v>146</v>
      </c>
      <c r="N610" s="4" t="s">
        <v>20</v>
      </c>
      <c r="O610" s="4" t="s">
        <v>71</v>
      </c>
      <c r="P610" s="4" t="s">
        <v>71</v>
      </c>
      <c r="Q610" s="8" t="s">
        <v>28</v>
      </c>
      <c r="R610" s="9">
        <f t="shared" si="10"/>
        <v>2.6129123939828128E-4</v>
      </c>
      <c r="S610" s="55">
        <f>Tabla3[[#This Row],[Subtotal]]/12</f>
        <v>1241143.0833333333</v>
      </c>
    </row>
    <row r="611" spans="1:19" x14ac:dyDescent="0.2">
      <c r="A611" s="4">
        <v>671</v>
      </c>
      <c r="B611" s="2">
        <v>14822399</v>
      </c>
      <c r="C611" s="2">
        <v>0</v>
      </c>
      <c r="D611" s="4" t="s">
        <v>1931</v>
      </c>
      <c r="E611" s="2">
        <v>14822399</v>
      </c>
      <c r="F611" s="2">
        <v>2816255.81</v>
      </c>
      <c r="G611" s="2">
        <v>0</v>
      </c>
      <c r="H611" s="4">
        <v>0</v>
      </c>
      <c r="I611" s="4">
        <v>0</v>
      </c>
      <c r="J611" s="4">
        <v>0</v>
      </c>
      <c r="K611" s="4">
        <v>17638654.809999999</v>
      </c>
      <c r="L611" s="4" t="s">
        <v>1929</v>
      </c>
      <c r="M611" s="4" t="s">
        <v>1930</v>
      </c>
      <c r="N611" s="4" t="s">
        <v>1054</v>
      </c>
      <c r="O611" s="4" t="s">
        <v>89</v>
      </c>
      <c r="P611" s="4" t="s">
        <v>89</v>
      </c>
      <c r="Q611" s="8" t="s">
        <v>28</v>
      </c>
      <c r="R611" s="9">
        <f t="shared" si="10"/>
        <v>2.6004005619052956E-4</v>
      </c>
      <c r="S611" s="55">
        <f>Tabla3[[#This Row],[Subtotal]]/12</f>
        <v>1235199.9166666667</v>
      </c>
    </row>
    <row r="612" spans="1:19" x14ac:dyDescent="0.2">
      <c r="A612" s="4">
        <v>1255</v>
      </c>
      <c r="B612" s="2">
        <v>14786319</v>
      </c>
      <c r="C612" s="2">
        <v>0</v>
      </c>
      <c r="D612" s="4" t="s">
        <v>1934</v>
      </c>
      <c r="E612" s="2">
        <v>14786319</v>
      </c>
      <c r="F612" s="2">
        <v>2809400.61</v>
      </c>
      <c r="G612" s="2">
        <v>262614.37</v>
      </c>
      <c r="H612" s="4">
        <v>0</v>
      </c>
      <c r="I612" s="4">
        <v>0</v>
      </c>
      <c r="J612" s="4">
        <v>262614.37</v>
      </c>
      <c r="K612" s="4">
        <v>17333105.239999998</v>
      </c>
      <c r="L612" s="4" t="s">
        <v>1932</v>
      </c>
      <c r="M612" s="4" t="s">
        <v>1933</v>
      </c>
      <c r="N612" s="4" t="s">
        <v>1463</v>
      </c>
      <c r="O612" s="4" t="s">
        <v>105</v>
      </c>
      <c r="P612" s="4" t="s">
        <v>105</v>
      </c>
      <c r="Q612" s="8" t="s">
        <v>100</v>
      </c>
      <c r="R612" s="9">
        <f t="shared" si="10"/>
        <v>2.5940707867944286E-4</v>
      </c>
      <c r="S612" s="55">
        <f>Tabla3[[#This Row],[Subtotal]]/12</f>
        <v>1232193.25</v>
      </c>
    </row>
    <row r="613" spans="1:19" x14ac:dyDescent="0.2">
      <c r="A613" s="4">
        <v>771</v>
      </c>
      <c r="B613" s="2">
        <v>15341679</v>
      </c>
      <c r="C613" s="2">
        <v>564576</v>
      </c>
      <c r="D613" s="4" t="s">
        <v>1937</v>
      </c>
      <c r="E613" s="2">
        <v>14777103</v>
      </c>
      <c r="F613" s="2">
        <v>2807649.57</v>
      </c>
      <c r="G613" s="2">
        <v>360017.98</v>
      </c>
      <c r="H613" s="4">
        <v>0</v>
      </c>
      <c r="I613" s="4">
        <v>0</v>
      </c>
      <c r="J613" s="4">
        <v>360017.98</v>
      </c>
      <c r="K613" s="4">
        <v>17224734.59</v>
      </c>
      <c r="L613" s="4" t="s">
        <v>1935</v>
      </c>
      <c r="M613" s="4" t="s">
        <v>1936</v>
      </c>
      <c r="N613" s="4" t="s">
        <v>186</v>
      </c>
      <c r="O613" s="4" t="s">
        <v>59</v>
      </c>
      <c r="P613" s="4" t="s">
        <v>59</v>
      </c>
      <c r="Q613" s="8" t="s">
        <v>100</v>
      </c>
      <c r="R613" s="9">
        <f t="shared" si="10"/>
        <v>2.5924539573204329E-4</v>
      </c>
      <c r="S613" s="55">
        <f>Tabla3[[#This Row],[Subtotal]]/12</f>
        <v>1231425.25</v>
      </c>
    </row>
    <row r="614" spans="1:19" x14ac:dyDescent="0.2">
      <c r="A614" s="4">
        <v>973</v>
      </c>
      <c r="B614" s="2">
        <v>14725320</v>
      </c>
      <c r="C614" s="2">
        <v>0</v>
      </c>
      <c r="D614" s="4" t="s">
        <v>1940</v>
      </c>
      <c r="E614" s="2">
        <v>14725320</v>
      </c>
      <c r="F614" s="2">
        <v>2797810.8</v>
      </c>
      <c r="G614" s="2">
        <v>200005.58</v>
      </c>
      <c r="H614" s="4">
        <v>0</v>
      </c>
      <c r="I614" s="4">
        <v>0</v>
      </c>
      <c r="J614" s="4">
        <v>200005.58</v>
      </c>
      <c r="K614" s="4">
        <v>17323125.219999999</v>
      </c>
      <c r="L614" s="4" t="s">
        <v>1938</v>
      </c>
      <c r="M614" s="4" t="s">
        <v>1939</v>
      </c>
      <c r="N614" s="4" t="s">
        <v>88</v>
      </c>
      <c r="O614" s="4" t="s">
        <v>89</v>
      </c>
      <c r="P614" s="4" t="s">
        <v>89</v>
      </c>
      <c r="Q614" s="8" t="s">
        <v>100</v>
      </c>
      <c r="R614" s="9">
        <f t="shared" si="10"/>
        <v>2.5833692914510863E-4</v>
      </c>
      <c r="S614" s="55">
        <f>Tabla3[[#This Row],[Subtotal]]/12</f>
        <v>1227110</v>
      </c>
    </row>
    <row r="615" spans="1:19" x14ac:dyDescent="0.2">
      <c r="A615" s="4">
        <v>477</v>
      </c>
      <c r="B615" s="2">
        <v>14581191</v>
      </c>
      <c r="C615" s="2">
        <v>0</v>
      </c>
      <c r="D615" s="4" t="s">
        <v>1943</v>
      </c>
      <c r="E615" s="2">
        <v>14581191</v>
      </c>
      <c r="F615" s="2">
        <v>2770426.29</v>
      </c>
      <c r="G615" s="2">
        <v>364529.78</v>
      </c>
      <c r="H615" s="4">
        <v>0</v>
      </c>
      <c r="I615" s="4">
        <v>0</v>
      </c>
      <c r="J615" s="4">
        <v>364529.78</v>
      </c>
      <c r="K615" s="4">
        <v>16987087.510000002</v>
      </c>
      <c r="L615" s="4" t="s">
        <v>1941</v>
      </c>
      <c r="M615" s="4" t="s">
        <v>1942</v>
      </c>
      <c r="N615" s="4" t="s">
        <v>572</v>
      </c>
      <c r="O615" s="4" t="s">
        <v>105</v>
      </c>
      <c r="P615" s="4" t="s">
        <v>105</v>
      </c>
      <c r="Q615" s="8" t="s">
        <v>100</v>
      </c>
      <c r="R615" s="9">
        <f t="shared" si="10"/>
        <v>2.5580836995177663E-4</v>
      </c>
      <c r="S615" s="55">
        <f>Tabla3[[#This Row],[Subtotal]]/12</f>
        <v>1215099.25</v>
      </c>
    </row>
    <row r="616" spans="1:19" x14ac:dyDescent="0.2">
      <c r="A616" s="4">
        <v>1371</v>
      </c>
      <c r="B616" s="2">
        <v>14460001</v>
      </c>
      <c r="C616" s="2">
        <v>0</v>
      </c>
      <c r="D616" s="4" t="s">
        <v>1946</v>
      </c>
      <c r="E616" s="2">
        <v>14460001</v>
      </c>
      <c r="F616" s="2">
        <v>2747400.19</v>
      </c>
      <c r="G616" s="2">
        <v>51730.8</v>
      </c>
      <c r="H616" s="4">
        <v>0</v>
      </c>
      <c r="I616" s="4">
        <v>0</v>
      </c>
      <c r="J616" s="4">
        <v>51730.8</v>
      </c>
      <c r="K616" s="4">
        <v>17155670.390000001</v>
      </c>
      <c r="L616" s="4" t="s">
        <v>1944</v>
      </c>
      <c r="M616" s="4" t="s">
        <v>1945</v>
      </c>
      <c r="N616" s="4" t="s">
        <v>142</v>
      </c>
      <c r="O616" s="4" t="s">
        <v>340</v>
      </c>
      <c r="P616" s="4" t="s">
        <v>340</v>
      </c>
      <c r="Q616" s="8" t="s">
        <v>100</v>
      </c>
      <c r="R616" s="9">
        <f t="shared" si="10"/>
        <v>2.536822462109618E-4</v>
      </c>
      <c r="S616" s="55">
        <f>Tabla3[[#This Row],[Subtotal]]/12</f>
        <v>1205000.0833333333</v>
      </c>
    </row>
    <row r="617" spans="1:19" x14ac:dyDescent="0.2">
      <c r="A617" s="4">
        <v>70</v>
      </c>
      <c r="B617" s="2">
        <v>14428368</v>
      </c>
      <c r="C617" s="2">
        <v>0</v>
      </c>
      <c r="D617" s="4" t="s">
        <v>1949</v>
      </c>
      <c r="E617" s="2">
        <v>14428368</v>
      </c>
      <c r="F617" s="2">
        <v>2741389.92</v>
      </c>
      <c r="G617" s="2">
        <v>331585.42</v>
      </c>
      <c r="H617" s="4">
        <v>0</v>
      </c>
      <c r="I617" s="4">
        <v>0</v>
      </c>
      <c r="J617" s="4">
        <v>331585.42</v>
      </c>
      <c r="K617" s="4">
        <v>16838172.5</v>
      </c>
      <c r="L617" s="4" t="s">
        <v>1947</v>
      </c>
      <c r="M617" s="4" t="s">
        <v>1948</v>
      </c>
      <c r="N617" s="4" t="s">
        <v>1746</v>
      </c>
      <c r="O617" s="4" t="s">
        <v>89</v>
      </c>
      <c r="P617" s="4" t="s">
        <v>89</v>
      </c>
      <c r="Q617" s="8" t="s">
        <v>100</v>
      </c>
      <c r="R617" s="9">
        <f t="shared" si="10"/>
        <v>2.5312728563423763E-4</v>
      </c>
      <c r="S617" s="55">
        <f>Tabla3[[#This Row],[Subtotal]]/12</f>
        <v>1202364</v>
      </c>
    </row>
    <row r="618" spans="1:19" x14ac:dyDescent="0.2">
      <c r="A618" s="4">
        <v>977</v>
      </c>
      <c r="B618" s="2">
        <v>14423775</v>
      </c>
      <c r="C618" s="2">
        <v>0</v>
      </c>
      <c r="D618" s="4" t="s">
        <v>1952</v>
      </c>
      <c r="E618" s="2">
        <v>14423775</v>
      </c>
      <c r="F618" s="2">
        <v>2740517.25</v>
      </c>
      <c r="G618" s="2">
        <v>236043.64</v>
      </c>
      <c r="H618" s="4">
        <v>0</v>
      </c>
      <c r="I618" s="4">
        <v>0</v>
      </c>
      <c r="J618" s="4">
        <v>236043.64</v>
      </c>
      <c r="K618" s="4">
        <v>16928248.609999999</v>
      </c>
      <c r="L618" s="4" t="s">
        <v>1950</v>
      </c>
      <c r="M618" s="4" t="s">
        <v>1951</v>
      </c>
      <c r="N618" s="4" t="s">
        <v>1107</v>
      </c>
      <c r="O618" s="4" t="s">
        <v>89</v>
      </c>
      <c r="P618" s="4" t="s">
        <v>89</v>
      </c>
      <c r="Q618" s="8" t="s">
        <v>100</v>
      </c>
      <c r="R618" s="9">
        <f t="shared" si="10"/>
        <v>2.5304670731637674E-4</v>
      </c>
      <c r="S618" s="55">
        <f>Tabla3[[#This Row],[Subtotal]]/12</f>
        <v>1201981.25</v>
      </c>
    </row>
    <row r="619" spans="1:19" x14ac:dyDescent="0.2">
      <c r="A619" s="4">
        <v>1215</v>
      </c>
      <c r="B619" s="2">
        <v>14420344</v>
      </c>
      <c r="C619" s="2">
        <v>0</v>
      </c>
      <c r="D619" s="4" t="s">
        <v>1954</v>
      </c>
      <c r="E619" s="2">
        <v>14420344</v>
      </c>
      <c r="F619" s="2">
        <v>2739865.36</v>
      </c>
      <c r="G619" s="2">
        <v>360508.62</v>
      </c>
      <c r="H619" s="4">
        <v>410979.8</v>
      </c>
      <c r="I619" s="4">
        <v>74661.87</v>
      </c>
      <c r="J619" s="4">
        <v>846150.29</v>
      </c>
      <c r="K619" s="4">
        <v>16314059.07</v>
      </c>
      <c r="L619" s="4" t="s">
        <v>1953</v>
      </c>
      <c r="M619" s="4" t="s">
        <v>1006</v>
      </c>
      <c r="N619" s="4" t="s">
        <v>32</v>
      </c>
      <c r="O619" s="4" t="s">
        <v>33</v>
      </c>
      <c r="P619" s="4" t="s">
        <v>33</v>
      </c>
      <c r="Q619" s="8" t="s">
        <v>28</v>
      </c>
      <c r="R619" s="9">
        <f t="shared" si="10"/>
        <v>2.5298651480416671E-4</v>
      </c>
      <c r="S619" s="55">
        <f>Tabla3[[#This Row],[Subtotal]]/12</f>
        <v>1201695.3333333333</v>
      </c>
    </row>
    <row r="620" spans="1:19" x14ac:dyDescent="0.2">
      <c r="A620" s="4">
        <v>1348</v>
      </c>
      <c r="B620" s="2">
        <v>14753757.560000001</v>
      </c>
      <c r="C620" s="2">
        <v>334023.78000000003</v>
      </c>
      <c r="D620" s="4" t="s">
        <v>1957</v>
      </c>
      <c r="E620" s="2">
        <v>14419733.779999999</v>
      </c>
      <c r="F620" s="2">
        <v>2739749.42</v>
      </c>
      <c r="G620" s="2">
        <v>353151.17</v>
      </c>
      <c r="H620" s="4">
        <v>0</v>
      </c>
      <c r="I620" s="4">
        <v>84756.28</v>
      </c>
      <c r="J620" s="4">
        <v>437907.45</v>
      </c>
      <c r="K620" s="4">
        <v>16721575.75</v>
      </c>
      <c r="L620" s="4" t="s">
        <v>1955</v>
      </c>
      <c r="M620" s="4" t="s">
        <v>1956</v>
      </c>
      <c r="N620" s="4" t="s">
        <v>368</v>
      </c>
      <c r="O620" s="4" t="s">
        <v>900</v>
      </c>
      <c r="P620" s="4" t="s">
        <v>900</v>
      </c>
      <c r="Q620" s="8" t="s">
        <v>100</v>
      </c>
      <c r="R620" s="9">
        <f t="shared" si="10"/>
        <v>2.5297580927376715E-4</v>
      </c>
      <c r="S620" s="55">
        <f>Tabla3[[#This Row],[Subtotal]]/12</f>
        <v>1201644.4816666667</v>
      </c>
    </row>
    <row r="621" spans="1:19" x14ac:dyDescent="0.2">
      <c r="A621" s="4">
        <v>620</v>
      </c>
      <c r="B621" s="2">
        <v>14299921</v>
      </c>
      <c r="C621" s="2">
        <v>0</v>
      </c>
      <c r="D621" s="4" t="s">
        <v>1960</v>
      </c>
      <c r="E621" s="2">
        <v>14299921</v>
      </c>
      <c r="F621" s="2">
        <v>2716984.99</v>
      </c>
      <c r="G621" s="2">
        <v>0</v>
      </c>
      <c r="H621" s="4">
        <v>0</v>
      </c>
      <c r="I621" s="4">
        <v>0</v>
      </c>
      <c r="J621" s="4">
        <v>0</v>
      </c>
      <c r="K621" s="4">
        <v>17016905.989999998</v>
      </c>
      <c r="L621" s="4" t="s">
        <v>1958</v>
      </c>
      <c r="M621" s="4" t="s">
        <v>1959</v>
      </c>
      <c r="N621" s="4" t="s">
        <v>1961</v>
      </c>
      <c r="O621" s="4" t="s">
        <v>201</v>
      </c>
      <c r="P621" s="4" t="s">
        <v>201</v>
      </c>
      <c r="Q621" s="8" t="s">
        <v>100</v>
      </c>
      <c r="R621" s="9">
        <f t="shared" si="10"/>
        <v>2.5087384709857925E-4</v>
      </c>
      <c r="S621" s="55">
        <f>Tabla3[[#This Row],[Subtotal]]/12</f>
        <v>1191660.0833333333</v>
      </c>
    </row>
    <row r="622" spans="1:19" x14ac:dyDescent="0.2">
      <c r="A622" s="4">
        <v>56</v>
      </c>
      <c r="B622" s="2">
        <v>14290090</v>
      </c>
      <c r="C622" s="2">
        <v>0</v>
      </c>
      <c r="D622" s="4" t="s">
        <v>1964</v>
      </c>
      <c r="E622" s="2">
        <v>14290090</v>
      </c>
      <c r="F622" s="2">
        <v>2715117.1</v>
      </c>
      <c r="G622" s="2">
        <v>0</v>
      </c>
      <c r="H622" s="4">
        <v>0</v>
      </c>
      <c r="I622" s="4">
        <v>0</v>
      </c>
      <c r="J622" s="4">
        <v>0</v>
      </c>
      <c r="K622" s="4">
        <v>17005207.100000001</v>
      </c>
      <c r="L622" s="4" t="s">
        <v>1962</v>
      </c>
      <c r="M622" s="4" t="s">
        <v>1963</v>
      </c>
      <c r="N622" s="4" t="s">
        <v>20</v>
      </c>
      <c r="O622" s="4" t="s">
        <v>1356</v>
      </c>
      <c r="P622" s="4" t="s">
        <v>1356</v>
      </c>
      <c r="Q622" s="8" t="s">
        <v>100</v>
      </c>
      <c r="R622" s="9">
        <f t="shared" si="10"/>
        <v>2.5070137476178615E-4</v>
      </c>
      <c r="S622" s="55">
        <f>Tabla3[[#This Row],[Subtotal]]/12</f>
        <v>1190840.8333333333</v>
      </c>
    </row>
    <row r="623" spans="1:19" x14ac:dyDescent="0.2">
      <c r="A623" s="4">
        <v>310</v>
      </c>
      <c r="B623" s="2">
        <v>14259812</v>
      </c>
      <c r="C623" s="2">
        <v>0</v>
      </c>
      <c r="D623" s="4" t="s">
        <v>1967</v>
      </c>
      <c r="E623" s="2">
        <v>14259812</v>
      </c>
      <c r="F623" s="2">
        <v>2709364.28</v>
      </c>
      <c r="G623" s="2">
        <v>327621.84000000003</v>
      </c>
      <c r="H623" s="4">
        <v>0</v>
      </c>
      <c r="I623" s="4">
        <v>0</v>
      </c>
      <c r="J623" s="4">
        <v>327621.84000000003</v>
      </c>
      <c r="K623" s="4">
        <v>16641554.439999999</v>
      </c>
      <c r="L623" s="4" t="s">
        <v>1965</v>
      </c>
      <c r="M623" s="4" t="s">
        <v>1966</v>
      </c>
      <c r="N623" s="4" t="s">
        <v>20</v>
      </c>
      <c r="O623" s="4" t="s">
        <v>925</v>
      </c>
      <c r="P623" s="4" t="s">
        <v>925</v>
      </c>
      <c r="Q623" s="8" t="s">
        <v>100</v>
      </c>
      <c r="R623" s="9">
        <f t="shared" si="10"/>
        <v>2.5017018592917296E-4</v>
      </c>
      <c r="S623" s="55">
        <f>Tabla3[[#This Row],[Subtotal]]/12</f>
        <v>1188317.6666666667</v>
      </c>
    </row>
    <row r="624" spans="1:19" x14ac:dyDescent="0.2">
      <c r="A624" s="4">
        <v>387</v>
      </c>
      <c r="B624" s="2">
        <v>14218416</v>
      </c>
      <c r="C624" s="2">
        <v>0</v>
      </c>
      <c r="D624" s="4" t="s">
        <v>1969</v>
      </c>
      <c r="E624" s="2">
        <v>14218416</v>
      </c>
      <c r="F624" s="2">
        <v>2701499.04</v>
      </c>
      <c r="G624" s="2">
        <v>343869.3</v>
      </c>
      <c r="H624" s="4">
        <v>405224.85</v>
      </c>
      <c r="I624" s="4">
        <v>0</v>
      </c>
      <c r="J624" s="4">
        <v>749094.15</v>
      </c>
      <c r="K624" s="4">
        <v>16170820.890000001</v>
      </c>
      <c r="L624" s="4" t="s">
        <v>1968</v>
      </c>
      <c r="M624" s="4" t="s">
        <v>137</v>
      </c>
      <c r="N624" s="4" t="s">
        <v>975</v>
      </c>
      <c r="O624" s="4" t="s">
        <v>89</v>
      </c>
      <c r="P624" s="4" t="s">
        <v>89</v>
      </c>
      <c r="Q624" s="8" t="s">
        <v>22</v>
      </c>
      <c r="R624" s="9">
        <f t="shared" si="10"/>
        <v>2.4944394598879198E-4</v>
      </c>
      <c r="S624" s="55">
        <f>Tabla3[[#This Row],[Subtotal]]/12</f>
        <v>1184868</v>
      </c>
    </row>
    <row r="625" spans="1:19" x14ac:dyDescent="0.2">
      <c r="A625" s="4">
        <v>110</v>
      </c>
      <c r="B625" s="2">
        <v>14301650</v>
      </c>
      <c r="C625" s="2">
        <v>145329.60000000001</v>
      </c>
      <c r="D625" s="4" t="s">
        <v>1972</v>
      </c>
      <c r="E625" s="2">
        <v>14156320.4</v>
      </c>
      <c r="F625" s="2">
        <v>2689700.89</v>
      </c>
      <c r="G625" s="2">
        <v>0</v>
      </c>
      <c r="H625" s="4">
        <v>0</v>
      </c>
      <c r="I625" s="4">
        <v>0</v>
      </c>
      <c r="J625" s="4">
        <v>0</v>
      </c>
      <c r="K625" s="4">
        <v>16846021.289999999</v>
      </c>
      <c r="L625" s="4" t="s">
        <v>1970</v>
      </c>
      <c r="M625" s="4" t="s">
        <v>1971</v>
      </c>
      <c r="N625" s="4" t="s">
        <v>648</v>
      </c>
      <c r="O625" s="4" t="s">
        <v>340</v>
      </c>
      <c r="P625" s="4" t="s">
        <v>340</v>
      </c>
      <c r="Q625" s="8" t="s">
        <v>100</v>
      </c>
      <c r="R625" s="9">
        <f t="shared" si="10"/>
        <v>2.4835455800826438E-4</v>
      </c>
      <c r="S625" s="55">
        <f>Tabla3[[#This Row],[Subtotal]]/12</f>
        <v>1179693.3666666667</v>
      </c>
    </row>
    <row r="626" spans="1:19" x14ac:dyDescent="0.2">
      <c r="A626" s="4">
        <v>1720</v>
      </c>
      <c r="B626" s="2">
        <v>14359496</v>
      </c>
      <c r="C626" s="2">
        <v>258719.01</v>
      </c>
      <c r="D626" s="4" t="s">
        <v>1975</v>
      </c>
      <c r="E626" s="2">
        <v>14100776.99</v>
      </c>
      <c r="F626" s="2">
        <v>2679147.62</v>
      </c>
      <c r="G626" s="2">
        <v>345524.94</v>
      </c>
      <c r="H626" s="4">
        <v>0</v>
      </c>
      <c r="I626" s="4">
        <v>0</v>
      </c>
      <c r="J626" s="4">
        <v>345524.94</v>
      </c>
      <c r="K626" s="4">
        <v>16434399.67</v>
      </c>
      <c r="L626" s="4" t="s">
        <v>1973</v>
      </c>
      <c r="M626" s="4" t="s">
        <v>1974</v>
      </c>
      <c r="N626" s="4" t="s">
        <v>20</v>
      </c>
      <c r="O626" s="4" t="s">
        <v>1549</v>
      </c>
      <c r="P626" s="4" t="s">
        <v>1549</v>
      </c>
      <c r="Q626" s="8" t="s">
        <v>100</v>
      </c>
      <c r="R626" s="9">
        <f t="shared" si="10"/>
        <v>2.473801198314609E-4</v>
      </c>
      <c r="S626" s="55">
        <f>Tabla3[[#This Row],[Subtotal]]/12</f>
        <v>1175064.7491666668</v>
      </c>
    </row>
    <row r="627" spans="1:19" x14ac:dyDescent="0.2">
      <c r="A627" s="4">
        <v>1150</v>
      </c>
      <c r="B627" s="2">
        <v>14097997</v>
      </c>
      <c r="C627" s="2">
        <v>0</v>
      </c>
      <c r="D627" s="4" t="s">
        <v>1978</v>
      </c>
      <c r="E627" s="2">
        <v>14097997</v>
      </c>
      <c r="F627" s="2">
        <v>2678619.4300000002</v>
      </c>
      <c r="G627" s="2">
        <v>0</v>
      </c>
      <c r="H627" s="4">
        <v>0</v>
      </c>
      <c r="I627" s="4">
        <v>0</v>
      </c>
      <c r="J627" s="4">
        <v>0</v>
      </c>
      <c r="K627" s="4">
        <v>16776616.43</v>
      </c>
      <c r="L627" s="4" t="s">
        <v>1976</v>
      </c>
      <c r="M627" s="4" t="s">
        <v>1977</v>
      </c>
      <c r="N627" s="4" t="s">
        <v>512</v>
      </c>
      <c r="O627" s="4" t="s">
        <v>59</v>
      </c>
      <c r="P627" s="4" t="s">
        <v>59</v>
      </c>
      <c r="Q627" s="8" t="s">
        <v>100</v>
      </c>
      <c r="R627" s="9">
        <f t="shared" si="10"/>
        <v>2.4733134845809489E-4</v>
      </c>
      <c r="S627" s="55">
        <f>Tabla3[[#This Row],[Subtotal]]/12</f>
        <v>1174833.0833333333</v>
      </c>
    </row>
    <row r="628" spans="1:19" x14ac:dyDescent="0.2">
      <c r="A628" s="4">
        <v>157</v>
      </c>
      <c r="B628" s="2">
        <v>14159915</v>
      </c>
      <c r="C628" s="2">
        <v>63223.199999999997</v>
      </c>
      <c r="D628" s="4" t="s">
        <v>1981</v>
      </c>
      <c r="E628" s="2">
        <v>14096691.800000001</v>
      </c>
      <c r="F628" s="2">
        <v>2678371.44</v>
      </c>
      <c r="G628" s="2">
        <v>352417.3</v>
      </c>
      <c r="H628" s="4">
        <v>0</v>
      </c>
      <c r="I628" s="4">
        <v>0</v>
      </c>
      <c r="J628" s="4">
        <v>352417.3</v>
      </c>
      <c r="K628" s="4">
        <v>16422645.939999999</v>
      </c>
      <c r="L628" s="4" t="s">
        <v>1979</v>
      </c>
      <c r="M628" s="4" t="s">
        <v>1980</v>
      </c>
      <c r="N628" s="4" t="s">
        <v>20</v>
      </c>
      <c r="O628" s="4" t="s">
        <v>71</v>
      </c>
      <c r="P628" s="4" t="s">
        <v>71</v>
      </c>
      <c r="Q628" s="8" t="s">
        <v>100</v>
      </c>
      <c r="R628" s="9">
        <f t="shared" si="10"/>
        <v>2.4730845039136901E-4</v>
      </c>
      <c r="S628" s="55">
        <f>Tabla3[[#This Row],[Subtotal]]/12</f>
        <v>1174724.3166666667</v>
      </c>
    </row>
    <row r="629" spans="1:19" x14ac:dyDescent="0.2">
      <c r="A629" s="4">
        <v>880</v>
      </c>
      <c r="B629" s="2">
        <v>14094127</v>
      </c>
      <c r="C629" s="2">
        <v>0</v>
      </c>
      <c r="D629" s="4" t="s">
        <v>1984</v>
      </c>
      <c r="E629" s="2">
        <v>14094127</v>
      </c>
      <c r="F629" s="2">
        <v>2677884.13</v>
      </c>
      <c r="G629" s="2">
        <v>0</v>
      </c>
      <c r="H629" s="4">
        <v>0</v>
      </c>
      <c r="I629" s="4">
        <v>0</v>
      </c>
      <c r="J629" s="4">
        <v>0</v>
      </c>
      <c r="K629" s="4">
        <v>16772011.130000001</v>
      </c>
      <c r="L629" s="4" t="s">
        <v>1982</v>
      </c>
      <c r="M629" s="4" t="s">
        <v>1983</v>
      </c>
      <c r="N629" s="4" t="s">
        <v>20</v>
      </c>
      <c r="O629" s="4" t="s">
        <v>631</v>
      </c>
      <c r="P629" s="4" t="s">
        <v>631</v>
      </c>
      <c r="Q629" s="8" t="s">
        <v>100</v>
      </c>
      <c r="R629" s="9">
        <f t="shared" si="10"/>
        <v>2.4726345425166732E-4</v>
      </c>
      <c r="S629" s="55">
        <f>Tabla3[[#This Row],[Subtotal]]/12</f>
        <v>1174510.5833333333</v>
      </c>
    </row>
    <row r="630" spans="1:19" x14ac:dyDescent="0.2">
      <c r="A630" s="4">
        <v>1276</v>
      </c>
      <c r="B630" s="2">
        <v>13999372</v>
      </c>
      <c r="C630" s="2">
        <v>0</v>
      </c>
      <c r="D630" s="4" t="s">
        <v>1987</v>
      </c>
      <c r="E630" s="2">
        <v>13999372</v>
      </c>
      <c r="F630" s="2">
        <v>2659880.6800000002</v>
      </c>
      <c r="G630" s="2">
        <v>0</v>
      </c>
      <c r="H630" s="4">
        <v>0</v>
      </c>
      <c r="I630" s="4">
        <v>0</v>
      </c>
      <c r="J630" s="4">
        <v>0</v>
      </c>
      <c r="K630" s="4">
        <v>16659252.68</v>
      </c>
      <c r="L630" s="4" t="s">
        <v>1985</v>
      </c>
      <c r="M630" s="4" t="s">
        <v>1986</v>
      </c>
      <c r="N630" s="4" t="s">
        <v>32</v>
      </c>
      <c r="O630" s="4" t="s">
        <v>33</v>
      </c>
      <c r="P630" s="4" t="s">
        <v>33</v>
      </c>
      <c r="Q630" s="8" t="s">
        <v>100</v>
      </c>
      <c r="R630" s="9">
        <f t="shared" si="10"/>
        <v>2.4560109881754808E-4</v>
      </c>
      <c r="S630" s="55">
        <f>Tabla3[[#This Row],[Subtotal]]/12</f>
        <v>1166614.3333333333</v>
      </c>
    </row>
    <row r="631" spans="1:19" x14ac:dyDescent="0.2">
      <c r="A631" s="4">
        <v>586</v>
      </c>
      <c r="B631" s="2">
        <v>13970562</v>
      </c>
      <c r="C631" s="2">
        <v>0</v>
      </c>
      <c r="D631" s="4" t="s">
        <v>1990</v>
      </c>
      <c r="E631" s="2">
        <v>13970562</v>
      </c>
      <c r="F631" s="2">
        <v>2654406.7799999998</v>
      </c>
      <c r="G631" s="2">
        <v>0</v>
      </c>
      <c r="H631" s="4">
        <v>0</v>
      </c>
      <c r="I631" s="4">
        <v>0</v>
      </c>
      <c r="J631" s="4">
        <v>0</v>
      </c>
      <c r="K631" s="4">
        <v>16624968.779999999</v>
      </c>
      <c r="L631" s="4" t="s">
        <v>1988</v>
      </c>
      <c r="M631" s="4" t="s">
        <v>1989</v>
      </c>
      <c r="N631" s="4" t="s">
        <v>1991</v>
      </c>
      <c r="O631" s="4" t="s">
        <v>21</v>
      </c>
      <c r="P631" s="4" t="s">
        <v>21</v>
      </c>
      <c r="Q631" s="8" t="s">
        <v>28</v>
      </c>
      <c r="R631" s="9">
        <f t="shared" si="10"/>
        <v>2.4509566416969865E-4</v>
      </c>
      <c r="S631" s="55">
        <f>Tabla3[[#This Row],[Subtotal]]/12</f>
        <v>1164213.5</v>
      </c>
    </row>
    <row r="632" spans="1:19" x14ac:dyDescent="0.2">
      <c r="A632" s="4">
        <v>1644</v>
      </c>
      <c r="B632" s="2">
        <v>13959990</v>
      </c>
      <c r="C632" s="2">
        <v>0</v>
      </c>
      <c r="D632" s="4" t="s">
        <v>1994</v>
      </c>
      <c r="E632" s="2">
        <v>13959990</v>
      </c>
      <c r="F632" s="2">
        <v>2652398.1</v>
      </c>
      <c r="G632" s="2">
        <v>348999.76</v>
      </c>
      <c r="H632" s="4">
        <v>397859.72</v>
      </c>
      <c r="I632" s="4">
        <v>0</v>
      </c>
      <c r="J632" s="4">
        <v>746859.48</v>
      </c>
      <c r="K632" s="4">
        <v>15865528.619999999</v>
      </c>
      <c r="L632" s="4" t="s">
        <v>1992</v>
      </c>
      <c r="M632" s="4" t="s">
        <v>1993</v>
      </c>
      <c r="N632" s="4" t="s">
        <v>20</v>
      </c>
      <c r="O632" s="4" t="s">
        <v>76</v>
      </c>
      <c r="P632" s="4" t="s">
        <v>76</v>
      </c>
      <c r="Q632" s="8" t="s">
        <v>408</v>
      </c>
      <c r="R632" s="9">
        <f t="shared" si="10"/>
        <v>2.4491019193446559E-4</v>
      </c>
      <c r="S632" s="55">
        <f>Tabla3[[#This Row],[Subtotal]]/12</f>
        <v>1163332.5</v>
      </c>
    </row>
    <row r="633" spans="1:19" x14ac:dyDescent="0.2">
      <c r="A633" s="4">
        <v>1144</v>
      </c>
      <c r="B633" s="2">
        <v>13840608</v>
      </c>
      <c r="C633" s="2">
        <v>0</v>
      </c>
      <c r="D633" s="4" t="s">
        <v>1997</v>
      </c>
      <c r="E633" s="2">
        <v>13840608</v>
      </c>
      <c r="F633" s="2">
        <v>2629715.52</v>
      </c>
      <c r="G633" s="2">
        <v>346015.21</v>
      </c>
      <c r="H633" s="4">
        <v>0</v>
      </c>
      <c r="I633" s="4">
        <v>0</v>
      </c>
      <c r="J633" s="4">
        <v>346015.21</v>
      </c>
      <c r="K633" s="4">
        <v>16124308.310000001</v>
      </c>
      <c r="L633" s="4" t="s">
        <v>1995</v>
      </c>
      <c r="M633" s="4" t="s">
        <v>1996</v>
      </c>
      <c r="N633" s="4" t="s">
        <v>401</v>
      </c>
      <c r="O633" s="4" t="s">
        <v>27</v>
      </c>
      <c r="P633" s="4" t="s">
        <v>27</v>
      </c>
      <c r="Q633" s="8" t="s">
        <v>28</v>
      </c>
      <c r="R633" s="9">
        <f t="shared" si="10"/>
        <v>2.4281578724409545E-4</v>
      </c>
      <c r="S633" s="55">
        <f>Tabla3[[#This Row],[Subtotal]]/12</f>
        <v>1153384</v>
      </c>
    </row>
    <row r="634" spans="1:19" x14ac:dyDescent="0.2">
      <c r="A634" s="4">
        <v>79</v>
      </c>
      <c r="B634" s="2">
        <v>13859530</v>
      </c>
      <c r="C634" s="2">
        <v>86546.4</v>
      </c>
      <c r="D634" s="4" t="s">
        <v>2000</v>
      </c>
      <c r="E634" s="2">
        <v>13772983.6</v>
      </c>
      <c r="F634" s="2">
        <v>2616866.88</v>
      </c>
      <c r="G634" s="2">
        <v>136907.66</v>
      </c>
      <c r="H634" s="4">
        <v>0</v>
      </c>
      <c r="I634" s="4">
        <v>0</v>
      </c>
      <c r="J634" s="4">
        <v>136907.66</v>
      </c>
      <c r="K634" s="4">
        <v>16252942.82</v>
      </c>
      <c r="L634" s="4" t="s">
        <v>1998</v>
      </c>
      <c r="M634" s="4" t="s">
        <v>1999</v>
      </c>
      <c r="N634" s="4" t="s">
        <v>20</v>
      </c>
      <c r="O634" s="4" t="s">
        <v>900</v>
      </c>
      <c r="P634" s="4" t="s">
        <v>900</v>
      </c>
      <c r="Q634" s="8" t="s">
        <v>408</v>
      </c>
      <c r="R634" s="9">
        <f t="shared" si="10"/>
        <v>2.4162940353010615E-4</v>
      </c>
      <c r="S634" s="55">
        <f>Tabla3[[#This Row],[Subtotal]]/12</f>
        <v>1147748.6333333333</v>
      </c>
    </row>
    <row r="635" spans="1:19" x14ac:dyDescent="0.2">
      <c r="A635" s="4">
        <v>970</v>
      </c>
      <c r="B635" s="2">
        <v>13754182</v>
      </c>
      <c r="C635" s="2">
        <v>0</v>
      </c>
      <c r="D635" s="4" t="s">
        <v>2003</v>
      </c>
      <c r="E635" s="2">
        <v>13754182</v>
      </c>
      <c r="F635" s="2">
        <v>2613294.58</v>
      </c>
      <c r="G635" s="2">
        <v>343854.55</v>
      </c>
      <c r="H635" s="4">
        <v>0</v>
      </c>
      <c r="I635" s="4">
        <v>0</v>
      </c>
      <c r="J635" s="4">
        <v>343854.55</v>
      </c>
      <c r="K635" s="4">
        <v>16023622.029999999</v>
      </c>
      <c r="L635" s="4" t="s">
        <v>2001</v>
      </c>
      <c r="M635" s="4" t="s">
        <v>2002</v>
      </c>
      <c r="N635" s="4" t="s">
        <v>651</v>
      </c>
      <c r="O635" s="4" t="s">
        <v>196</v>
      </c>
      <c r="P635" s="4" t="s">
        <v>196</v>
      </c>
      <c r="Q635" s="8" t="s">
        <v>100</v>
      </c>
      <c r="R635" s="9">
        <f t="shared" si="10"/>
        <v>2.4129955347543743E-4</v>
      </c>
      <c r="S635" s="55">
        <f>Tabla3[[#This Row],[Subtotal]]/12</f>
        <v>1146181.8333333333</v>
      </c>
    </row>
    <row r="636" spans="1:19" x14ac:dyDescent="0.2">
      <c r="A636" s="4">
        <v>168</v>
      </c>
      <c r="B636" s="2">
        <v>13746958.57</v>
      </c>
      <c r="C636" s="2">
        <v>24350.81</v>
      </c>
      <c r="D636" s="4" t="s">
        <v>2006</v>
      </c>
      <c r="E636" s="2">
        <v>13722607.76</v>
      </c>
      <c r="F636" s="2">
        <v>2607295.4700000002</v>
      </c>
      <c r="G636" s="2">
        <v>0</v>
      </c>
      <c r="H636" s="4">
        <v>0</v>
      </c>
      <c r="I636" s="4">
        <v>0</v>
      </c>
      <c r="J636" s="4">
        <v>0</v>
      </c>
      <c r="K636" s="4">
        <v>16329903.23</v>
      </c>
      <c r="L636" s="4" t="s">
        <v>2004</v>
      </c>
      <c r="M636" s="4" t="s">
        <v>2005</v>
      </c>
      <c r="N636" s="4" t="s">
        <v>368</v>
      </c>
      <c r="O636" s="4" t="s">
        <v>900</v>
      </c>
      <c r="P636" s="4" t="s">
        <v>900</v>
      </c>
      <c r="Q636" s="8" t="s">
        <v>144</v>
      </c>
      <c r="R636" s="9">
        <f t="shared" si="10"/>
        <v>2.4074562376785275E-4</v>
      </c>
      <c r="S636" s="55">
        <f>Tabla3[[#This Row],[Subtotal]]/12</f>
        <v>1143550.6466666667</v>
      </c>
    </row>
    <row r="637" spans="1:19" x14ac:dyDescent="0.2">
      <c r="A637" s="4">
        <v>887</v>
      </c>
      <c r="B637" s="2">
        <v>13631413</v>
      </c>
      <c r="C637" s="2">
        <v>0</v>
      </c>
      <c r="D637" s="4" t="s">
        <v>2009</v>
      </c>
      <c r="E637" s="2">
        <v>13631413</v>
      </c>
      <c r="F637" s="2">
        <v>2589968.4700000002</v>
      </c>
      <c r="G637" s="2">
        <v>335456.33</v>
      </c>
      <c r="H637" s="4">
        <v>0</v>
      </c>
      <c r="I637" s="4">
        <v>0</v>
      </c>
      <c r="J637" s="4">
        <v>335456.33</v>
      </c>
      <c r="K637" s="4">
        <v>15885925.140000001</v>
      </c>
      <c r="L637" s="4" t="s">
        <v>2007</v>
      </c>
      <c r="M637" s="4" t="s">
        <v>2008</v>
      </c>
      <c r="N637" s="4" t="s">
        <v>20</v>
      </c>
      <c r="O637" s="4" t="s">
        <v>71</v>
      </c>
      <c r="P637" s="4" t="s">
        <v>71</v>
      </c>
      <c r="Q637" s="8" t="s">
        <v>100</v>
      </c>
      <c r="R637" s="9">
        <f t="shared" si="10"/>
        <v>2.3914572819665124E-4</v>
      </c>
      <c r="S637" s="55">
        <f>Tabla3[[#This Row],[Subtotal]]/12</f>
        <v>1135951.0833333333</v>
      </c>
    </row>
    <row r="638" spans="1:19" x14ac:dyDescent="0.2">
      <c r="A638" s="4">
        <v>743</v>
      </c>
      <c r="B638" s="2">
        <v>13710227</v>
      </c>
      <c r="C638" s="2">
        <v>84920.25</v>
      </c>
      <c r="D638" s="4" t="s">
        <v>2011</v>
      </c>
      <c r="E638" s="2">
        <v>13625306.75</v>
      </c>
      <c r="F638" s="2">
        <v>2588808.2799999998</v>
      </c>
      <c r="G638" s="2">
        <v>307035.09999999998</v>
      </c>
      <c r="H638" s="4">
        <v>78254.009999999995</v>
      </c>
      <c r="I638" s="4">
        <v>0</v>
      </c>
      <c r="J638" s="4">
        <v>385289.11</v>
      </c>
      <c r="K638" s="4">
        <v>15828825.92</v>
      </c>
      <c r="L638" s="4" t="s">
        <v>2010</v>
      </c>
      <c r="M638" s="4" t="s">
        <v>81</v>
      </c>
      <c r="N638" s="4" t="s">
        <v>2012</v>
      </c>
      <c r="O638" s="4" t="s">
        <v>382</v>
      </c>
      <c r="P638" s="4" t="s">
        <v>382</v>
      </c>
      <c r="Q638" s="8" t="s">
        <v>28</v>
      </c>
      <c r="R638" s="9">
        <f t="shared" si="10"/>
        <v>2.3903860184057936E-4</v>
      </c>
      <c r="S638" s="55">
        <f>Tabla3[[#This Row],[Subtotal]]/12</f>
        <v>1135442.2291666667</v>
      </c>
    </row>
    <row r="639" spans="1:19" x14ac:dyDescent="0.2">
      <c r="A639" s="4">
        <v>209</v>
      </c>
      <c r="B639" s="2">
        <v>13459848</v>
      </c>
      <c r="C639" s="2">
        <v>0</v>
      </c>
      <c r="D639" s="4" t="s">
        <v>2015</v>
      </c>
      <c r="E639" s="2">
        <v>13459848</v>
      </c>
      <c r="F639" s="2">
        <v>2557371.12</v>
      </c>
      <c r="G639" s="2">
        <v>0</v>
      </c>
      <c r="H639" s="4">
        <v>0</v>
      </c>
      <c r="I639" s="4">
        <v>0</v>
      </c>
      <c r="J639" s="4">
        <v>0</v>
      </c>
      <c r="K639" s="4">
        <v>16017219.119999999</v>
      </c>
      <c r="L639" s="4" t="s">
        <v>2013</v>
      </c>
      <c r="M639" s="4" t="s">
        <v>2014</v>
      </c>
      <c r="N639" s="4" t="s">
        <v>20</v>
      </c>
      <c r="O639" s="4" t="s">
        <v>316</v>
      </c>
      <c r="P639" s="4" t="s">
        <v>316</v>
      </c>
      <c r="Q639" s="8" t="s">
        <v>100</v>
      </c>
      <c r="R639" s="9">
        <f t="shared" si="10"/>
        <v>2.3613583943030996E-4</v>
      </c>
      <c r="S639" s="55">
        <f>Tabla3[[#This Row],[Subtotal]]/12</f>
        <v>1121654</v>
      </c>
    </row>
    <row r="640" spans="1:19" x14ac:dyDescent="0.2">
      <c r="A640" s="4">
        <v>206</v>
      </c>
      <c r="B640" s="2">
        <v>13398398</v>
      </c>
      <c r="C640" s="2">
        <v>0</v>
      </c>
      <c r="D640" s="4" t="s">
        <v>2018</v>
      </c>
      <c r="E640" s="2">
        <v>13398398</v>
      </c>
      <c r="F640" s="2">
        <v>2545695.62</v>
      </c>
      <c r="G640" s="2">
        <v>217831.96</v>
      </c>
      <c r="H640" s="4">
        <v>0</v>
      </c>
      <c r="I640" s="4">
        <v>0</v>
      </c>
      <c r="J640" s="4">
        <v>217831.96</v>
      </c>
      <c r="K640" s="4">
        <v>15726261.66</v>
      </c>
      <c r="L640" s="4" t="s">
        <v>2016</v>
      </c>
      <c r="M640" s="4" t="s">
        <v>2017</v>
      </c>
      <c r="N640" s="4" t="s">
        <v>1463</v>
      </c>
      <c r="O640" s="4" t="s">
        <v>105</v>
      </c>
      <c r="P640" s="4" t="s">
        <v>105</v>
      </c>
      <c r="Q640" s="8" t="s">
        <v>100</v>
      </c>
      <c r="R640" s="9">
        <f t="shared" si="10"/>
        <v>2.3505777767708714E-4</v>
      </c>
      <c r="S640" s="55">
        <f>Tabla3[[#This Row],[Subtotal]]/12</f>
        <v>1116533.1666666667</v>
      </c>
    </row>
    <row r="641" spans="1:19" x14ac:dyDescent="0.2">
      <c r="A641" s="4">
        <v>601</v>
      </c>
      <c r="B641" s="2">
        <v>13295168</v>
      </c>
      <c r="C641" s="2">
        <v>0</v>
      </c>
      <c r="D641" s="4" t="s">
        <v>2021</v>
      </c>
      <c r="E641" s="2">
        <v>13295168</v>
      </c>
      <c r="F641" s="2">
        <v>2526081.92</v>
      </c>
      <c r="G641" s="2">
        <v>0</v>
      </c>
      <c r="H641" s="4">
        <v>0</v>
      </c>
      <c r="I641" s="4">
        <v>0</v>
      </c>
      <c r="J641" s="4">
        <v>0</v>
      </c>
      <c r="K641" s="4">
        <v>15821249.92</v>
      </c>
      <c r="L641" s="4" t="s">
        <v>2019</v>
      </c>
      <c r="M641" s="4" t="s">
        <v>2020</v>
      </c>
      <c r="N641" s="4" t="s">
        <v>1150</v>
      </c>
      <c r="O641" s="4" t="s">
        <v>89</v>
      </c>
      <c r="P641" s="4" t="s">
        <v>89</v>
      </c>
      <c r="Q641" s="8" t="s">
        <v>100</v>
      </c>
      <c r="R641" s="9">
        <f t="shared" si="10"/>
        <v>2.3324673919400838E-4</v>
      </c>
      <c r="S641" s="55">
        <f>Tabla3[[#This Row],[Subtotal]]/12</f>
        <v>1107930.6666666667</v>
      </c>
    </row>
    <row r="642" spans="1:19" x14ac:dyDescent="0.2">
      <c r="A642" s="4">
        <v>701</v>
      </c>
      <c r="B642" s="2">
        <v>13291608</v>
      </c>
      <c r="C642" s="2">
        <v>0</v>
      </c>
      <c r="D642" s="4" t="s">
        <v>2024</v>
      </c>
      <c r="E642" s="2">
        <v>13291608</v>
      </c>
      <c r="F642" s="2">
        <v>2525405.52</v>
      </c>
      <c r="G642" s="2">
        <v>332290.2</v>
      </c>
      <c r="H642" s="4">
        <v>0</v>
      </c>
      <c r="I642" s="4">
        <v>0</v>
      </c>
      <c r="J642" s="4">
        <v>332290.2</v>
      </c>
      <c r="K642" s="4">
        <v>15484723.32</v>
      </c>
      <c r="L642" s="4" t="s">
        <v>2022</v>
      </c>
      <c r="M642" s="4" t="s">
        <v>2023</v>
      </c>
      <c r="N642" s="4" t="s">
        <v>200</v>
      </c>
      <c r="O642" s="4" t="s">
        <v>2025</v>
      </c>
      <c r="P642" s="4" t="s">
        <v>2025</v>
      </c>
      <c r="Q642" s="8" t="s">
        <v>100</v>
      </c>
      <c r="R642" s="9">
        <f t="shared" si="10"/>
        <v>2.3318428354158409E-4</v>
      </c>
      <c r="S642" s="55">
        <f>Tabla3[[#This Row],[Subtotal]]/12</f>
        <v>1107634</v>
      </c>
    </row>
    <row r="643" spans="1:19" x14ac:dyDescent="0.2">
      <c r="A643" s="4">
        <v>290</v>
      </c>
      <c r="B643" s="2">
        <v>13281210</v>
      </c>
      <c r="C643" s="2">
        <v>0</v>
      </c>
      <c r="D643" s="4" t="s">
        <v>2028</v>
      </c>
      <c r="E643" s="2">
        <v>13281210</v>
      </c>
      <c r="F643" s="2">
        <v>2523429.9</v>
      </c>
      <c r="G643" s="2">
        <v>0</v>
      </c>
      <c r="H643" s="4">
        <v>0</v>
      </c>
      <c r="I643" s="4">
        <v>0</v>
      </c>
      <c r="J643" s="4">
        <v>0</v>
      </c>
      <c r="K643" s="4">
        <v>15804639.9</v>
      </c>
      <c r="L643" s="4" t="s">
        <v>2026</v>
      </c>
      <c r="M643" s="4" t="s">
        <v>2027</v>
      </c>
      <c r="N643" s="4" t="s">
        <v>20</v>
      </c>
      <c r="O643" s="4" t="s">
        <v>1157</v>
      </c>
      <c r="P643" s="4" t="s">
        <v>1157</v>
      </c>
      <c r="Q643" s="8" t="s">
        <v>100</v>
      </c>
      <c r="R643" s="9">
        <f t="shared" ref="R643:R706" si="11">E643/$E$1757</f>
        <v>2.3300186391408186E-4</v>
      </c>
      <c r="S643" s="55">
        <f>Tabla3[[#This Row],[Subtotal]]/12</f>
        <v>1106767.5</v>
      </c>
    </row>
    <row r="644" spans="1:19" x14ac:dyDescent="0.2">
      <c r="A644" s="4">
        <v>1740</v>
      </c>
      <c r="B644" s="2">
        <v>13236152</v>
      </c>
      <c r="C644" s="2">
        <v>0</v>
      </c>
      <c r="D644" s="4" t="s">
        <v>2031</v>
      </c>
      <c r="E644" s="2">
        <v>13236152</v>
      </c>
      <c r="F644" s="2">
        <v>2514868.88</v>
      </c>
      <c r="G644" s="2">
        <v>0</v>
      </c>
      <c r="H644" s="4">
        <v>0</v>
      </c>
      <c r="I644" s="4">
        <v>0</v>
      </c>
      <c r="J644" s="4">
        <v>0</v>
      </c>
      <c r="K644" s="4">
        <v>15751020.880000001</v>
      </c>
      <c r="L644" s="4" t="s">
        <v>2029</v>
      </c>
      <c r="M644" s="4" t="s">
        <v>2030</v>
      </c>
      <c r="N644" s="4" t="s">
        <v>714</v>
      </c>
      <c r="O644" s="4" t="s">
        <v>382</v>
      </c>
      <c r="P644" s="4" t="s">
        <v>382</v>
      </c>
      <c r="Q644" s="8" t="s">
        <v>100</v>
      </c>
      <c r="R644" s="9">
        <f t="shared" si="11"/>
        <v>2.3221137886157229E-4</v>
      </c>
      <c r="S644" s="55">
        <f>Tabla3[[#This Row],[Subtotal]]/12</f>
        <v>1103012.6666666667</v>
      </c>
    </row>
    <row r="645" spans="1:19" x14ac:dyDescent="0.2">
      <c r="A645" s="4">
        <v>150</v>
      </c>
      <c r="B645" s="2">
        <v>13208189</v>
      </c>
      <c r="C645" s="2">
        <v>0</v>
      </c>
      <c r="D645" s="4" t="s">
        <v>2034</v>
      </c>
      <c r="E645" s="2">
        <v>13208189</v>
      </c>
      <c r="F645" s="2">
        <v>2509555.91</v>
      </c>
      <c r="G645" s="2">
        <v>0</v>
      </c>
      <c r="H645" s="4">
        <v>0</v>
      </c>
      <c r="I645" s="4">
        <v>0</v>
      </c>
      <c r="J645" s="4">
        <v>0</v>
      </c>
      <c r="K645" s="4">
        <v>15717744.91</v>
      </c>
      <c r="L645" s="4" t="s">
        <v>2032</v>
      </c>
      <c r="M645" s="4" t="s">
        <v>2033</v>
      </c>
      <c r="N645" s="4" t="s">
        <v>142</v>
      </c>
      <c r="O645" s="4" t="s">
        <v>340</v>
      </c>
      <c r="P645" s="4" t="s">
        <v>340</v>
      </c>
      <c r="Q645" s="8" t="s">
        <v>100</v>
      </c>
      <c r="R645" s="9">
        <f t="shared" si="11"/>
        <v>2.317208037467575E-4</v>
      </c>
      <c r="S645" s="55">
        <f>Tabla3[[#This Row],[Subtotal]]/12</f>
        <v>1100682.4166666667</v>
      </c>
    </row>
    <row r="646" spans="1:19" x14ac:dyDescent="0.2">
      <c r="A646" s="4">
        <v>692</v>
      </c>
      <c r="B646" s="2">
        <v>13190352</v>
      </c>
      <c r="C646" s="2">
        <v>0</v>
      </c>
      <c r="D646" s="4" t="s">
        <v>2037</v>
      </c>
      <c r="E646" s="2">
        <v>13190352</v>
      </c>
      <c r="F646" s="2">
        <v>2506166.88</v>
      </c>
      <c r="G646" s="2">
        <v>26881.18</v>
      </c>
      <c r="H646" s="4">
        <v>0</v>
      </c>
      <c r="I646" s="4">
        <v>0</v>
      </c>
      <c r="J646" s="4">
        <v>26881.18</v>
      </c>
      <c r="K646" s="4">
        <v>15669637.699999999</v>
      </c>
      <c r="L646" s="4" t="s">
        <v>2035</v>
      </c>
      <c r="M646" s="4" t="s">
        <v>2036</v>
      </c>
      <c r="N646" s="4" t="s">
        <v>20</v>
      </c>
      <c r="O646" s="4" t="s">
        <v>631</v>
      </c>
      <c r="P646" s="4" t="s">
        <v>631</v>
      </c>
      <c r="Q646" s="8" t="s">
        <v>100</v>
      </c>
      <c r="R646" s="9">
        <f t="shared" si="11"/>
        <v>2.3140787636690013E-4</v>
      </c>
      <c r="S646" s="55">
        <f>Tabla3[[#This Row],[Subtotal]]/12</f>
        <v>1099196</v>
      </c>
    </row>
    <row r="647" spans="1:19" x14ac:dyDescent="0.2">
      <c r="A647" s="4">
        <v>1432</v>
      </c>
      <c r="B647" s="2">
        <v>13185466</v>
      </c>
      <c r="C647" s="2">
        <v>0</v>
      </c>
      <c r="D647" s="4" t="s">
        <v>2040</v>
      </c>
      <c r="E647" s="2">
        <v>13185466</v>
      </c>
      <c r="F647" s="2">
        <v>2505238.54</v>
      </c>
      <c r="G647" s="2">
        <v>0</v>
      </c>
      <c r="H647" s="4">
        <v>0</v>
      </c>
      <c r="I647" s="4">
        <v>0</v>
      </c>
      <c r="J647" s="4">
        <v>0</v>
      </c>
      <c r="K647" s="4">
        <v>15690704.539999999</v>
      </c>
      <c r="L647" s="4" t="s">
        <v>2038</v>
      </c>
      <c r="M647" s="4" t="s">
        <v>2039</v>
      </c>
      <c r="N647" s="4" t="s">
        <v>20</v>
      </c>
      <c r="O647" s="4" t="s">
        <v>631</v>
      </c>
      <c r="P647" s="4" t="s">
        <v>631</v>
      </c>
      <c r="Q647" s="8" t="s">
        <v>100</v>
      </c>
      <c r="R647" s="9">
        <f t="shared" si="11"/>
        <v>2.3132215773832002E-4</v>
      </c>
      <c r="S647" s="55">
        <f>Tabla3[[#This Row],[Subtotal]]/12</f>
        <v>1098788.8333333333</v>
      </c>
    </row>
    <row r="648" spans="1:19" x14ac:dyDescent="0.2">
      <c r="A648" s="4">
        <v>619</v>
      </c>
      <c r="B648" s="2">
        <v>13140906</v>
      </c>
      <c r="C648" s="2">
        <v>0</v>
      </c>
      <c r="D648" s="4" t="s">
        <v>2042</v>
      </c>
      <c r="E648" s="2">
        <v>13140906</v>
      </c>
      <c r="F648" s="2">
        <v>2496772.14</v>
      </c>
      <c r="G648" s="2">
        <v>328522.68</v>
      </c>
      <c r="H648" s="4">
        <v>0</v>
      </c>
      <c r="I648" s="4">
        <v>0</v>
      </c>
      <c r="J648" s="4">
        <v>328522.68</v>
      </c>
      <c r="K648" s="4">
        <v>15309155.460000001</v>
      </c>
      <c r="L648" s="4" t="s">
        <v>2041</v>
      </c>
      <c r="M648" s="4" t="s">
        <v>2041</v>
      </c>
      <c r="N648" s="4" t="s">
        <v>522</v>
      </c>
      <c r="O648" s="4" t="s">
        <v>105</v>
      </c>
      <c r="P648" s="4" t="s">
        <v>105</v>
      </c>
      <c r="Q648" s="8" t="s">
        <v>100</v>
      </c>
      <c r="R648" s="9">
        <f t="shared" si="11"/>
        <v>2.3054040945966081E-4</v>
      </c>
      <c r="S648" s="55">
        <f>Tabla3[[#This Row],[Subtotal]]/12</f>
        <v>1095075.5</v>
      </c>
    </row>
    <row r="649" spans="1:19" x14ac:dyDescent="0.2">
      <c r="A649" s="4">
        <v>1233</v>
      </c>
      <c r="B649" s="2">
        <v>13074433</v>
      </c>
      <c r="C649" s="2">
        <v>0</v>
      </c>
      <c r="D649" s="4" t="s">
        <v>2045</v>
      </c>
      <c r="E649" s="2">
        <v>13074433</v>
      </c>
      <c r="F649" s="2">
        <v>2484142.27</v>
      </c>
      <c r="G649" s="2">
        <v>0</v>
      </c>
      <c r="H649" s="4">
        <v>0</v>
      </c>
      <c r="I649" s="4">
        <v>0</v>
      </c>
      <c r="J649" s="4">
        <v>0</v>
      </c>
      <c r="K649" s="4">
        <v>15558575.27</v>
      </c>
      <c r="L649" s="4" t="s">
        <v>2043</v>
      </c>
      <c r="M649" s="4" t="s">
        <v>2044</v>
      </c>
      <c r="N649" s="4" t="s">
        <v>2046</v>
      </c>
      <c r="O649" s="4" t="s">
        <v>27</v>
      </c>
      <c r="P649" s="4" t="s">
        <v>27</v>
      </c>
      <c r="Q649" s="8" t="s">
        <v>100</v>
      </c>
      <c r="R649" s="9">
        <f t="shared" si="11"/>
        <v>2.2937422558786294E-4</v>
      </c>
      <c r="S649" s="55">
        <f>Tabla3[[#This Row],[Subtotal]]/12</f>
        <v>1089536.0833333333</v>
      </c>
    </row>
    <row r="650" spans="1:19" x14ac:dyDescent="0.2">
      <c r="A650" s="4">
        <v>1398</v>
      </c>
      <c r="B650" s="2">
        <v>13219826</v>
      </c>
      <c r="C650" s="2">
        <v>288910.8</v>
      </c>
      <c r="D650" s="4" t="s">
        <v>2049</v>
      </c>
      <c r="E650" s="2">
        <v>12930915.199999999</v>
      </c>
      <c r="F650" s="2">
        <v>2456873.89</v>
      </c>
      <c r="G650" s="2">
        <v>305443.98</v>
      </c>
      <c r="H650" s="4">
        <v>0</v>
      </c>
      <c r="I650" s="4">
        <v>0</v>
      </c>
      <c r="J650" s="4">
        <v>305443.98</v>
      </c>
      <c r="K650" s="4">
        <v>15082345.109999999</v>
      </c>
      <c r="L650" s="4" t="s">
        <v>2047</v>
      </c>
      <c r="M650" s="4" t="s">
        <v>2048</v>
      </c>
      <c r="N650" s="4" t="s">
        <v>20</v>
      </c>
      <c r="O650" s="4" t="s">
        <v>603</v>
      </c>
      <c r="P650" s="4" t="s">
        <v>603</v>
      </c>
      <c r="Q650" s="8" t="s">
        <v>100</v>
      </c>
      <c r="R650" s="9">
        <f t="shared" si="11"/>
        <v>2.2685638911777861E-4</v>
      </c>
      <c r="S650" s="55">
        <f>Tabla3[[#This Row],[Subtotal]]/12</f>
        <v>1077576.2666666666</v>
      </c>
    </row>
    <row r="651" spans="1:19" x14ac:dyDescent="0.2">
      <c r="A651" s="4">
        <v>1451</v>
      </c>
      <c r="B651" s="2">
        <v>12930317</v>
      </c>
      <c r="C651" s="2">
        <v>0</v>
      </c>
      <c r="D651" s="4" t="s">
        <v>2051</v>
      </c>
      <c r="E651" s="2">
        <v>12930317</v>
      </c>
      <c r="F651" s="2">
        <v>2456760.23</v>
      </c>
      <c r="G651" s="2">
        <v>192414.48</v>
      </c>
      <c r="H651" s="4">
        <v>0</v>
      </c>
      <c r="I651" s="4">
        <v>0</v>
      </c>
      <c r="J651" s="4">
        <v>192414.48</v>
      </c>
      <c r="K651" s="4">
        <v>15194662.75</v>
      </c>
      <c r="L651" s="4" t="s">
        <v>2050</v>
      </c>
      <c r="M651" s="4" t="s">
        <v>1456</v>
      </c>
      <c r="N651" s="4" t="s">
        <v>779</v>
      </c>
      <c r="O651" s="4" t="s">
        <v>33</v>
      </c>
      <c r="P651" s="4" t="s">
        <v>33</v>
      </c>
      <c r="Q651" s="8" t="s">
        <v>28</v>
      </c>
      <c r="R651" s="9">
        <f t="shared" si="11"/>
        <v>2.2684589446292464E-4</v>
      </c>
      <c r="S651" s="55">
        <f>Tabla3[[#This Row],[Subtotal]]/12</f>
        <v>1077526.4166666667</v>
      </c>
    </row>
    <row r="652" spans="1:19" x14ac:dyDescent="0.2">
      <c r="A652" s="4">
        <v>186</v>
      </c>
      <c r="B652" s="2">
        <v>12796499</v>
      </c>
      <c r="C652" s="2">
        <v>0</v>
      </c>
      <c r="D652" s="4" t="s">
        <v>2054</v>
      </c>
      <c r="E652" s="2">
        <v>12796499</v>
      </c>
      <c r="F652" s="2">
        <v>2431334.81</v>
      </c>
      <c r="G652" s="2">
        <v>0</v>
      </c>
      <c r="H652" s="4">
        <v>0</v>
      </c>
      <c r="I652" s="4">
        <v>0</v>
      </c>
      <c r="J652" s="4">
        <v>0</v>
      </c>
      <c r="K652" s="4">
        <v>15227833.810000001</v>
      </c>
      <c r="L652" s="4" t="s">
        <v>2052</v>
      </c>
      <c r="M652" s="4" t="s">
        <v>2053</v>
      </c>
      <c r="N652" s="4" t="s">
        <v>272</v>
      </c>
      <c r="O652" s="4" t="s">
        <v>89</v>
      </c>
      <c r="P652" s="4" t="s">
        <v>89</v>
      </c>
      <c r="Q652" s="8" t="s">
        <v>100</v>
      </c>
      <c r="R652" s="9">
        <f t="shared" si="11"/>
        <v>2.2449822859322945E-4</v>
      </c>
      <c r="S652" s="55">
        <f>Tabla3[[#This Row],[Subtotal]]/12</f>
        <v>1066374.9166666667</v>
      </c>
    </row>
    <row r="653" spans="1:19" x14ac:dyDescent="0.2">
      <c r="A653" s="4">
        <v>1378</v>
      </c>
      <c r="B653" s="2">
        <v>12767619</v>
      </c>
      <c r="C653" s="2">
        <v>0</v>
      </c>
      <c r="D653" s="4" t="s">
        <v>2057</v>
      </c>
      <c r="E653" s="2">
        <v>12767619</v>
      </c>
      <c r="F653" s="2">
        <v>2425847.61</v>
      </c>
      <c r="G653" s="2">
        <v>228307.84</v>
      </c>
      <c r="H653" s="4">
        <v>0</v>
      </c>
      <c r="I653" s="4">
        <v>0</v>
      </c>
      <c r="J653" s="4">
        <v>228307.84</v>
      </c>
      <c r="K653" s="4">
        <v>14965158.77</v>
      </c>
      <c r="L653" s="4" t="s">
        <v>2055</v>
      </c>
      <c r="M653" s="4" t="s">
        <v>2056</v>
      </c>
      <c r="N653" s="4" t="s">
        <v>20</v>
      </c>
      <c r="O653" s="4" t="s">
        <v>257</v>
      </c>
      <c r="P653" s="4" t="s">
        <v>257</v>
      </c>
      <c r="Q653" s="8" t="s">
        <v>100</v>
      </c>
      <c r="R653" s="9">
        <f t="shared" si="11"/>
        <v>2.2399156588479859E-4</v>
      </c>
      <c r="S653" s="55">
        <f>Tabla3[[#This Row],[Subtotal]]/12</f>
        <v>1063968.25</v>
      </c>
    </row>
    <row r="654" spans="1:19" x14ac:dyDescent="0.2">
      <c r="A654" s="4">
        <v>18</v>
      </c>
      <c r="B654" s="2">
        <v>12756724</v>
      </c>
      <c r="C654" s="2">
        <v>0</v>
      </c>
      <c r="D654" s="4" t="s">
        <v>2059</v>
      </c>
      <c r="E654" s="2">
        <v>12756724</v>
      </c>
      <c r="F654" s="2">
        <v>2423777.56</v>
      </c>
      <c r="G654" s="2">
        <v>318918.09999999998</v>
      </c>
      <c r="H654" s="4">
        <v>363566.64</v>
      </c>
      <c r="I654" s="4">
        <v>0</v>
      </c>
      <c r="J654" s="4">
        <v>682484.74</v>
      </c>
      <c r="K654" s="4">
        <v>14498016.82</v>
      </c>
      <c r="L654" s="4" t="s">
        <v>2058</v>
      </c>
      <c r="M654" s="4" t="s">
        <v>146</v>
      </c>
      <c r="N654" s="4" t="s">
        <v>2060</v>
      </c>
      <c r="O654" s="4" t="s">
        <v>113</v>
      </c>
      <c r="P654" s="4" t="s">
        <v>113</v>
      </c>
      <c r="Q654" s="8" t="s">
        <v>28</v>
      </c>
      <c r="R654" s="9">
        <f t="shared" si="11"/>
        <v>2.2380042702716861E-4</v>
      </c>
      <c r="S654" s="55">
        <f>Tabla3[[#This Row],[Subtotal]]/12</f>
        <v>1063060.3333333333</v>
      </c>
    </row>
    <row r="655" spans="1:19" x14ac:dyDescent="0.2">
      <c r="A655" s="4">
        <v>141</v>
      </c>
      <c r="B655" s="2">
        <v>12752558</v>
      </c>
      <c r="C655" s="2">
        <v>0</v>
      </c>
      <c r="D655" s="4" t="s">
        <v>2063</v>
      </c>
      <c r="E655" s="2">
        <v>12752558</v>
      </c>
      <c r="F655" s="2">
        <v>2422986.02</v>
      </c>
      <c r="G655" s="2">
        <v>0</v>
      </c>
      <c r="H655" s="4">
        <v>0</v>
      </c>
      <c r="I655" s="4">
        <v>0</v>
      </c>
      <c r="J655" s="4">
        <v>0</v>
      </c>
      <c r="K655" s="4">
        <v>15175544.02</v>
      </c>
      <c r="L655" s="4" t="s">
        <v>2061</v>
      </c>
      <c r="M655" s="4" t="s">
        <v>2062</v>
      </c>
      <c r="N655" s="4" t="s">
        <v>381</v>
      </c>
      <c r="O655" s="4" t="s">
        <v>382</v>
      </c>
      <c r="P655" s="4" t="s">
        <v>382</v>
      </c>
      <c r="Q655" s="8" t="s">
        <v>100</v>
      </c>
      <c r="R655" s="9">
        <f t="shared" si="11"/>
        <v>2.237273398788541E-4</v>
      </c>
      <c r="S655" s="55">
        <f>Tabla3[[#This Row],[Subtotal]]/12</f>
        <v>1062713.1666666667</v>
      </c>
    </row>
    <row r="656" spans="1:19" x14ac:dyDescent="0.2">
      <c r="A656" s="4">
        <v>428</v>
      </c>
      <c r="B656" s="2">
        <v>12744504</v>
      </c>
      <c r="C656" s="2">
        <v>0</v>
      </c>
      <c r="D656" s="4" t="s">
        <v>2066</v>
      </c>
      <c r="E656" s="2">
        <v>12744504</v>
      </c>
      <c r="F656" s="2">
        <v>2421455.7599999998</v>
      </c>
      <c r="G656" s="2">
        <v>0</v>
      </c>
      <c r="H656" s="4">
        <v>0</v>
      </c>
      <c r="I656" s="4">
        <v>0</v>
      </c>
      <c r="J656" s="4">
        <v>0</v>
      </c>
      <c r="K656" s="4">
        <v>15165959.76</v>
      </c>
      <c r="L656" s="4" t="s">
        <v>2064</v>
      </c>
      <c r="M656" s="4" t="s">
        <v>2065</v>
      </c>
      <c r="N656" s="4" t="s">
        <v>272</v>
      </c>
      <c r="O656" s="4" t="s">
        <v>89</v>
      </c>
      <c r="P656" s="4" t="s">
        <v>89</v>
      </c>
      <c r="Q656" s="8" t="s">
        <v>100</v>
      </c>
      <c r="R656" s="9">
        <f t="shared" si="11"/>
        <v>2.2358604273710542E-4</v>
      </c>
      <c r="S656" s="55">
        <f>Tabla3[[#This Row],[Subtotal]]/12</f>
        <v>1062042</v>
      </c>
    </row>
    <row r="657" spans="1:19" x14ac:dyDescent="0.2">
      <c r="A657" s="4">
        <v>1188</v>
      </c>
      <c r="B657" s="2">
        <v>12675538</v>
      </c>
      <c r="C657" s="2">
        <v>0</v>
      </c>
      <c r="D657" s="4" t="s">
        <v>2069</v>
      </c>
      <c r="E657" s="2">
        <v>12675538</v>
      </c>
      <c r="F657" s="2">
        <v>2408352.2200000002</v>
      </c>
      <c r="G657" s="2">
        <v>0</v>
      </c>
      <c r="H657" s="4">
        <v>0</v>
      </c>
      <c r="I657" s="4">
        <v>0</v>
      </c>
      <c r="J657" s="4">
        <v>0</v>
      </c>
      <c r="K657" s="4">
        <v>15083890.220000001</v>
      </c>
      <c r="L657" s="4" t="s">
        <v>2067</v>
      </c>
      <c r="M657" s="4" t="s">
        <v>2068</v>
      </c>
      <c r="N657" s="4" t="s">
        <v>20</v>
      </c>
      <c r="O657" s="4" t="s">
        <v>1157</v>
      </c>
      <c r="P657" s="4" t="s">
        <v>1157</v>
      </c>
      <c r="Q657" s="8" t="s">
        <v>100</v>
      </c>
      <c r="R657" s="9">
        <f t="shared" si="11"/>
        <v>2.2237612236488796E-4</v>
      </c>
      <c r="S657" s="55">
        <f>Tabla3[[#This Row],[Subtotal]]/12</f>
        <v>1056294.8333333333</v>
      </c>
    </row>
    <row r="658" spans="1:19" x14ac:dyDescent="0.2">
      <c r="A658" s="4">
        <v>675</v>
      </c>
      <c r="B658" s="2">
        <v>12648756</v>
      </c>
      <c r="C658" s="2">
        <v>0</v>
      </c>
      <c r="D658" s="4" t="s">
        <v>2071</v>
      </c>
      <c r="E658" s="2">
        <v>12648756</v>
      </c>
      <c r="F658" s="2">
        <v>2403263.64</v>
      </c>
      <c r="G658" s="2">
        <v>0</v>
      </c>
      <c r="H658" s="4">
        <v>0</v>
      </c>
      <c r="I658" s="4">
        <v>0</v>
      </c>
      <c r="J658" s="4">
        <v>0</v>
      </c>
      <c r="K658" s="4">
        <v>15052019.640000001</v>
      </c>
      <c r="L658" s="4" t="s">
        <v>2070</v>
      </c>
      <c r="M658" s="4" t="s">
        <v>1930</v>
      </c>
      <c r="N658" s="4" t="s">
        <v>2072</v>
      </c>
      <c r="O658" s="4" t="s">
        <v>89</v>
      </c>
      <c r="P658" s="4" t="s">
        <v>89</v>
      </c>
      <c r="Q658" s="8" t="s">
        <v>28</v>
      </c>
      <c r="R658" s="9">
        <f t="shared" si="11"/>
        <v>2.2190626638645322E-4</v>
      </c>
      <c r="S658" s="55">
        <f>Tabla3[[#This Row],[Subtotal]]/12</f>
        <v>1054063</v>
      </c>
    </row>
    <row r="659" spans="1:19" x14ac:dyDescent="0.2">
      <c r="A659" s="4">
        <v>439</v>
      </c>
      <c r="B659" s="2">
        <v>12640889</v>
      </c>
      <c r="C659" s="2">
        <v>0</v>
      </c>
      <c r="D659" s="4" t="s">
        <v>2075</v>
      </c>
      <c r="E659" s="2">
        <v>12640889</v>
      </c>
      <c r="F659" s="2">
        <v>2401768.91</v>
      </c>
      <c r="G659" s="2">
        <v>0</v>
      </c>
      <c r="H659" s="4">
        <v>0</v>
      </c>
      <c r="I659" s="4">
        <v>0</v>
      </c>
      <c r="J659" s="4">
        <v>0</v>
      </c>
      <c r="K659" s="4">
        <v>15042657.91</v>
      </c>
      <c r="L659" s="4" t="s">
        <v>2073</v>
      </c>
      <c r="M659" s="4" t="s">
        <v>2074</v>
      </c>
      <c r="N659" s="4" t="s">
        <v>20</v>
      </c>
      <c r="O659" s="4" t="s">
        <v>631</v>
      </c>
      <c r="P659" s="4" t="s">
        <v>631</v>
      </c>
      <c r="Q659" s="8" t="s">
        <v>100</v>
      </c>
      <c r="R659" s="9">
        <f t="shared" si="11"/>
        <v>2.2176824992082908E-4</v>
      </c>
      <c r="S659" s="55">
        <f>Tabla3[[#This Row],[Subtotal]]/12</f>
        <v>1053407.4166666667</v>
      </c>
    </row>
    <row r="660" spans="1:19" x14ac:dyDescent="0.2">
      <c r="A660" s="4">
        <v>512</v>
      </c>
      <c r="B660" s="2">
        <v>12568167</v>
      </c>
      <c r="C660" s="2">
        <v>0</v>
      </c>
      <c r="D660" s="4" t="s">
        <v>2078</v>
      </c>
      <c r="E660" s="2">
        <v>12568167</v>
      </c>
      <c r="F660" s="2">
        <v>2387951.73</v>
      </c>
      <c r="G660" s="2">
        <v>254493.04</v>
      </c>
      <c r="H660" s="4">
        <v>0</v>
      </c>
      <c r="I660" s="4">
        <v>0</v>
      </c>
      <c r="J660" s="4">
        <v>254493.04</v>
      </c>
      <c r="K660" s="4">
        <v>14701625.689999999</v>
      </c>
      <c r="L660" s="4" t="s">
        <v>2076</v>
      </c>
      <c r="M660" s="4" t="s">
        <v>2077</v>
      </c>
      <c r="N660" s="4" t="s">
        <v>1015</v>
      </c>
      <c r="O660" s="4" t="s">
        <v>89</v>
      </c>
      <c r="P660" s="4" t="s">
        <v>89</v>
      </c>
      <c r="Q660" s="8" t="s">
        <v>100</v>
      </c>
      <c r="R660" s="9">
        <f t="shared" si="11"/>
        <v>2.2049243532655944E-4</v>
      </c>
      <c r="S660" s="55">
        <f>Tabla3[[#This Row],[Subtotal]]/12</f>
        <v>1047347.25</v>
      </c>
    </row>
    <row r="661" spans="1:19" x14ac:dyDescent="0.2">
      <c r="A661" s="4">
        <v>1325</v>
      </c>
      <c r="B661" s="2">
        <v>12492153</v>
      </c>
      <c r="C661" s="2">
        <v>0</v>
      </c>
      <c r="D661" s="4" t="s">
        <v>2081</v>
      </c>
      <c r="E661" s="2">
        <v>12492153</v>
      </c>
      <c r="F661" s="2">
        <v>2373509.0699999998</v>
      </c>
      <c r="G661" s="2">
        <v>0</v>
      </c>
      <c r="H661" s="4">
        <v>0</v>
      </c>
      <c r="I661" s="4">
        <v>0</v>
      </c>
      <c r="J661" s="4">
        <v>0</v>
      </c>
      <c r="K661" s="4">
        <v>14865662.07</v>
      </c>
      <c r="L661" s="4" t="s">
        <v>2079</v>
      </c>
      <c r="M661" s="4" t="s">
        <v>2080</v>
      </c>
      <c r="N661" s="4" t="s">
        <v>2082</v>
      </c>
      <c r="O661" s="4" t="s">
        <v>229</v>
      </c>
      <c r="P661" s="4" t="s">
        <v>229</v>
      </c>
      <c r="Q661" s="8" t="s">
        <v>100</v>
      </c>
      <c r="R661" s="9">
        <f t="shared" si="11"/>
        <v>2.1915886679751991E-4</v>
      </c>
      <c r="S661" s="55">
        <f>Tabla3[[#This Row],[Subtotal]]/12</f>
        <v>1041012.75</v>
      </c>
    </row>
    <row r="662" spans="1:19" x14ac:dyDescent="0.2">
      <c r="A662" s="4">
        <v>45</v>
      </c>
      <c r="B662" s="2">
        <v>12487886</v>
      </c>
      <c r="C662" s="2">
        <v>0</v>
      </c>
      <c r="D662" s="4" t="s">
        <v>2085</v>
      </c>
      <c r="E662" s="2">
        <v>12487886</v>
      </c>
      <c r="F662" s="2">
        <v>2372698.34</v>
      </c>
      <c r="G662" s="2">
        <v>0</v>
      </c>
      <c r="H662" s="4">
        <v>0</v>
      </c>
      <c r="I662" s="4">
        <v>0</v>
      </c>
      <c r="J662" s="4">
        <v>0</v>
      </c>
      <c r="K662" s="4">
        <v>14860584.34</v>
      </c>
      <c r="L662" s="4" t="s">
        <v>2083</v>
      </c>
      <c r="M662" s="4" t="s">
        <v>2084</v>
      </c>
      <c r="N662" s="4" t="s">
        <v>20</v>
      </c>
      <c r="O662" s="4" t="s">
        <v>316</v>
      </c>
      <c r="P662" s="4" t="s">
        <v>316</v>
      </c>
      <c r="Q662" s="8" t="s">
        <v>100</v>
      </c>
      <c r="R662" s="9">
        <f t="shared" si="11"/>
        <v>2.1908400773322371E-4</v>
      </c>
      <c r="S662" s="55">
        <f>Tabla3[[#This Row],[Subtotal]]/12</f>
        <v>1040657.1666666666</v>
      </c>
    </row>
    <row r="663" spans="1:19" x14ac:dyDescent="0.2">
      <c r="A663" s="4">
        <v>1326</v>
      </c>
      <c r="B663" s="2">
        <v>12482403</v>
      </c>
      <c r="C663" s="2">
        <v>0</v>
      </c>
      <c r="D663" s="4" t="s">
        <v>2088</v>
      </c>
      <c r="E663" s="2">
        <v>12482403</v>
      </c>
      <c r="F663" s="2">
        <v>2371656.5699999998</v>
      </c>
      <c r="G663" s="2">
        <v>0</v>
      </c>
      <c r="H663" s="4">
        <v>0</v>
      </c>
      <c r="I663" s="4">
        <v>0</v>
      </c>
      <c r="J663" s="4">
        <v>0</v>
      </c>
      <c r="K663" s="4">
        <v>14854059.57</v>
      </c>
      <c r="L663" s="4" t="s">
        <v>2086</v>
      </c>
      <c r="M663" s="4" t="s">
        <v>2087</v>
      </c>
      <c r="N663" s="4" t="s">
        <v>276</v>
      </c>
      <c r="O663" s="4" t="s">
        <v>105</v>
      </c>
      <c r="P663" s="4" t="s">
        <v>105</v>
      </c>
      <c r="Q663" s="8" t="s">
        <v>100</v>
      </c>
      <c r="R663" s="9">
        <f t="shared" si="11"/>
        <v>2.1898781550225673E-4</v>
      </c>
      <c r="S663" s="55">
        <f>Tabla3[[#This Row],[Subtotal]]/12</f>
        <v>1040200.25</v>
      </c>
    </row>
    <row r="664" spans="1:19" x14ac:dyDescent="0.2">
      <c r="A664" s="4">
        <v>1128</v>
      </c>
      <c r="B664" s="2">
        <v>12816204</v>
      </c>
      <c r="C664" s="2">
        <v>384486.12</v>
      </c>
      <c r="D664" s="4" t="s">
        <v>2091</v>
      </c>
      <c r="E664" s="2">
        <v>12431717.880000001</v>
      </c>
      <c r="F664" s="2">
        <v>2362026.4</v>
      </c>
      <c r="G664" s="2">
        <v>0</v>
      </c>
      <c r="H664" s="4">
        <v>0</v>
      </c>
      <c r="I664" s="4">
        <v>0</v>
      </c>
      <c r="J664" s="4">
        <v>0</v>
      </c>
      <c r="K664" s="4">
        <v>14793744.279999999</v>
      </c>
      <c r="L664" s="4" t="s">
        <v>2089</v>
      </c>
      <c r="M664" s="4" t="s">
        <v>2090</v>
      </c>
      <c r="N664" s="4" t="s">
        <v>2092</v>
      </c>
      <c r="O664" s="4" t="s">
        <v>2093</v>
      </c>
      <c r="P664" s="4" t="s">
        <v>2093</v>
      </c>
      <c r="Q664" s="8" t="s">
        <v>100</v>
      </c>
      <c r="R664" s="9">
        <f t="shared" si="11"/>
        <v>2.1809860981748038E-4</v>
      </c>
      <c r="S664" s="55">
        <f>Tabla3[[#This Row],[Subtotal]]/12</f>
        <v>1035976.4900000001</v>
      </c>
    </row>
    <row r="665" spans="1:19" x14ac:dyDescent="0.2">
      <c r="A665" s="4">
        <v>926</v>
      </c>
      <c r="B665" s="2">
        <v>12418341</v>
      </c>
      <c r="C665" s="2">
        <v>0</v>
      </c>
      <c r="D665" s="4" t="s">
        <v>2096</v>
      </c>
      <c r="E665" s="2">
        <v>12418341</v>
      </c>
      <c r="F665" s="2">
        <v>2359484.79</v>
      </c>
      <c r="G665" s="2">
        <v>265180.74</v>
      </c>
      <c r="H665" s="4">
        <v>0</v>
      </c>
      <c r="I665" s="4">
        <v>0</v>
      </c>
      <c r="J665" s="4">
        <v>265180.74</v>
      </c>
      <c r="K665" s="4">
        <v>14512645.050000001</v>
      </c>
      <c r="L665" s="4" t="s">
        <v>2094</v>
      </c>
      <c r="M665" s="4" t="s">
        <v>2095</v>
      </c>
      <c r="N665" s="4" t="s">
        <v>1269</v>
      </c>
      <c r="O665" s="4" t="s">
        <v>105</v>
      </c>
      <c r="P665" s="4" t="s">
        <v>105</v>
      </c>
      <c r="Q665" s="8" t="s">
        <v>100</v>
      </c>
      <c r="R665" s="9">
        <f t="shared" si="11"/>
        <v>2.1786392954562599E-4</v>
      </c>
      <c r="S665" s="55">
        <f>Tabla3[[#This Row],[Subtotal]]/12</f>
        <v>1034861.75</v>
      </c>
    </row>
    <row r="666" spans="1:19" x14ac:dyDescent="0.2">
      <c r="A666" s="4">
        <v>894</v>
      </c>
      <c r="B666" s="2">
        <v>12401768</v>
      </c>
      <c r="C666" s="2">
        <v>0</v>
      </c>
      <c r="D666" s="4" t="s">
        <v>2099</v>
      </c>
      <c r="E666" s="2">
        <v>12401768</v>
      </c>
      <c r="F666" s="2">
        <v>2344137.92</v>
      </c>
      <c r="G666" s="2">
        <v>310044.2</v>
      </c>
      <c r="H666" s="4">
        <v>0</v>
      </c>
      <c r="I666" s="4">
        <v>0</v>
      </c>
      <c r="J666" s="4">
        <v>310044.2</v>
      </c>
      <c r="K666" s="4">
        <v>14435861.720000001</v>
      </c>
      <c r="L666" s="4" t="s">
        <v>2097</v>
      </c>
      <c r="M666" s="4" t="s">
        <v>2098</v>
      </c>
      <c r="N666" s="4" t="s">
        <v>2100</v>
      </c>
      <c r="O666" s="4" t="s">
        <v>386</v>
      </c>
      <c r="P666" s="4" t="s">
        <v>386</v>
      </c>
      <c r="Q666" s="8" t="s">
        <v>1378</v>
      </c>
      <c r="R666" s="9">
        <f t="shared" si="11"/>
        <v>2.1757317743112376E-4</v>
      </c>
      <c r="S666" s="55">
        <f>Tabla3[[#This Row],[Subtotal]]/12</f>
        <v>1033480.6666666666</v>
      </c>
    </row>
    <row r="667" spans="1:19" x14ac:dyDescent="0.2">
      <c r="A667" s="4">
        <v>1392</v>
      </c>
      <c r="B667" s="2">
        <v>12364456</v>
      </c>
      <c r="C667" s="2">
        <v>0</v>
      </c>
      <c r="D667" s="4" t="s">
        <v>2103</v>
      </c>
      <c r="E667" s="2">
        <v>12364456</v>
      </c>
      <c r="F667" s="2">
        <v>2349246.64</v>
      </c>
      <c r="G667" s="2">
        <v>0</v>
      </c>
      <c r="H667" s="4">
        <v>0</v>
      </c>
      <c r="I667" s="4">
        <v>0</v>
      </c>
      <c r="J667" s="4">
        <v>0</v>
      </c>
      <c r="K667" s="4">
        <v>14713702.640000001</v>
      </c>
      <c r="L667" s="4" t="s">
        <v>2101</v>
      </c>
      <c r="M667" s="4" t="s">
        <v>2102</v>
      </c>
      <c r="N667" s="4" t="s">
        <v>20</v>
      </c>
      <c r="O667" s="4" t="s">
        <v>540</v>
      </c>
      <c r="P667" s="4" t="s">
        <v>540</v>
      </c>
      <c r="Q667" s="8" t="s">
        <v>100</v>
      </c>
      <c r="R667" s="9">
        <f t="shared" si="11"/>
        <v>2.1691858605380482E-4</v>
      </c>
      <c r="S667" s="55">
        <f>Tabla3[[#This Row],[Subtotal]]/12</f>
        <v>1030371.3333333334</v>
      </c>
    </row>
    <row r="668" spans="1:19" x14ac:dyDescent="0.2">
      <c r="A668" s="4">
        <v>693</v>
      </c>
      <c r="B668" s="2">
        <v>12358913</v>
      </c>
      <c r="C668" s="2">
        <v>0</v>
      </c>
      <c r="D668" s="4" t="s">
        <v>2106</v>
      </c>
      <c r="E668" s="2">
        <v>12358913</v>
      </c>
      <c r="F668" s="2">
        <v>2348193.4700000002</v>
      </c>
      <c r="G668" s="2">
        <v>303516.58</v>
      </c>
      <c r="H668" s="4">
        <v>0</v>
      </c>
      <c r="I668" s="4">
        <v>0</v>
      </c>
      <c r="J668" s="4">
        <v>303516.58</v>
      </c>
      <c r="K668" s="4">
        <v>14403589.890000001</v>
      </c>
      <c r="L668" s="4" t="s">
        <v>2104</v>
      </c>
      <c r="M668" s="4" t="s">
        <v>2105</v>
      </c>
      <c r="N668" s="4" t="s">
        <v>397</v>
      </c>
      <c r="O668" s="4" t="s">
        <v>89</v>
      </c>
      <c r="P668" s="4" t="s">
        <v>89</v>
      </c>
      <c r="Q668" s="8" t="s">
        <v>100</v>
      </c>
      <c r="R668" s="9">
        <f t="shared" si="11"/>
        <v>2.1682134119948237E-4</v>
      </c>
      <c r="S668" s="55">
        <f>Tabla3[[#This Row],[Subtotal]]/12</f>
        <v>1029909.4166666666</v>
      </c>
    </row>
    <row r="669" spans="1:19" x14ac:dyDescent="0.2">
      <c r="A669" s="4">
        <v>349</v>
      </c>
      <c r="B669" s="2">
        <v>12353774</v>
      </c>
      <c r="C669" s="2">
        <v>0</v>
      </c>
      <c r="D669" s="4" t="s">
        <v>2109</v>
      </c>
      <c r="E669" s="2">
        <v>12353774</v>
      </c>
      <c r="F669" s="2">
        <v>2347217.06</v>
      </c>
      <c r="G669" s="2">
        <v>208425.81</v>
      </c>
      <c r="H669" s="4">
        <v>0</v>
      </c>
      <c r="I669" s="4">
        <v>0</v>
      </c>
      <c r="J669" s="4">
        <v>208425.81</v>
      </c>
      <c r="K669" s="4">
        <v>14492565.25</v>
      </c>
      <c r="L669" s="4" t="s">
        <v>2107</v>
      </c>
      <c r="M669" s="4" t="s">
        <v>2108</v>
      </c>
      <c r="N669" s="4" t="s">
        <v>20</v>
      </c>
      <c r="O669" s="4" t="s">
        <v>1356</v>
      </c>
      <c r="P669" s="4" t="s">
        <v>1356</v>
      </c>
      <c r="Q669" s="8" t="s">
        <v>100</v>
      </c>
      <c r="R669" s="9">
        <f t="shared" si="11"/>
        <v>2.1673118400908673E-4</v>
      </c>
      <c r="S669" s="55">
        <f>Tabla3[[#This Row],[Subtotal]]/12</f>
        <v>1029481.1666666666</v>
      </c>
    </row>
    <row r="670" spans="1:19" x14ac:dyDescent="0.2">
      <c r="A670" s="4">
        <v>1227</v>
      </c>
      <c r="B670" s="2">
        <v>12349025</v>
      </c>
      <c r="C670" s="2">
        <v>0</v>
      </c>
      <c r="D670" s="4" t="s">
        <v>2112</v>
      </c>
      <c r="E670" s="2">
        <v>12349025</v>
      </c>
      <c r="F670" s="2">
        <v>2346314.75</v>
      </c>
      <c r="G670" s="2">
        <v>172587.02</v>
      </c>
      <c r="H670" s="4">
        <v>0</v>
      </c>
      <c r="I670" s="4">
        <v>0</v>
      </c>
      <c r="J670" s="4">
        <v>172587.02</v>
      </c>
      <c r="K670" s="4">
        <v>14522752.73</v>
      </c>
      <c r="L670" s="4" t="s">
        <v>2110</v>
      </c>
      <c r="M670" s="4" t="s">
        <v>2111</v>
      </c>
      <c r="N670" s="4" t="s">
        <v>2113</v>
      </c>
      <c r="O670" s="4" t="s">
        <v>89</v>
      </c>
      <c r="P670" s="4" t="s">
        <v>89</v>
      </c>
      <c r="Q670" s="8" t="s">
        <v>100</v>
      </c>
      <c r="R670" s="9">
        <f t="shared" si="11"/>
        <v>2.1664786887050163E-4</v>
      </c>
      <c r="S670" s="55">
        <f>Tabla3[[#This Row],[Subtotal]]/12</f>
        <v>1029085.4166666666</v>
      </c>
    </row>
    <row r="671" spans="1:19" x14ac:dyDescent="0.2">
      <c r="A671" s="4">
        <v>360</v>
      </c>
      <c r="B671" s="2">
        <v>12341427</v>
      </c>
      <c r="C671" s="2">
        <v>0</v>
      </c>
      <c r="D671" s="4" t="s">
        <v>2116</v>
      </c>
      <c r="E671" s="2">
        <v>12341427</v>
      </c>
      <c r="F671" s="2">
        <v>2344871.13</v>
      </c>
      <c r="G671" s="2">
        <v>308535.67999999999</v>
      </c>
      <c r="H671" s="4">
        <v>0</v>
      </c>
      <c r="I671" s="4">
        <v>0</v>
      </c>
      <c r="J671" s="4">
        <v>308535.67999999999</v>
      </c>
      <c r="K671" s="4">
        <v>14377762.449999999</v>
      </c>
      <c r="L671" s="4" t="s">
        <v>2114</v>
      </c>
      <c r="M671" s="4" t="s">
        <v>2115</v>
      </c>
      <c r="N671" s="4" t="s">
        <v>2117</v>
      </c>
      <c r="O671" s="4" t="s">
        <v>76</v>
      </c>
      <c r="P671" s="4" t="s">
        <v>76</v>
      </c>
      <c r="Q671" s="8" t="s">
        <v>585</v>
      </c>
      <c r="R671" s="9">
        <f t="shared" si="11"/>
        <v>2.1651457166625449E-4</v>
      </c>
      <c r="S671" s="55">
        <f>Tabla3[[#This Row],[Subtotal]]/12</f>
        <v>1028452.25</v>
      </c>
    </row>
    <row r="672" spans="1:19" x14ac:dyDescent="0.2">
      <c r="A672" s="4">
        <v>501</v>
      </c>
      <c r="B672" s="2">
        <v>12298456</v>
      </c>
      <c r="C672" s="2">
        <v>0</v>
      </c>
      <c r="D672" s="4" t="s">
        <v>2120</v>
      </c>
      <c r="E672" s="2">
        <v>12298456</v>
      </c>
      <c r="F672" s="2">
        <v>2336706.64</v>
      </c>
      <c r="G672" s="2">
        <v>198245.33</v>
      </c>
      <c r="H672" s="4">
        <v>0</v>
      </c>
      <c r="I672" s="4">
        <v>0</v>
      </c>
      <c r="J672" s="4">
        <v>198245.33</v>
      </c>
      <c r="K672" s="4">
        <v>14436917.310000001</v>
      </c>
      <c r="L672" s="4" t="s">
        <v>2118</v>
      </c>
      <c r="M672" s="4" t="s">
        <v>2119</v>
      </c>
      <c r="N672" s="4" t="s">
        <v>1143</v>
      </c>
      <c r="O672" s="4" t="s">
        <v>340</v>
      </c>
      <c r="P672" s="4" t="s">
        <v>340</v>
      </c>
      <c r="Q672" s="8" t="s">
        <v>100</v>
      </c>
      <c r="R672" s="9">
        <f t="shared" si="11"/>
        <v>2.1576070036279251E-4</v>
      </c>
      <c r="S672" s="55">
        <f>Tabla3[[#This Row],[Subtotal]]/12</f>
        <v>1024871.3333333334</v>
      </c>
    </row>
    <row r="673" spans="1:19" x14ac:dyDescent="0.2">
      <c r="A673" s="4">
        <v>1647</v>
      </c>
      <c r="B673" s="2">
        <v>12269514</v>
      </c>
      <c r="C673" s="2">
        <v>0</v>
      </c>
      <c r="D673" s="4" t="s">
        <v>2123</v>
      </c>
      <c r="E673" s="2">
        <v>12269514</v>
      </c>
      <c r="F673" s="2">
        <v>2331207.66</v>
      </c>
      <c r="G673" s="2">
        <v>166701.91</v>
      </c>
      <c r="H673" s="4">
        <v>0</v>
      </c>
      <c r="I673" s="4">
        <v>0</v>
      </c>
      <c r="J673" s="4">
        <v>166701.91</v>
      </c>
      <c r="K673" s="4">
        <v>14434019.75</v>
      </c>
      <c r="L673" s="4" t="s">
        <v>2121</v>
      </c>
      <c r="M673" s="4" t="s">
        <v>2122</v>
      </c>
      <c r="N673" s="4" t="s">
        <v>20</v>
      </c>
      <c r="O673" s="4" t="s">
        <v>631</v>
      </c>
      <c r="P673" s="4" t="s">
        <v>631</v>
      </c>
      <c r="Q673" s="8" t="s">
        <v>100</v>
      </c>
      <c r="R673" s="9">
        <f t="shared" si="11"/>
        <v>2.1525294994356105E-4</v>
      </c>
      <c r="S673" s="55">
        <f>Tabla3[[#This Row],[Subtotal]]/12</f>
        <v>1022459.5</v>
      </c>
    </row>
    <row r="674" spans="1:19" x14ac:dyDescent="0.2">
      <c r="A674" s="4">
        <v>1021</v>
      </c>
      <c r="B674" s="2">
        <v>12246110</v>
      </c>
      <c r="C674" s="2">
        <v>0</v>
      </c>
      <c r="D674" s="4" t="s">
        <v>2125</v>
      </c>
      <c r="E674" s="2">
        <v>12246110</v>
      </c>
      <c r="F674" s="2">
        <v>2326760.9</v>
      </c>
      <c r="G674" s="2">
        <v>306152.75</v>
      </c>
      <c r="H674" s="4">
        <v>0</v>
      </c>
      <c r="I674" s="4">
        <v>0</v>
      </c>
      <c r="J674" s="4">
        <v>306152.75</v>
      </c>
      <c r="K674" s="4">
        <v>14266718.15</v>
      </c>
      <c r="L674" s="4" t="s">
        <v>2124</v>
      </c>
      <c r="M674" s="4" t="s">
        <v>132</v>
      </c>
      <c r="N674" s="4" t="s">
        <v>32</v>
      </c>
      <c r="O674" s="4" t="s">
        <v>33</v>
      </c>
      <c r="P674" s="4" t="s">
        <v>33</v>
      </c>
      <c r="Q674" s="8" t="s">
        <v>28</v>
      </c>
      <c r="R674" s="9">
        <f t="shared" si="11"/>
        <v>2.1484235666003904E-4</v>
      </c>
      <c r="S674" s="55">
        <f>Tabla3[[#This Row],[Subtotal]]/12</f>
        <v>1020509.1666666666</v>
      </c>
    </row>
    <row r="675" spans="1:19" x14ac:dyDescent="0.2">
      <c r="A675" s="4">
        <v>989</v>
      </c>
      <c r="B675" s="2">
        <v>12243371</v>
      </c>
      <c r="C675" s="2">
        <v>0</v>
      </c>
      <c r="D675" s="4" t="s">
        <v>2128</v>
      </c>
      <c r="E675" s="2">
        <v>12243371</v>
      </c>
      <c r="F675" s="2">
        <v>2326240.4900000002</v>
      </c>
      <c r="G675" s="2">
        <v>306084.28000000003</v>
      </c>
      <c r="H675" s="4">
        <v>0</v>
      </c>
      <c r="I675" s="4">
        <v>0</v>
      </c>
      <c r="J675" s="4">
        <v>306084.28000000003</v>
      </c>
      <c r="K675" s="4">
        <v>14263527.210000001</v>
      </c>
      <c r="L675" s="4" t="s">
        <v>2126</v>
      </c>
      <c r="M675" s="4" t="s">
        <v>2127</v>
      </c>
      <c r="N675" s="4" t="s">
        <v>775</v>
      </c>
      <c r="O675" s="4" t="s">
        <v>1277</v>
      </c>
      <c r="P675" s="4" t="s">
        <v>1277</v>
      </c>
      <c r="Q675" s="8" t="s">
        <v>100</v>
      </c>
      <c r="R675" s="9">
        <f t="shared" si="11"/>
        <v>2.1479430440386204E-4</v>
      </c>
      <c r="S675" s="55">
        <f>Tabla3[[#This Row],[Subtotal]]/12</f>
        <v>1020280.9166666666</v>
      </c>
    </row>
    <row r="676" spans="1:19" x14ac:dyDescent="0.2">
      <c r="A676" s="4">
        <v>664</v>
      </c>
      <c r="B676" s="2">
        <v>12180410</v>
      </c>
      <c r="C676" s="2">
        <v>0</v>
      </c>
      <c r="D676" s="4" t="s">
        <v>2131</v>
      </c>
      <c r="E676" s="2">
        <v>12180410</v>
      </c>
      <c r="F676" s="2">
        <v>2314277.9</v>
      </c>
      <c r="G676" s="2">
        <v>148133.12</v>
      </c>
      <c r="H676" s="4">
        <v>0</v>
      </c>
      <c r="I676" s="4">
        <v>0</v>
      </c>
      <c r="J676" s="4">
        <v>148133.12</v>
      </c>
      <c r="K676" s="4">
        <v>14346554.779999999</v>
      </c>
      <c r="L676" s="4" t="s">
        <v>2129</v>
      </c>
      <c r="M676" s="4" t="s">
        <v>2130</v>
      </c>
      <c r="N676" s="4" t="s">
        <v>975</v>
      </c>
      <c r="O676" s="4" t="s">
        <v>89</v>
      </c>
      <c r="P676" s="4" t="s">
        <v>89</v>
      </c>
      <c r="Q676" s="8" t="s">
        <v>100</v>
      </c>
      <c r="R676" s="9">
        <f t="shared" si="11"/>
        <v>2.1368973408580406E-4</v>
      </c>
      <c r="S676" s="55">
        <f>Tabla3[[#This Row],[Subtotal]]/12</f>
        <v>1015034.1666666666</v>
      </c>
    </row>
    <row r="677" spans="1:19" x14ac:dyDescent="0.2">
      <c r="A677" s="4">
        <v>128</v>
      </c>
      <c r="B677" s="2">
        <v>12172787</v>
      </c>
      <c r="C677" s="2">
        <v>0</v>
      </c>
      <c r="D677" s="4" t="s">
        <v>2134</v>
      </c>
      <c r="E677" s="2">
        <v>12172787</v>
      </c>
      <c r="F677" s="2">
        <v>2312829.5299999998</v>
      </c>
      <c r="G677" s="2">
        <v>304319.68</v>
      </c>
      <c r="H677" s="4">
        <v>0</v>
      </c>
      <c r="I677" s="4">
        <v>0</v>
      </c>
      <c r="J677" s="4">
        <v>304319.68</v>
      </c>
      <c r="K677" s="4">
        <v>14181296.85</v>
      </c>
      <c r="L677" s="4" t="s">
        <v>2132</v>
      </c>
      <c r="M677" s="4" t="s">
        <v>2133</v>
      </c>
      <c r="N677" s="4" t="s">
        <v>2135</v>
      </c>
      <c r="O677" s="4" t="s">
        <v>59</v>
      </c>
      <c r="P677" s="4" t="s">
        <v>59</v>
      </c>
      <c r="Q677" s="8" t="s">
        <v>100</v>
      </c>
      <c r="R677" s="9">
        <f t="shared" si="11"/>
        <v>2.1355599828849214E-4</v>
      </c>
      <c r="S677" s="55">
        <f>Tabla3[[#This Row],[Subtotal]]/12</f>
        <v>1014398.9166666666</v>
      </c>
    </row>
    <row r="678" spans="1:19" x14ac:dyDescent="0.2">
      <c r="A678" s="4">
        <v>415</v>
      </c>
      <c r="B678" s="2">
        <v>12132483</v>
      </c>
      <c r="C678" s="2">
        <v>0</v>
      </c>
      <c r="D678" s="4" t="s">
        <v>2138</v>
      </c>
      <c r="E678" s="2">
        <v>12132483</v>
      </c>
      <c r="F678" s="2">
        <v>2305171.77</v>
      </c>
      <c r="G678" s="2">
        <v>278236.63</v>
      </c>
      <c r="H678" s="4">
        <v>0</v>
      </c>
      <c r="I678" s="4">
        <v>0</v>
      </c>
      <c r="J678" s="4">
        <v>278236.63</v>
      </c>
      <c r="K678" s="4">
        <v>14159418.140000001</v>
      </c>
      <c r="L678" s="4" t="s">
        <v>2136</v>
      </c>
      <c r="M678" s="4" t="s">
        <v>2137</v>
      </c>
      <c r="N678" s="4" t="s">
        <v>20</v>
      </c>
      <c r="O678" s="4" t="s">
        <v>631</v>
      </c>
      <c r="P678" s="4" t="s">
        <v>631</v>
      </c>
      <c r="Q678" s="8" t="s">
        <v>100</v>
      </c>
      <c r="R678" s="9">
        <f t="shared" si="11"/>
        <v>2.1284891609318064E-4</v>
      </c>
      <c r="S678" s="55">
        <f>Tabla3[[#This Row],[Subtotal]]/12</f>
        <v>1011040.25</v>
      </c>
    </row>
    <row r="679" spans="1:19" x14ac:dyDescent="0.2">
      <c r="A679" s="4">
        <v>120</v>
      </c>
      <c r="B679" s="2">
        <v>12092326</v>
      </c>
      <c r="C679" s="2">
        <v>0</v>
      </c>
      <c r="D679" s="4" t="s">
        <v>2141</v>
      </c>
      <c r="E679" s="2">
        <v>12092326</v>
      </c>
      <c r="F679" s="2">
        <v>2297541.94</v>
      </c>
      <c r="G679" s="2">
        <v>0</v>
      </c>
      <c r="H679" s="4">
        <v>0</v>
      </c>
      <c r="I679" s="4">
        <v>0</v>
      </c>
      <c r="J679" s="4">
        <v>0</v>
      </c>
      <c r="K679" s="4">
        <v>14389867.939999999</v>
      </c>
      <c r="L679" s="4" t="s">
        <v>2139</v>
      </c>
      <c r="M679" s="4" t="s">
        <v>2140</v>
      </c>
      <c r="N679" s="4" t="s">
        <v>1831</v>
      </c>
      <c r="O679" s="4" t="s">
        <v>33</v>
      </c>
      <c r="P679" s="4" t="s">
        <v>33</v>
      </c>
      <c r="Q679" s="8" t="s">
        <v>100</v>
      </c>
      <c r="R679" s="9">
        <f t="shared" si="11"/>
        <v>2.1214441282509002E-4</v>
      </c>
      <c r="S679" s="55">
        <f>Tabla3[[#This Row],[Subtotal]]/12</f>
        <v>1007693.8333333334</v>
      </c>
    </row>
    <row r="680" spans="1:19" x14ac:dyDescent="0.2">
      <c r="A680" s="4">
        <v>1041</v>
      </c>
      <c r="B680" s="2">
        <v>11991035</v>
      </c>
      <c r="C680" s="2">
        <v>0</v>
      </c>
      <c r="D680" s="4" t="s">
        <v>2144</v>
      </c>
      <c r="E680" s="2">
        <v>11991035</v>
      </c>
      <c r="F680" s="2">
        <v>2278296.65</v>
      </c>
      <c r="G680" s="2">
        <v>0</v>
      </c>
      <c r="H680" s="4">
        <v>0</v>
      </c>
      <c r="I680" s="4">
        <v>0</v>
      </c>
      <c r="J680" s="4">
        <v>0</v>
      </c>
      <c r="K680" s="4">
        <v>14269331.65</v>
      </c>
      <c r="L680" s="4" t="s">
        <v>2142</v>
      </c>
      <c r="M680" s="4" t="s">
        <v>2143</v>
      </c>
      <c r="N680" s="4" t="s">
        <v>92</v>
      </c>
      <c r="O680" s="4" t="s">
        <v>93</v>
      </c>
      <c r="P680" s="4" t="s">
        <v>93</v>
      </c>
      <c r="Q680" s="8" t="s">
        <v>28</v>
      </c>
      <c r="R680" s="9">
        <f t="shared" si="11"/>
        <v>2.1036739162011539E-4</v>
      </c>
      <c r="S680" s="55">
        <f>Tabla3[[#This Row],[Subtotal]]/12</f>
        <v>999252.91666666663</v>
      </c>
    </row>
    <row r="681" spans="1:19" x14ac:dyDescent="0.2">
      <c r="A681" s="4">
        <v>656</v>
      </c>
      <c r="B681" s="2">
        <v>11945637</v>
      </c>
      <c r="C681" s="2">
        <v>0</v>
      </c>
      <c r="D681" s="4" t="s">
        <v>2147</v>
      </c>
      <c r="E681" s="2">
        <v>11945637</v>
      </c>
      <c r="F681" s="2">
        <v>2269671.0299999998</v>
      </c>
      <c r="G681" s="2">
        <v>46391.1</v>
      </c>
      <c r="H681" s="4">
        <v>0</v>
      </c>
      <c r="I681" s="4">
        <v>0</v>
      </c>
      <c r="J681" s="4">
        <v>46391.1</v>
      </c>
      <c r="K681" s="4">
        <v>14168916.93</v>
      </c>
      <c r="L681" s="4" t="s">
        <v>2145</v>
      </c>
      <c r="M681" s="4" t="s">
        <v>2146</v>
      </c>
      <c r="N681" s="4" t="s">
        <v>20</v>
      </c>
      <c r="O681" s="4" t="s">
        <v>316</v>
      </c>
      <c r="P681" s="4" t="s">
        <v>316</v>
      </c>
      <c r="Q681" s="8" t="s">
        <v>100</v>
      </c>
      <c r="R681" s="9">
        <f t="shared" si="11"/>
        <v>2.0957094170192484E-4</v>
      </c>
      <c r="S681" s="55">
        <f>Tabla3[[#This Row],[Subtotal]]/12</f>
        <v>995469.75</v>
      </c>
    </row>
    <row r="682" spans="1:19" x14ac:dyDescent="0.2">
      <c r="A682" s="4">
        <v>91</v>
      </c>
      <c r="B682" s="2">
        <v>11912796</v>
      </c>
      <c r="C682" s="2">
        <v>0</v>
      </c>
      <c r="D682" s="4" t="s">
        <v>2150</v>
      </c>
      <c r="E682" s="2">
        <v>11912796</v>
      </c>
      <c r="F682" s="2">
        <v>2263431.2400000002</v>
      </c>
      <c r="G682" s="2">
        <v>0</v>
      </c>
      <c r="H682" s="4">
        <v>0</v>
      </c>
      <c r="I682" s="4">
        <v>0</v>
      </c>
      <c r="J682" s="4">
        <v>0</v>
      </c>
      <c r="K682" s="4">
        <v>14176227.24</v>
      </c>
      <c r="L682" s="4" t="s">
        <v>2148</v>
      </c>
      <c r="M682" s="4" t="s">
        <v>2149</v>
      </c>
      <c r="N682" s="4" t="s">
        <v>1298</v>
      </c>
      <c r="O682" s="4" t="s">
        <v>93</v>
      </c>
      <c r="P682" s="4" t="s">
        <v>93</v>
      </c>
      <c r="Q682" s="8" t="s">
        <v>100</v>
      </c>
      <c r="R682" s="9">
        <f t="shared" si="11"/>
        <v>2.0899478830831066E-4</v>
      </c>
      <c r="S682" s="55">
        <f>Tabla3[[#This Row],[Subtotal]]/12</f>
        <v>992733</v>
      </c>
    </row>
    <row r="683" spans="1:19" x14ac:dyDescent="0.2">
      <c r="A683" s="4">
        <v>224</v>
      </c>
      <c r="B683" s="2">
        <v>11884209</v>
      </c>
      <c r="C683" s="2">
        <v>0</v>
      </c>
      <c r="D683" s="4" t="s">
        <v>2153</v>
      </c>
      <c r="E683" s="2">
        <v>11884209</v>
      </c>
      <c r="F683" s="2">
        <v>2257999.71</v>
      </c>
      <c r="G683" s="2">
        <v>37213.629999999997</v>
      </c>
      <c r="H683" s="4">
        <v>0</v>
      </c>
      <c r="I683" s="4">
        <v>0</v>
      </c>
      <c r="J683" s="4">
        <v>37213.629999999997</v>
      </c>
      <c r="K683" s="4">
        <v>14104995.08</v>
      </c>
      <c r="L683" s="4" t="s">
        <v>2151</v>
      </c>
      <c r="M683" s="4" t="s">
        <v>2152</v>
      </c>
      <c r="N683" s="4" t="s">
        <v>2072</v>
      </c>
      <c r="O683" s="4" t="s">
        <v>89</v>
      </c>
      <c r="P683" s="4" t="s">
        <v>89</v>
      </c>
      <c r="Q683" s="8" t="s">
        <v>100</v>
      </c>
      <c r="R683" s="9">
        <f t="shared" si="11"/>
        <v>2.0849326591059904E-4</v>
      </c>
      <c r="S683" s="55">
        <f>Tabla3[[#This Row],[Subtotal]]/12</f>
        <v>990350.75</v>
      </c>
    </row>
    <row r="684" spans="1:19" x14ac:dyDescent="0.2">
      <c r="A684" s="4">
        <v>638</v>
      </c>
      <c r="B684" s="2">
        <v>11883923</v>
      </c>
      <c r="C684" s="2">
        <v>0</v>
      </c>
      <c r="D684" s="4" t="s">
        <v>2155</v>
      </c>
      <c r="E684" s="2">
        <v>11883923</v>
      </c>
      <c r="F684" s="2">
        <v>2257945.37</v>
      </c>
      <c r="G684" s="2">
        <v>241667.5</v>
      </c>
      <c r="H684" s="4">
        <v>0</v>
      </c>
      <c r="I684" s="4">
        <v>0</v>
      </c>
      <c r="J684" s="4">
        <v>241667.5</v>
      </c>
      <c r="K684" s="4">
        <v>13900200.869999999</v>
      </c>
      <c r="L684" s="4" t="s">
        <v>2154</v>
      </c>
      <c r="M684" s="4" t="s">
        <v>304</v>
      </c>
      <c r="N684" s="4" t="s">
        <v>306</v>
      </c>
      <c r="O684" s="4" t="s">
        <v>42</v>
      </c>
      <c r="P684" s="4" t="s">
        <v>42</v>
      </c>
      <c r="Q684" s="8" t="s">
        <v>28</v>
      </c>
      <c r="R684" s="9">
        <f t="shared" si="11"/>
        <v>2.0848824840593796E-4</v>
      </c>
      <c r="S684" s="55">
        <f>Tabla3[[#This Row],[Subtotal]]/12</f>
        <v>990326.91666666663</v>
      </c>
    </row>
    <row r="685" spans="1:19" x14ac:dyDescent="0.2">
      <c r="A685" s="4">
        <v>1430</v>
      </c>
      <c r="B685" s="2">
        <v>11796118</v>
      </c>
      <c r="C685" s="2">
        <v>0</v>
      </c>
      <c r="D685" s="4" t="s">
        <v>2158</v>
      </c>
      <c r="E685" s="2">
        <v>11796118</v>
      </c>
      <c r="F685" s="2">
        <v>2241262.42</v>
      </c>
      <c r="G685" s="2">
        <v>0</v>
      </c>
      <c r="H685" s="4">
        <v>0</v>
      </c>
      <c r="I685" s="4">
        <v>0</v>
      </c>
      <c r="J685" s="4">
        <v>0</v>
      </c>
      <c r="K685" s="4">
        <v>14037380.42</v>
      </c>
      <c r="L685" s="4" t="s">
        <v>2156</v>
      </c>
      <c r="M685" s="4" t="s">
        <v>2157</v>
      </c>
      <c r="N685" s="4" t="s">
        <v>20</v>
      </c>
      <c r="O685" s="4" t="s">
        <v>540</v>
      </c>
      <c r="P685" s="4" t="s">
        <v>540</v>
      </c>
      <c r="Q685" s="8" t="s">
        <v>100</v>
      </c>
      <c r="R685" s="9">
        <f t="shared" si="11"/>
        <v>2.0694782184382685E-4</v>
      </c>
      <c r="S685" s="55">
        <f>Tabla3[[#This Row],[Subtotal]]/12</f>
        <v>983009.83333333337</v>
      </c>
    </row>
    <row r="686" spans="1:19" x14ac:dyDescent="0.2">
      <c r="A686" s="4">
        <v>1027</v>
      </c>
      <c r="B686" s="2">
        <v>11781264</v>
      </c>
      <c r="C686" s="2">
        <v>0</v>
      </c>
      <c r="D686" s="4" t="s">
        <v>2160</v>
      </c>
      <c r="E686" s="2">
        <v>11781264</v>
      </c>
      <c r="F686" s="2">
        <v>2238440.16</v>
      </c>
      <c r="G686" s="2">
        <v>256338.1</v>
      </c>
      <c r="H686" s="4">
        <v>326381.32</v>
      </c>
      <c r="I686" s="4">
        <v>61521.15</v>
      </c>
      <c r="J686" s="4">
        <v>644240.56999999995</v>
      </c>
      <c r="K686" s="4">
        <v>13375463.59</v>
      </c>
      <c r="L686" s="4" t="s">
        <v>2159</v>
      </c>
      <c r="M686" s="4" t="s">
        <v>178</v>
      </c>
      <c r="N686" s="4" t="s">
        <v>20</v>
      </c>
      <c r="O686" s="4" t="s">
        <v>71</v>
      </c>
      <c r="P686" s="4" t="s">
        <v>71</v>
      </c>
      <c r="Q686" s="8" t="s">
        <v>28</v>
      </c>
      <c r="R686" s="9">
        <f t="shared" si="11"/>
        <v>2.0668722738845872E-4</v>
      </c>
      <c r="S686" s="55">
        <f>Tabla3[[#This Row],[Subtotal]]/12</f>
        <v>981772</v>
      </c>
    </row>
    <row r="687" spans="1:19" x14ac:dyDescent="0.2">
      <c r="A687" s="4">
        <v>1611</v>
      </c>
      <c r="B687" s="2">
        <v>11687055</v>
      </c>
      <c r="C687" s="2">
        <v>0</v>
      </c>
      <c r="D687" s="4" t="s">
        <v>2163</v>
      </c>
      <c r="E687" s="2">
        <v>11687055</v>
      </c>
      <c r="F687" s="2">
        <v>2220540.4500000002</v>
      </c>
      <c r="G687" s="2">
        <v>261301.31</v>
      </c>
      <c r="H687" s="4">
        <v>0</v>
      </c>
      <c r="I687" s="4">
        <v>0</v>
      </c>
      <c r="J687" s="4">
        <v>261301.31</v>
      </c>
      <c r="K687" s="4">
        <v>13646294.140000001</v>
      </c>
      <c r="L687" s="4" t="s">
        <v>2161</v>
      </c>
      <c r="M687" s="4" t="s">
        <v>2162</v>
      </c>
      <c r="N687" s="4" t="s">
        <v>20</v>
      </c>
      <c r="O687" s="4" t="s">
        <v>631</v>
      </c>
      <c r="P687" s="4" t="s">
        <v>631</v>
      </c>
      <c r="Q687" s="8" t="s">
        <v>100</v>
      </c>
      <c r="R687" s="9">
        <f t="shared" si="11"/>
        <v>2.0503445082687422E-4</v>
      </c>
      <c r="S687" s="55">
        <f>Tabla3[[#This Row],[Subtotal]]/12</f>
        <v>973921.25</v>
      </c>
    </row>
    <row r="688" spans="1:19" x14ac:dyDescent="0.2">
      <c r="A688" s="4">
        <v>685</v>
      </c>
      <c r="B688" s="2">
        <v>11680467</v>
      </c>
      <c r="C688" s="2">
        <v>0</v>
      </c>
      <c r="D688" s="4" t="s">
        <v>2166</v>
      </c>
      <c r="E688" s="2">
        <v>11680467</v>
      </c>
      <c r="F688" s="2">
        <v>2219288.73</v>
      </c>
      <c r="G688" s="2">
        <v>274421.93</v>
      </c>
      <c r="H688" s="4">
        <v>0</v>
      </c>
      <c r="I688" s="4">
        <v>0</v>
      </c>
      <c r="J688" s="4">
        <v>274421.93</v>
      </c>
      <c r="K688" s="4">
        <v>13625333.800000001</v>
      </c>
      <c r="L688" s="4" t="s">
        <v>2164</v>
      </c>
      <c r="M688" s="4" t="s">
        <v>2165</v>
      </c>
      <c r="N688" s="4" t="s">
        <v>2167</v>
      </c>
      <c r="O688" s="4" t="s">
        <v>105</v>
      </c>
      <c r="P688" s="4" t="s">
        <v>105</v>
      </c>
      <c r="Q688" s="8" t="s">
        <v>100</v>
      </c>
      <c r="R688" s="9">
        <f t="shared" si="11"/>
        <v>2.0491887278244409E-4</v>
      </c>
      <c r="S688" s="55">
        <f>Tabla3[[#This Row],[Subtotal]]/12</f>
        <v>973372.25</v>
      </c>
    </row>
    <row r="689" spans="1:19" x14ac:dyDescent="0.2">
      <c r="A689" s="4">
        <v>1232</v>
      </c>
      <c r="B689" s="2">
        <v>11679227</v>
      </c>
      <c r="C689" s="2">
        <v>0</v>
      </c>
      <c r="D689" s="4" t="s">
        <v>2170</v>
      </c>
      <c r="E689" s="2">
        <v>11679227</v>
      </c>
      <c r="F689" s="2">
        <v>2219053.13</v>
      </c>
      <c r="G689" s="2">
        <v>0</v>
      </c>
      <c r="H689" s="4">
        <v>0</v>
      </c>
      <c r="I689" s="4">
        <v>0</v>
      </c>
      <c r="J689" s="4">
        <v>0</v>
      </c>
      <c r="K689" s="4">
        <v>13898280.130000001</v>
      </c>
      <c r="L689" s="4" t="s">
        <v>2168</v>
      </c>
      <c r="M689" s="4" t="s">
        <v>2169</v>
      </c>
      <c r="N689" s="4" t="s">
        <v>20</v>
      </c>
      <c r="O689" s="4" t="s">
        <v>631</v>
      </c>
      <c r="P689" s="4" t="s">
        <v>631</v>
      </c>
      <c r="Q689" s="8" t="s">
        <v>100</v>
      </c>
      <c r="R689" s="9">
        <f t="shared" si="11"/>
        <v>2.0489711856643111E-4</v>
      </c>
      <c r="S689" s="55">
        <f>Tabla3[[#This Row],[Subtotal]]/12</f>
        <v>973268.91666666663</v>
      </c>
    </row>
    <row r="690" spans="1:19" x14ac:dyDescent="0.2">
      <c r="A690" s="4">
        <v>1037</v>
      </c>
      <c r="B690" s="2">
        <v>11573468</v>
      </c>
      <c r="C690" s="2">
        <v>0</v>
      </c>
      <c r="D690" s="4" t="s">
        <v>1109</v>
      </c>
      <c r="E690" s="2">
        <v>11573468</v>
      </c>
      <c r="F690" s="2">
        <v>2198958.92</v>
      </c>
      <c r="G690" s="2">
        <v>289336.7</v>
      </c>
      <c r="H690" s="4">
        <v>329843.84000000003</v>
      </c>
      <c r="I690" s="4">
        <v>69440.81</v>
      </c>
      <c r="J690" s="4">
        <v>688621.35</v>
      </c>
      <c r="K690" s="4">
        <v>13083805.57</v>
      </c>
      <c r="L690" s="4" t="s">
        <v>1108</v>
      </c>
      <c r="M690" s="4" t="s">
        <v>178</v>
      </c>
      <c r="N690" s="4" t="s">
        <v>293</v>
      </c>
      <c r="O690" s="4" t="s">
        <v>59</v>
      </c>
      <c r="P690" s="4" t="s">
        <v>229</v>
      </c>
      <c r="Q690" s="8" t="s">
        <v>28</v>
      </c>
      <c r="R690" s="9">
        <f t="shared" si="11"/>
        <v>2.0304171200891946E-4</v>
      </c>
      <c r="S690" s="55">
        <f>Tabla3[[#This Row],[Subtotal]]/12</f>
        <v>964455.66666666663</v>
      </c>
    </row>
    <row r="691" spans="1:19" x14ac:dyDescent="0.2">
      <c r="A691" s="4">
        <v>19</v>
      </c>
      <c r="B691" s="2">
        <v>11570653</v>
      </c>
      <c r="C691" s="2">
        <v>0</v>
      </c>
      <c r="D691" s="4" t="s">
        <v>2172</v>
      </c>
      <c r="E691" s="2">
        <v>11570653</v>
      </c>
      <c r="F691" s="2">
        <v>2198424.0699999998</v>
      </c>
      <c r="G691" s="2">
        <v>265168.34000000003</v>
      </c>
      <c r="H691" s="4">
        <v>302291.89</v>
      </c>
      <c r="I691" s="4">
        <v>0</v>
      </c>
      <c r="J691" s="4">
        <v>567460.23</v>
      </c>
      <c r="K691" s="4">
        <v>13201616.84</v>
      </c>
      <c r="L691" s="4" t="s">
        <v>2171</v>
      </c>
      <c r="M691" s="4" t="s">
        <v>146</v>
      </c>
      <c r="N691" s="4" t="s">
        <v>332</v>
      </c>
      <c r="O691" s="4" t="s">
        <v>1127</v>
      </c>
      <c r="P691" s="4" t="s">
        <v>1127</v>
      </c>
      <c r="Q691" s="8" t="s">
        <v>28</v>
      </c>
      <c r="R691" s="9">
        <f t="shared" si="11"/>
        <v>2.0299232642982554E-4</v>
      </c>
      <c r="S691" s="55">
        <f>Tabla3[[#This Row],[Subtotal]]/12</f>
        <v>964221.08333333337</v>
      </c>
    </row>
    <row r="692" spans="1:19" x14ac:dyDescent="0.2">
      <c r="A692" s="4">
        <v>716</v>
      </c>
      <c r="B692" s="2">
        <v>11550760</v>
      </c>
      <c r="C692" s="2">
        <v>0</v>
      </c>
      <c r="D692" s="4" t="s">
        <v>2175</v>
      </c>
      <c r="E692" s="2">
        <v>11550760</v>
      </c>
      <c r="F692" s="2">
        <v>2194644.4</v>
      </c>
      <c r="G692" s="2">
        <v>283628.09999999998</v>
      </c>
      <c r="H692" s="4">
        <v>0</v>
      </c>
      <c r="I692" s="4">
        <v>0</v>
      </c>
      <c r="J692" s="4">
        <v>283628.09999999998</v>
      </c>
      <c r="K692" s="4">
        <v>13461776.300000001</v>
      </c>
      <c r="L692" s="4" t="s">
        <v>2173</v>
      </c>
      <c r="M692" s="4" t="s">
        <v>2174</v>
      </c>
      <c r="N692" s="4" t="s">
        <v>32</v>
      </c>
      <c r="O692" s="4" t="s">
        <v>33</v>
      </c>
      <c r="P692" s="4" t="s">
        <v>33</v>
      </c>
      <c r="Q692" s="8" t="s">
        <v>100</v>
      </c>
      <c r="R692" s="9">
        <f t="shared" si="11"/>
        <v>2.0264332915632087E-4</v>
      </c>
      <c r="S692" s="55">
        <f>Tabla3[[#This Row],[Subtotal]]/12</f>
        <v>962563.33333333337</v>
      </c>
    </row>
    <row r="693" spans="1:19" x14ac:dyDescent="0.2">
      <c r="A693" s="4">
        <v>772</v>
      </c>
      <c r="B693" s="2">
        <v>11542045</v>
      </c>
      <c r="C693" s="2">
        <v>0</v>
      </c>
      <c r="D693" s="4" t="s">
        <v>2178</v>
      </c>
      <c r="E693" s="2">
        <v>11542045</v>
      </c>
      <c r="F693" s="2">
        <v>2192988.5499999998</v>
      </c>
      <c r="G693" s="2">
        <v>0</v>
      </c>
      <c r="H693" s="4">
        <v>0</v>
      </c>
      <c r="I693" s="4">
        <v>0</v>
      </c>
      <c r="J693" s="4">
        <v>0</v>
      </c>
      <c r="K693" s="4">
        <v>13735033.550000001</v>
      </c>
      <c r="L693" s="4" t="s">
        <v>2176</v>
      </c>
      <c r="M693" s="4" t="s">
        <v>2177</v>
      </c>
      <c r="N693" s="4" t="s">
        <v>20</v>
      </c>
      <c r="O693" s="4" t="s">
        <v>1549</v>
      </c>
      <c r="P693" s="4" t="s">
        <v>1549</v>
      </c>
      <c r="Q693" s="8" t="s">
        <v>100</v>
      </c>
      <c r="R693" s="9">
        <f t="shared" si="11"/>
        <v>2.0249043561393947E-4</v>
      </c>
      <c r="S693" s="55">
        <f>Tabla3[[#This Row],[Subtotal]]/12</f>
        <v>961837.08333333337</v>
      </c>
    </row>
    <row r="694" spans="1:19" x14ac:dyDescent="0.2">
      <c r="A694" s="4">
        <v>519</v>
      </c>
      <c r="B694" s="2">
        <v>11485001</v>
      </c>
      <c r="C694" s="2">
        <v>0</v>
      </c>
      <c r="D694" s="4" t="s">
        <v>2181</v>
      </c>
      <c r="E694" s="2">
        <v>11485001</v>
      </c>
      <c r="F694" s="2">
        <v>2182150.19</v>
      </c>
      <c r="G694" s="2">
        <v>0</v>
      </c>
      <c r="H694" s="4">
        <v>0</v>
      </c>
      <c r="I694" s="4">
        <v>0</v>
      </c>
      <c r="J694" s="4">
        <v>0</v>
      </c>
      <c r="K694" s="4">
        <v>13667151.189999999</v>
      </c>
      <c r="L694" s="4" t="s">
        <v>2179</v>
      </c>
      <c r="M694" s="4" t="s">
        <v>2180</v>
      </c>
      <c r="N694" s="4" t="s">
        <v>272</v>
      </c>
      <c r="O694" s="4" t="s">
        <v>89</v>
      </c>
      <c r="P694" s="4" t="s">
        <v>89</v>
      </c>
      <c r="Q694" s="8" t="s">
        <v>100</v>
      </c>
      <c r="R694" s="9">
        <f t="shared" si="11"/>
        <v>2.0148967150245302E-4</v>
      </c>
      <c r="S694" s="55">
        <f>Tabla3[[#This Row],[Subtotal]]/12</f>
        <v>957083.41666666663</v>
      </c>
    </row>
    <row r="695" spans="1:19" x14ac:dyDescent="0.2">
      <c r="A695" s="4">
        <v>195</v>
      </c>
      <c r="B695" s="2">
        <v>11426666</v>
      </c>
      <c r="C695" s="2">
        <v>0</v>
      </c>
      <c r="D695" s="4" t="s">
        <v>2184</v>
      </c>
      <c r="E695" s="2">
        <v>11426666</v>
      </c>
      <c r="F695" s="2">
        <v>0</v>
      </c>
      <c r="G695" s="2">
        <v>0</v>
      </c>
      <c r="H695" s="4">
        <v>0</v>
      </c>
      <c r="I695" s="4">
        <v>0</v>
      </c>
      <c r="J695" s="4">
        <v>0</v>
      </c>
      <c r="K695" s="4">
        <v>11426666</v>
      </c>
      <c r="L695" s="4" t="s">
        <v>2182</v>
      </c>
      <c r="M695" s="4" t="s">
        <v>2183</v>
      </c>
      <c r="N695" s="4" t="s">
        <v>205</v>
      </c>
      <c r="O695" s="4" t="s">
        <v>206</v>
      </c>
      <c r="P695" s="4" t="s">
        <v>1039</v>
      </c>
      <c r="Q695" s="8" t="s">
        <v>100</v>
      </c>
      <c r="R695" s="9">
        <f t="shared" si="11"/>
        <v>2.0046625844510148E-4</v>
      </c>
      <c r="S695" s="55">
        <f>Tabla3[[#This Row],[Subtotal]]/12</f>
        <v>952222.16666666663</v>
      </c>
    </row>
    <row r="696" spans="1:19" x14ac:dyDescent="0.2">
      <c r="A696" s="4">
        <v>1651</v>
      </c>
      <c r="B696" s="2">
        <v>11364165</v>
      </c>
      <c r="C696" s="2">
        <v>0</v>
      </c>
      <c r="D696" s="4" t="s">
        <v>2187</v>
      </c>
      <c r="E696" s="2">
        <v>11364165</v>
      </c>
      <c r="F696" s="2">
        <v>2159191.35</v>
      </c>
      <c r="G696" s="2">
        <v>0</v>
      </c>
      <c r="H696" s="4">
        <v>0</v>
      </c>
      <c r="I696" s="4">
        <v>0</v>
      </c>
      <c r="J696" s="4">
        <v>0</v>
      </c>
      <c r="K696" s="4">
        <v>13523356.35</v>
      </c>
      <c r="L696" s="4" t="s">
        <v>2185</v>
      </c>
      <c r="M696" s="4" t="s">
        <v>2186</v>
      </c>
      <c r="N696" s="4" t="s">
        <v>1242</v>
      </c>
      <c r="O696" s="4" t="s">
        <v>59</v>
      </c>
      <c r="P696" s="4" t="s">
        <v>59</v>
      </c>
      <c r="Q696" s="8" t="s">
        <v>100</v>
      </c>
      <c r="R696" s="9">
        <f t="shared" si="11"/>
        <v>1.9936975823943543E-4</v>
      </c>
      <c r="S696" s="55">
        <f>Tabla3[[#This Row],[Subtotal]]/12</f>
        <v>947013.75</v>
      </c>
    </row>
    <row r="697" spans="1:19" x14ac:dyDescent="0.2">
      <c r="A697" s="4">
        <v>879</v>
      </c>
      <c r="B697" s="2">
        <v>11413989</v>
      </c>
      <c r="C697" s="2">
        <v>171623.64</v>
      </c>
      <c r="D697" s="4" t="s">
        <v>2190</v>
      </c>
      <c r="E697" s="2">
        <v>11242365.359999999</v>
      </c>
      <c r="F697" s="2">
        <v>2136049.42</v>
      </c>
      <c r="G697" s="2">
        <v>281059.14</v>
      </c>
      <c r="H697" s="4">
        <v>0</v>
      </c>
      <c r="I697" s="4">
        <v>0</v>
      </c>
      <c r="J697" s="4">
        <v>281059.14</v>
      </c>
      <c r="K697" s="4">
        <v>13097355.640000001</v>
      </c>
      <c r="L697" s="4" t="s">
        <v>2188</v>
      </c>
      <c r="M697" s="4" t="s">
        <v>2189</v>
      </c>
      <c r="N697" s="4" t="s">
        <v>233</v>
      </c>
      <c r="O697" s="4" t="s">
        <v>229</v>
      </c>
      <c r="P697" s="4" t="s">
        <v>229</v>
      </c>
      <c r="Q697" s="8" t="s">
        <v>100</v>
      </c>
      <c r="R697" s="9">
        <f t="shared" si="11"/>
        <v>1.9723293914358013E-4</v>
      </c>
      <c r="S697" s="55">
        <f>Tabla3[[#This Row],[Subtotal]]/12</f>
        <v>936863.77999999991</v>
      </c>
    </row>
    <row r="698" spans="1:19" x14ac:dyDescent="0.2">
      <c r="A698" s="4">
        <v>576</v>
      </c>
      <c r="B698" s="2">
        <v>11236305</v>
      </c>
      <c r="C698" s="2">
        <v>0</v>
      </c>
      <c r="D698" s="4" t="s">
        <v>2193</v>
      </c>
      <c r="E698" s="2">
        <v>11236305</v>
      </c>
      <c r="F698" s="2">
        <v>2134897.9500000002</v>
      </c>
      <c r="G698" s="2">
        <v>251343.43</v>
      </c>
      <c r="H698" s="4">
        <v>0</v>
      </c>
      <c r="I698" s="4">
        <v>0</v>
      </c>
      <c r="J698" s="4">
        <v>251343.43</v>
      </c>
      <c r="K698" s="4">
        <v>13119859.52</v>
      </c>
      <c r="L698" s="4" t="s">
        <v>2191</v>
      </c>
      <c r="M698" s="4" t="s">
        <v>2192</v>
      </c>
      <c r="N698" s="4" t="s">
        <v>20</v>
      </c>
      <c r="O698" s="4" t="s">
        <v>316</v>
      </c>
      <c r="P698" s="4" t="s">
        <v>316</v>
      </c>
      <c r="Q698" s="8" t="s">
        <v>100</v>
      </c>
      <c r="R698" s="9">
        <f t="shared" si="11"/>
        <v>1.9712661786893798E-4</v>
      </c>
      <c r="S698" s="55">
        <f>Tabla3[[#This Row],[Subtotal]]/12</f>
        <v>936358.75</v>
      </c>
    </row>
    <row r="699" spans="1:19" x14ac:dyDescent="0.2">
      <c r="A699" s="4">
        <v>1645</v>
      </c>
      <c r="B699" s="2">
        <v>11217707.98</v>
      </c>
      <c r="C699" s="2">
        <v>0</v>
      </c>
      <c r="D699" s="4" t="s">
        <v>2196</v>
      </c>
      <c r="E699" s="2">
        <v>11217707.98</v>
      </c>
      <c r="F699" s="2">
        <v>2131364.5099999998</v>
      </c>
      <c r="G699" s="2">
        <v>155891.63</v>
      </c>
      <c r="H699" s="4">
        <v>0</v>
      </c>
      <c r="I699" s="4">
        <v>0</v>
      </c>
      <c r="J699" s="4">
        <v>155891.63</v>
      </c>
      <c r="K699" s="4">
        <v>13193180.859999999</v>
      </c>
      <c r="L699" s="4" t="s">
        <v>2194</v>
      </c>
      <c r="M699" s="4" t="s">
        <v>2195</v>
      </c>
      <c r="N699" s="4" t="s">
        <v>20</v>
      </c>
      <c r="O699" s="4" t="s">
        <v>76</v>
      </c>
      <c r="P699" s="4" t="s">
        <v>76</v>
      </c>
      <c r="Q699" s="8" t="s">
        <v>144</v>
      </c>
      <c r="R699" s="9">
        <f t="shared" si="11"/>
        <v>1.9680035690903692E-4</v>
      </c>
      <c r="S699" s="55">
        <f>Tabla3[[#This Row],[Subtotal]]/12</f>
        <v>934808.99833333341</v>
      </c>
    </row>
    <row r="700" spans="1:19" x14ac:dyDescent="0.2">
      <c r="A700" s="4">
        <v>340</v>
      </c>
      <c r="B700" s="2">
        <v>11170485</v>
      </c>
      <c r="C700" s="2">
        <v>0</v>
      </c>
      <c r="D700" s="4" t="s">
        <v>2199</v>
      </c>
      <c r="E700" s="2">
        <v>11170485</v>
      </c>
      <c r="F700" s="2">
        <v>2122392.15</v>
      </c>
      <c r="G700" s="2">
        <v>0</v>
      </c>
      <c r="H700" s="4">
        <v>0</v>
      </c>
      <c r="I700" s="4">
        <v>0</v>
      </c>
      <c r="J700" s="4">
        <v>0</v>
      </c>
      <c r="K700" s="4">
        <v>13292877.15</v>
      </c>
      <c r="L700" s="4" t="s">
        <v>2197</v>
      </c>
      <c r="M700" s="4" t="s">
        <v>2198</v>
      </c>
      <c r="N700" s="4" t="s">
        <v>468</v>
      </c>
      <c r="O700" s="4" t="s">
        <v>105</v>
      </c>
      <c r="P700" s="4" t="s">
        <v>105</v>
      </c>
      <c r="Q700" s="8" t="s">
        <v>100</v>
      </c>
      <c r="R700" s="9">
        <f t="shared" si="11"/>
        <v>1.9597189004799207E-4</v>
      </c>
      <c r="S700" s="55">
        <f>Tabla3[[#This Row],[Subtotal]]/12</f>
        <v>930873.75</v>
      </c>
    </row>
    <row r="701" spans="1:19" x14ac:dyDescent="0.2">
      <c r="A701" s="4">
        <v>558</v>
      </c>
      <c r="B701" s="2">
        <v>11161407</v>
      </c>
      <c r="C701" s="2">
        <v>0</v>
      </c>
      <c r="D701" s="4" t="s">
        <v>2202</v>
      </c>
      <c r="E701" s="2">
        <v>11161407</v>
      </c>
      <c r="F701" s="2">
        <v>2120667.33</v>
      </c>
      <c r="G701" s="2">
        <v>120377.83</v>
      </c>
      <c r="H701" s="4">
        <v>0</v>
      </c>
      <c r="I701" s="4">
        <v>0</v>
      </c>
      <c r="J701" s="4">
        <v>120377.83</v>
      </c>
      <c r="K701" s="4">
        <v>13161696.5</v>
      </c>
      <c r="L701" s="4" t="s">
        <v>2200</v>
      </c>
      <c r="M701" s="4" t="s">
        <v>2201</v>
      </c>
      <c r="N701" s="4" t="s">
        <v>88</v>
      </c>
      <c r="O701" s="4" t="s">
        <v>89</v>
      </c>
      <c r="P701" s="4" t="s">
        <v>89</v>
      </c>
      <c r="Q701" s="8" t="s">
        <v>100</v>
      </c>
      <c r="R701" s="9">
        <f t="shared" si="11"/>
        <v>1.958126281343101E-4</v>
      </c>
      <c r="S701" s="55">
        <f>Tabla3[[#This Row],[Subtotal]]/12</f>
        <v>930117.25</v>
      </c>
    </row>
    <row r="702" spans="1:19" x14ac:dyDescent="0.2">
      <c r="A702" s="4">
        <v>164</v>
      </c>
      <c r="B702" s="2">
        <v>11099721</v>
      </c>
      <c r="C702" s="2">
        <v>0</v>
      </c>
      <c r="D702" s="4" t="s">
        <v>2205</v>
      </c>
      <c r="E702" s="2">
        <v>11099721</v>
      </c>
      <c r="F702" s="2">
        <v>2108946.9900000002</v>
      </c>
      <c r="G702" s="2">
        <v>0</v>
      </c>
      <c r="H702" s="4">
        <v>0</v>
      </c>
      <c r="I702" s="4">
        <v>0</v>
      </c>
      <c r="J702" s="4">
        <v>0</v>
      </c>
      <c r="K702" s="4">
        <v>13208667.99</v>
      </c>
      <c r="L702" s="4" t="s">
        <v>2203</v>
      </c>
      <c r="M702" s="4" t="s">
        <v>2204</v>
      </c>
      <c r="N702" s="4" t="s">
        <v>2206</v>
      </c>
      <c r="O702" s="4" t="s">
        <v>196</v>
      </c>
      <c r="P702" s="4" t="s">
        <v>196</v>
      </c>
      <c r="Q702" s="8" t="s">
        <v>100</v>
      </c>
      <c r="R702" s="9">
        <f t="shared" si="11"/>
        <v>1.9473042606255579E-4</v>
      </c>
      <c r="S702" s="55">
        <f>Tabla3[[#This Row],[Subtotal]]/12</f>
        <v>924976.75</v>
      </c>
    </row>
    <row r="703" spans="1:19" x14ac:dyDescent="0.2">
      <c r="A703" s="4">
        <v>844</v>
      </c>
      <c r="B703" s="2">
        <v>11369897.279999999</v>
      </c>
      <c r="C703" s="2">
        <v>341096.92</v>
      </c>
      <c r="D703" s="4" t="s">
        <v>2209</v>
      </c>
      <c r="E703" s="2">
        <v>11028800.359999999</v>
      </c>
      <c r="F703" s="2">
        <v>2095472.07</v>
      </c>
      <c r="G703" s="2">
        <v>275720.01</v>
      </c>
      <c r="H703" s="4">
        <v>314320.81</v>
      </c>
      <c r="I703" s="4">
        <v>0</v>
      </c>
      <c r="J703" s="4">
        <v>590040.81999999995</v>
      </c>
      <c r="K703" s="4">
        <v>12534231.609999999</v>
      </c>
      <c r="L703" s="4" t="s">
        <v>2207</v>
      </c>
      <c r="M703" s="4" t="s">
        <v>2208</v>
      </c>
      <c r="N703" s="4" t="s">
        <v>2210</v>
      </c>
      <c r="O703" s="4" t="s">
        <v>900</v>
      </c>
      <c r="P703" s="4" t="s">
        <v>900</v>
      </c>
      <c r="Q703" s="8" t="s">
        <v>144</v>
      </c>
      <c r="R703" s="9">
        <f t="shared" si="11"/>
        <v>1.9348621402841284E-4</v>
      </c>
      <c r="S703" s="55">
        <f>Tabla3[[#This Row],[Subtotal]]/12</f>
        <v>919066.69666666666</v>
      </c>
    </row>
    <row r="704" spans="1:19" x14ac:dyDescent="0.2">
      <c r="A704" s="4">
        <v>927</v>
      </c>
      <c r="B704" s="2">
        <v>10974890</v>
      </c>
      <c r="C704" s="2">
        <v>0</v>
      </c>
      <c r="D704" s="4" t="s">
        <v>2213</v>
      </c>
      <c r="E704" s="2">
        <v>10974890</v>
      </c>
      <c r="F704" s="2">
        <v>2085229.1</v>
      </c>
      <c r="G704" s="2">
        <v>274372.25</v>
      </c>
      <c r="H704" s="4">
        <v>0</v>
      </c>
      <c r="I704" s="4">
        <v>0</v>
      </c>
      <c r="J704" s="4">
        <v>274372.25</v>
      </c>
      <c r="K704" s="4">
        <v>12785746.85</v>
      </c>
      <c r="L704" s="4" t="s">
        <v>2211</v>
      </c>
      <c r="M704" s="4" t="s">
        <v>2212</v>
      </c>
      <c r="N704" s="4" t="s">
        <v>20</v>
      </c>
      <c r="O704" s="4" t="s">
        <v>603</v>
      </c>
      <c r="P704" s="4" t="s">
        <v>603</v>
      </c>
      <c r="Q704" s="8" t="s">
        <v>100</v>
      </c>
      <c r="R704" s="9">
        <f t="shared" si="11"/>
        <v>1.9254042562778678E-4</v>
      </c>
      <c r="S704" s="55">
        <f>Tabla3[[#This Row],[Subtotal]]/12</f>
        <v>914574.16666666663</v>
      </c>
    </row>
    <row r="705" spans="1:19" x14ac:dyDescent="0.2">
      <c r="A705" s="4">
        <v>984</v>
      </c>
      <c r="B705" s="2">
        <v>10909581</v>
      </c>
      <c r="C705" s="2">
        <v>0</v>
      </c>
      <c r="D705" s="4" t="s">
        <v>2216</v>
      </c>
      <c r="E705" s="2">
        <v>10909581</v>
      </c>
      <c r="F705" s="2">
        <v>2072820.39</v>
      </c>
      <c r="G705" s="2">
        <v>200605.33</v>
      </c>
      <c r="H705" s="4">
        <v>0</v>
      </c>
      <c r="I705" s="4">
        <v>0</v>
      </c>
      <c r="J705" s="4">
        <v>200605.33</v>
      </c>
      <c r="K705" s="4">
        <v>12781796.060000001</v>
      </c>
      <c r="L705" s="4" t="s">
        <v>2214</v>
      </c>
      <c r="M705" s="4" t="s">
        <v>2215</v>
      </c>
      <c r="N705" s="4" t="s">
        <v>272</v>
      </c>
      <c r="O705" s="4" t="s">
        <v>89</v>
      </c>
      <c r="P705" s="4" t="s">
        <v>89</v>
      </c>
      <c r="Q705" s="8" t="s">
        <v>100</v>
      </c>
      <c r="R705" s="9">
        <f t="shared" si="11"/>
        <v>1.9139466264908491E-4</v>
      </c>
      <c r="S705" s="55">
        <f>Tabla3[[#This Row],[Subtotal]]/12</f>
        <v>909131.75</v>
      </c>
    </row>
    <row r="706" spans="1:19" x14ac:dyDescent="0.2">
      <c r="A706" s="4">
        <v>632</v>
      </c>
      <c r="B706" s="2">
        <v>10885522</v>
      </c>
      <c r="C706" s="2">
        <v>0</v>
      </c>
      <c r="D706" s="4" t="s">
        <v>2219</v>
      </c>
      <c r="E706" s="2">
        <v>10885522</v>
      </c>
      <c r="F706" s="2">
        <v>2068249.18</v>
      </c>
      <c r="G706" s="2">
        <v>272138.06</v>
      </c>
      <c r="H706" s="4">
        <v>0</v>
      </c>
      <c r="I706" s="4">
        <v>0</v>
      </c>
      <c r="J706" s="4">
        <v>272138.06</v>
      </c>
      <c r="K706" s="4">
        <v>12681633.119999999</v>
      </c>
      <c r="L706" s="4" t="s">
        <v>2217</v>
      </c>
      <c r="M706" s="4" t="s">
        <v>2218</v>
      </c>
      <c r="N706" s="4" t="s">
        <v>572</v>
      </c>
      <c r="O706" s="4" t="s">
        <v>105</v>
      </c>
      <c r="P706" s="4" t="s">
        <v>105</v>
      </c>
      <c r="Q706" s="8" t="s">
        <v>100</v>
      </c>
      <c r="R706" s="9">
        <f t="shared" si="11"/>
        <v>1.9097257822726577E-4</v>
      </c>
      <c r="S706" s="55">
        <f>Tabla3[[#This Row],[Subtotal]]/12</f>
        <v>907126.83333333337</v>
      </c>
    </row>
    <row r="707" spans="1:19" x14ac:dyDescent="0.2">
      <c r="A707" s="4">
        <v>1338</v>
      </c>
      <c r="B707" s="2">
        <v>10847593</v>
      </c>
      <c r="C707" s="2">
        <v>0</v>
      </c>
      <c r="D707" s="4" t="s">
        <v>2222</v>
      </c>
      <c r="E707" s="2">
        <v>10847593</v>
      </c>
      <c r="F707" s="2">
        <v>2061042.67</v>
      </c>
      <c r="G707" s="2">
        <v>0</v>
      </c>
      <c r="H707" s="4">
        <v>0</v>
      </c>
      <c r="I707" s="4">
        <v>0</v>
      </c>
      <c r="J707" s="4">
        <v>0</v>
      </c>
      <c r="K707" s="4">
        <v>12908635.67</v>
      </c>
      <c r="L707" s="4" t="s">
        <v>2220</v>
      </c>
      <c r="M707" s="4" t="s">
        <v>2221</v>
      </c>
      <c r="N707" s="4" t="s">
        <v>20</v>
      </c>
      <c r="O707" s="4" t="s">
        <v>1356</v>
      </c>
      <c r="P707" s="4" t="s">
        <v>1356</v>
      </c>
      <c r="Q707" s="8" t="s">
        <v>100</v>
      </c>
      <c r="R707" s="9">
        <f t="shared" ref="R707:R770" si="12">E707/$E$1757</f>
        <v>1.9030716237310809E-4</v>
      </c>
      <c r="S707" s="55">
        <f>Tabla3[[#This Row],[Subtotal]]/12</f>
        <v>903966.08333333337</v>
      </c>
    </row>
    <row r="708" spans="1:19" x14ac:dyDescent="0.2">
      <c r="A708" s="4">
        <v>1729</v>
      </c>
      <c r="B708" s="2">
        <v>11000147.630000001</v>
      </c>
      <c r="C708" s="2">
        <v>155919.45000000001</v>
      </c>
      <c r="D708" s="4" t="s">
        <v>2225</v>
      </c>
      <c r="E708" s="2">
        <v>10844228.18</v>
      </c>
      <c r="F708" s="2">
        <v>2060403.37</v>
      </c>
      <c r="G708" s="2">
        <v>0</v>
      </c>
      <c r="H708" s="4">
        <v>0</v>
      </c>
      <c r="I708" s="4">
        <v>0</v>
      </c>
      <c r="J708" s="4">
        <v>0</v>
      </c>
      <c r="K708" s="4">
        <v>12904631.550000001</v>
      </c>
      <c r="L708" s="4" t="s">
        <v>2223</v>
      </c>
      <c r="M708" s="4" t="s">
        <v>2224</v>
      </c>
      <c r="N708" s="4" t="s">
        <v>1107</v>
      </c>
      <c r="O708" s="4" t="s">
        <v>900</v>
      </c>
      <c r="P708" s="4" t="s">
        <v>900</v>
      </c>
      <c r="Q708" s="8" t="s">
        <v>144</v>
      </c>
      <c r="R708" s="9">
        <f t="shared" si="12"/>
        <v>1.9024813090445913E-4</v>
      </c>
      <c r="S708" s="55">
        <f>Tabla3[[#This Row],[Subtotal]]/12</f>
        <v>903685.68166666664</v>
      </c>
    </row>
    <row r="709" spans="1:19" x14ac:dyDescent="0.2">
      <c r="A709" s="4">
        <v>751</v>
      </c>
      <c r="B709" s="2">
        <v>10777896</v>
      </c>
      <c r="C709" s="2">
        <v>0</v>
      </c>
      <c r="D709" s="4" t="s">
        <v>2227</v>
      </c>
      <c r="E709" s="2">
        <v>10777896</v>
      </c>
      <c r="F709" s="2">
        <v>2047800.24</v>
      </c>
      <c r="G709" s="2">
        <v>269447.40999999997</v>
      </c>
      <c r="H709" s="4">
        <v>307170.03999999998</v>
      </c>
      <c r="I709" s="4">
        <v>0</v>
      </c>
      <c r="J709" s="4">
        <v>576617.44999999995</v>
      </c>
      <c r="K709" s="4">
        <v>12249078.789999999</v>
      </c>
      <c r="L709" s="4" t="s">
        <v>2226</v>
      </c>
      <c r="M709" s="4" t="s">
        <v>81</v>
      </c>
      <c r="N709" s="4" t="s">
        <v>104</v>
      </c>
      <c r="O709" s="4" t="s">
        <v>105</v>
      </c>
      <c r="P709" s="4" t="s">
        <v>105</v>
      </c>
      <c r="Q709" s="8" t="s">
        <v>28</v>
      </c>
      <c r="R709" s="9">
        <f t="shared" si="12"/>
        <v>1.8908441753967653E-4</v>
      </c>
      <c r="S709" s="55">
        <f>Tabla3[[#This Row],[Subtotal]]/12</f>
        <v>898158</v>
      </c>
    </row>
    <row r="710" spans="1:19" x14ac:dyDescent="0.2">
      <c r="A710" s="4">
        <v>580</v>
      </c>
      <c r="B710" s="2">
        <v>10753651</v>
      </c>
      <c r="C710" s="2">
        <v>0</v>
      </c>
      <c r="D710" s="4" t="s">
        <v>2230</v>
      </c>
      <c r="E710" s="2">
        <v>10753651</v>
      </c>
      <c r="F710" s="2">
        <v>2043193.69</v>
      </c>
      <c r="G710" s="2">
        <v>263544.32000000001</v>
      </c>
      <c r="H710" s="4">
        <v>0</v>
      </c>
      <c r="I710" s="4">
        <v>0</v>
      </c>
      <c r="J710" s="4">
        <v>263544.32000000001</v>
      </c>
      <c r="K710" s="4">
        <v>12533300.369999999</v>
      </c>
      <c r="L710" s="4" t="s">
        <v>2228</v>
      </c>
      <c r="M710" s="4" t="s">
        <v>2229</v>
      </c>
      <c r="N710" s="4" t="s">
        <v>2231</v>
      </c>
      <c r="O710" s="4" t="s">
        <v>42</v>
      </c>
      <c r="P710" s="4" t="s">
        <v>42</v>
      </c>
      <c r="Q710" s="8" t="s">
        <v>100</v>
      </c>
      <c r="R710" s="9">
        <f t="shared" si="12"/>
        <v>1.8865906998545543E-4</v>
      </c>
      <c r="S710" s="55">
        <f>Tabla3[[#This Row],[Subtotal]]/12</f>
        <v>896137.58333333337</v>
      </c>
    </row>
    <row r="711" spans="1:19" x14ac:dyDescent="0.2">
      <c r="A711" s="4">
        <v>435</v>
      </c>
      <c r="B711" s="2">
        <v>10720387</v>
      </c>
      <c r="C711" s="2">
        <v>0</v>
      </c>
      <c r="D711" s="4" t="s">
        <v>2234</v>
      </c>
      <c r="E711" s="2">
        <v>10720387</v>
      </c>
      <c r="F711" s="2">
        <v>2036873.53</v>
      </c>
      <c r="G711" s="2">
        <v>264673.59999999998</v>
      </c>
      <c r="H711" s="4">
        <v>0</v>
      </c>
      <c r="I711" s="4">
        <v>0</v>
      </c>
      <c r="J711" s="4">
        <v>264673.59999999998</v>
      </c>
      <c r="K711" s="4">
        <v>12492586.93</v>
      </c>
      <c r="L711" s="4" t="s">
        <v>2232</v>
      </c>
      <c r="M711" s="4" t="s">
        <v>2233</v>
      </c>
      <c r="N711" s="4" t="s">
        <v>572</v>
      </c>
      <c r="O711" s="4" t="s">
        <v>105</v>
      </c>
      <c r="P711" s="4" t="s">
        <v>105</v>
      </c>
      <c r="Q711" s="8" t="s">
        <v>100</v>
      </c>
      <c r="R711" s="9">
        <f t="shared" si="12"/>
        <v>1.8807549559718523E-4</v>
      </c>
      <c r="S711" s="55">
        <f>Tabla3[[#This Row],[Subtotal]]/12</f>
        <v>893365.58333333337</v>
      </c>
    </row>
    <row r="712" spans="1:19" x14ac:dyDescent="0.2">
      <c r="A712" s="4">
        <v>326</v>
      </c>
      <c r="B712" s="2">
        <v>10703985</v>
      </c>
      <c r="C712" s="2">
        <v>0</v>
      </c>
      <c r="D712" s="4" t="s">
        <v>2237</v>
      </c>
      <c r="E712" s="2">
        <v>10703985</v>
      </c>
      <c r="F712" s="2">
        <v>2033757.15</v>
      </c>
      <c r="G712" s="2">
        <v>255727.63</v>
      </c>
      <c r="H712" s="4">
        <v>0</v>
      </c>
      <c r="I712" s="4">
        <v>0</v>
      </c>
      <c r="J712" s="4">
        <v>255727.63</v>
      </c>
      <c r="K712" s="4">
        <v>12482014.52</v>
      </c>
      <c r="L712" s="4" t="s">
        <v>2235</v>
      </c>
      <c r="M712" s="4" t="s">
        <v>2236</v>
      </c>
      <c r="N712" s="4" t="s">
        <v>705</v>
      </c>
      <c r="O712" s="4" t="s">
        <v>59</v>
      </c>
      <c r="P712" s="4" t="s">
        <v>59</v>
      </c>
      <c r="Q712" s="8" t="s">
        <v>100</v>
      </c>
      <c r="R712" s="9">
        <f t="shared" si="12"/>
        <v>1.8778774345924607E-4</v>
      </c>
      <c r="S712" s="55">
        <f>Tabla3[[#This Row],[Subtotal]]/12</f>
        <v>891998.75</v>
      </c>
    </row>
    <row r="713" spans="1:19" x14ac:dyDescent="0.2">
      <c r="A713" s="4">
        <v>366</v>
      </c>
      <c r="B713" s="2">
        <v>10700495</v>
      </c>
      <c r="C713" s="2">
        <v>0</v>
      </c>
      <c r="D713" s="4" t="s">
        <v>2240</v>
      </c>
      <c r="E713" s="2">
        <v>10700495</v>
      </c>
      <c r="F713" s="2">
        <v>2033094.05</v>
      </c>
      <c r="G713" s="2">
        <v>0</v>
      </c>
      <c r="H713" s="4">
        <v>0</v>
      </c>
      <c r="I713" s="4">
        <v>0</v>
      </c>
      <c r="J713" s="4">
        <v>0</v>
      </c>
      <c r="K713" s="4">
        <v>12733589.050000001</v>
      </c>
      <c r="L713" s="4" t="s">
        <v>2238</v>
      </c>
      <c r="M713" s="4" t="s">
        <v>2239</v>
      </c>
      <c r="N713" s="4" t="s">
        <v>468</v>
      </c>
      <c r="O713" s="4" t="s">
        <v>105</v>
      </c>
      <c r="P713" s="4" t="s">
        <v>105</v>
      </c>
      <c r="Q713" s="8" t="s">
        <v>100</v>
      </c>
      <c r="R713" s="9">
        <f t="shared" si="12"/>
        <v>1.8772651586740314E-4</v>
      </c>
      <c r="S713" s="55">
        <f>Tabla3[[#This Row],[Subtotal]]/12</f>
        <v>891707.91666666663</v>
      </c>
    </row>
    <row r="714" spans="1:19" x14ac:dyDescent="0.2">
      <c r="A714" s="4">
        <v>1674</v>
      </c>
      <c r="B714" s="2">
        <v>10677754</v>
      </c>
      <c r="C714" s="2">
        <v>0</v>
      </c>
      <c r="D714" s="4" t="s">
        <v>2243</v>
      </c>
      <c r="E714" s="2">
        <v>10677754</v>
      </c>
      <c r="F714" s="2">
        <v>2028773.26</v>
      </c>
      <c r="G714" s="2">
        <v>266943.86</v>
      </c>
      <c r="H714" s="4">
        <v>0</v>
      </c>
      <c r="I714" s="4">
        <v>0</v>
      </c>
      <c r="J714" s="4">
        <v>266943.86</v>
      </c>
      <c r="K714" s="4">
        <v>12439583.4</v>
      </c>
      <c r="L714" s="4" t="s">
        <v>2241</v>
      </c>
      <c r="M714" s="4" t="s">
        <v>2242</v>
      </c>
      <c r="N714" s="4" t="s">
        <v>1280</v>
      </c>
      <c r="O714" s="4" t="s">
        <v>33</v>
      </c>
      <c r="P714" s="4" t="s">
        <v>33</v>
      </c>
      <c r="Q714" s="8" t="s">
        <v>100</v>
      </c>
      <c r="R714" s="9">
        <f t="shared" si="12"/>
        <v>1.8732755407195904E-4</v>
      </c>
      <c r="S714" s="55">
        <f>Tabla3[[#This Row],[Subtotal]]/12</f>
        <v>889812.83333333337</v>
      </c>
    </row>
    <row r="715" spans="1:19" x14ac:dyDescent="0.2">
      <c r="A715" s="4">
        <v>1663</v>
      </c>
      <c r="B715" s="2">
        <v>10638836</v>
      </c>
      <c r="C715" s="2">
        <v>0</v>
      </c>
      <c r="D715" s="4" t="s">
        <v>2246</v>
      </c>
      <c r="E715" s="2">
        <v>10638836</v>
      </c>
      <c r="F715" s="2">
        <v>2021378.84</v>
      </c>
      <c r="G715" s="2">
        <v>238821.4</v>
      </c>
      <c r="H715" s="4">
        <v>0</v>
      </c>
      <c r="I715" s="4">
        <v>0</v>
      </c>
      <c r="J715" s="4">
        <v>238821.4</v>
      </c>
      <c r="K715" s="4">
        <v>12421393.439999999</v>
      </c>
      <c r="L715" s="4" t="s">
        <v>2244</v>
      </c>
      <c r="M715" s="4" t="s">
        <v>2245</v>
      </c>
      <c r="N715" s="4" t="s">
        <v>20</v>
      </c>
      <c r="O715" s="4" t="s">
        <v>71</v>
      </c>
      <c r="P715" s="4" t="s">
        <v>71</v>
      </c>
      <c r="Q715" s="8" t="s">
        <v>100</v>
      </c>
      <c r="R715" s="9">
        <f t="shared" si="12"/>
        <v>1.866447874761588E-4</v>
      </c>
      <c r="S715" s="55">
        <f>Tabla3[[#This Row],[Subtotal]]/12</f>
        <v>886569.66666666663</v>
      </c>
    </row>
    <row r="716" spans="1:19" x14ac:dyDescent="0.2">
      <c r="A716" s="4">
        <v>485</v>
      </c>
      <c r="B716" s="2">
        <v>10615967</v>
      </c>
      <c r="C716" s="2">
        <v>0</v>
      </c>
      <c r="D716" s="4" t="s">
        <v>2249</v>
      </c>
      <c r="E716" s="2">
        <v>10615967</v>
      </c>
      <c r="F716" s="2">
        <v>2017033.73</v>
      </c>
      <c r="G716" s="2">
        <v>206325.36</v>
      </c>
      <c r="H716" s="4">
        <v>0</v>
      </c>
      <c r="I716" s="4">
        <v>0</v>
      </c>
      <c r="J716" s="4">
        <v>206325.36</v>
      </c>
      <c r="K716" s="4">
        <v>12426675.369999999</v>
      </c>
      <c r="L716" s="4" t="s">
        <v>2247</v>
      </c>
      <c r="M716" s="4" t="s">
        <v>2248</v>
      </c>
      <c r="N716" s="4" t="s">
        <v>20</v>
      </c>
      <c r="O716" s="4" t="s">
        <v>21</v>
      </c>
      <c r="P716" s="4" t="s">
        <v>21</v>
      </c>
      <c r="Q716" s="8" t="s">
        <v>28</v>
      </c>
      <c r="R716" s="9">
        <f t="shared" si="12"/>
        <v>1.8624358008422303E-4</v>
      </c>
      <c r="S716" s="55">
        <f>Tabla3[[#This Row],[Subtotal]]/12</f>
        <v>884663.91666666663</v>
      </c>
    </row>
    <row r="717" spans="1:19" x14ac:dyDescent="0.2">
      <c r="A717" s="4">
        <v>234</v>
      </c>
      <c r="B717" s="2">
        <v>10569019</v>
      </c>
      <c r="C717" s="2">
        <v>102220.56</v>
      </c>
      <c r="D717" s="4" t="s">
        <v>2252</v>
      </c>
      <c r="E717" s="2">
        <v>10466798.439999999</v>
      </c>
      <c r="F717" s="2">
        <v>1988691.7</v>
      </c>
      <c r="G717" s="2">
        <v>0</v>
      </c>
      <c r="H717" s="4">
        <v>0</v>
      </c>
      <c r="I717" s="4">
        <v>0</v>
      </c>
      <c r="J717" s="4">
        <v>0</v>
      </c>
      <c r="K717" s="4">
        <v>12455490.140000001</v>
      </c>
      <c r="L717" s="4" t="s">
        <v>2250</v>
      </c>
      <c r="M717" s="4" t="s">
        <v>2251</v>
      </c>
      <c r="N717" s="4" t="s">
        <v>20</v>
      </c>
      <c r="O717" s="4" t="s">
        <v>71</v>
      </c>
      <c r="P717" s="4" t="s">
        <v>71</v>
      </c>
      <c r="Q717" s="8" t="s">
        <v>100</v>
      </c>
      <c r="R717" s="9">
        <f t="shared" si="12"/>
        <v>1.8362660824826986E-4</v>
      </c>
      <c r="S717" s="55">
        <f>Tabla3[[#This Row],[Subtotal]]/12</f>
        <v>872233.20333333325</v>
      </c>
    </row>
    <row r="718" spans="1:19" x14ac:dyDescent="0.2">
      <c r="A718" s="4">
        <v>1485</v>
      </c>
      <c r="B718" s="2">
        <v>10497018</v>
      </c>
      <c r="C718" s="2">
        <v>42086.16</v>
      </c>
      <c r="D718" s="4" t="s">
        <v>2255</v>
      </c>
      <c r="E718" s="2">
        <v>10454931.84</v>
      </c>
      <c r="F718" s="2">
        <v>1986437.05</v>
      </c>
      <c r="G718" s="2">
        <v>0</v>
      </c>
      <c r="H718" s="4">
        <v>0</v>
      </c>
      <c r="I718" s="4">
        <v>0</v>
      </c>
      <c r="J718" s="4">
        <v>0</v>
      </c>
      <c r="K718" s="4">
        <v>12441368.890000001</v>
      </c>
      <c r="L718" s="4" t="s">
        <v>2253</v>
      </c>
      <c r="M718" s="4" t="s">
        <v>2254</v>
      </c>
      <c r="N718" s="4" t="s">
        <v>20</v>
      </c>
      <c r="O718" s="4" t="s">
        <v>316</v>
      </c>
      <c r="P718" s="4" t="s">
        <v>316</v>
      </c>
      <c r="Q718" s="8" t="s">
        <v>100</v>
      </c>
      <c r="R718" s="9">
        <f t="shared" si="12"/>
        <v>1.8341842390977038E-4</v>
      </c>
      <c r="S718" s="55">
        <f>Tabla3[[#This Row],[Subtotal]]/12</f>
        <v>871244.32</v>
      </c>
    </row>
    <row r="719" spans="1:19" x14ac:dyDescent="0.2">
      <c r="A719" s="4">
        <v>935</v>
      </c>
      <c r="B719" s="2">
        <v>10440896</v>
      </c>
      <c r="C719" s="2">
        <v>13111.08</v>
      </c>
      <c r="D719" s="4" t="s">
        <v>2258</v>
      </c>
      <c r="E719" s="2">
        <v>10427784.92</v>
      </c>
      <c r="F719" s="2">
        <v>1981279.13</v>
      </c>
      <c r="G719" s="2">
        <v>0</v>
      </c>
      <c r="H719" s="4">
        <v>0</v>
      </c>
      <c r="I719" s="4">
        <v>0</v>
      </c>
      <c r="J719" s="4">
        <v>0</v>
      </c>
      <c r="K719" s="4">
        <v>12409064.050000001</v>
      </c>
      <c r="L719" s="4" t="s">
        <v>2256</v>
      </c>
      <c r="M719" s="4" t="s">
        <v>2257</v>
      </c>
      <c r="N719" s="4" t="s">
        <v>20</v>
      </c>
      <c r="O719" s="4" t="s">
        <v>603</v>
      </c>
      <c r="P719" s="4" t="s">
        <v>603</v>
      </c>
      <c r="Q719" s="8" t="s">
        <v>100</v>
      </c>
      <c r="R719" s="9">
        <f t="shared" si="12"/>
        <v>1.8294216587608772E-4</v>
      </c>
      <c r="S719" s="55">
        <f>Tabla3[[#This Row],[Subtotal]]/12</f>
        <v>868982.07666666666</v>
      </c>
    </row>
    <row r="720" spans="1:19" x14ac:dyDescent="0.2">
      <c r="A720" s="4">
        <v>438</v>
      </c>
      <c r="B720" s="2">
        <v>10424468</v>
      </c>
      <c r="C720" s="2">
        <v>0</v>
      </c>
      <c r="D720" s="4" t="s">
        <v>2261</v>
      </c>
      <c r="E720" s="2">
        <v>10424468</v>
      </c>
      <c r="F720" s="2">
        <v>1980648.92</v>
      </c>
      <c r="G720" s="2">
        <v>260611.71</v>
      </c>
      <c r="H720" s="4">
        <v>0</v>
      </c>
      <c r="I720" s="4">
        <v>0</v>
      </c>
      <c r="J720" s="4">
        <v>260611.71</v>
      </c>
      <c r="K720" s="4">
        <v>12144505.210000001</v>
      </c>
      <c r="L720" s="4" t="s">
        <v>2259</v>
      </c>
      <c r="M720" s="4" t="s">
        <v>2260</v>
      </c>
      <c r="N720" s="4" t="s">
        <v>939</v>
      </c>
      <c r="O720" s="4" t="s">
        <v>940</v>
      </c>
      <c r="P720" s="4" t="s">
        <v>940</v>
      </c>
      <c r="Q720" s="8" t="s">
        <v>100</v>
      </c>
      <c r="R720" s="9">
        <f t="shared" si="12"/>
        <v>1.8288397475175086E-4</v>
      </c>
      <c r="S720" s="55">
        <f>Tabla3[[#This Row],[Subtotal]]/12</f>
        <v>868705.66666666663</v>
      </c>
    </row>
    <row r="721" spans="1:19" x14ac:dyDescent="0.2">
      <c r="A721" s="4">
        <v>1175</v>
      </c>
      <c r="B721" s="2">
        <v>10393210</v>
      </c>
      <c r="C721" s="2">
        <v>0</v>
      </c>
      <c r="D721" s="4" t="s">
        <v>2264</v>
      </c>
      <c r="E721" s="2">
        <v>10393210</v>
      </c>
      <c r="F721" s="2">
        <v>1974709.9</v>
      </c>
      <c r="G721" s="2">
        <v>0</v>
      </c>
      <c r="H721" s="4">
        <v>0</v>
      </c>
      <c r="I721" s="4">
        <v>0</v>
      </c>
      <c r="J721" s="4">
        <v>0</v>
      </c>
      <c r="K721" s="4">
        <v>12367919.9</v>
      </c>
      <c r="L721" s="4" t="s">
        <v>2262</v>
      </c>
      <c r="M721" s="4" t="s">
        <v>2263</v>
      </c>
      <c r="N721" s="4" t="s">
        <v>2265</v>
      </c>
      <c r="O721" s="4" t="s">
        <v>89</v>
      </c>
      <c r="P721" s="4" t="s">
        <v>89</v>
      </c>
      <c r="Q721" s="8" t="s">
        <v>100</v>
      </c>
      <c r="R721" s="9">
        <f t="shared" si="12"/>
        <v>1.8233559307099842E-4</v>
      </c>
      <c r="S721" s="55">
        <f>Tabla3[[#This Row],[Subtotal]]/12</f>
        <v>866100.83333333337</v>
      </c>
    </row>
    <row r="722" spans="1:19" x14ac:dyDescent="0.2">
      <c r="A722" s="4">
        <v>1563</v>
      </c>
      <c r="B722" s="2">
        <v>10356388</v>
      </c>
      <c r="C722" s="2">
        <v>0</v>
      </c>
      <c r="D722" s="4" t="s">
        <v>2268</v>
      </c>
      <c r="E722" s="2">
        <v>10356388</v>
      </c>
      <c r="F722" s="2">
        <v>1967713.72</v>
      </c>
      <c r="G722" s="2">
        <v>177967.99</v>
      </c>
      <c r="H722" s="4">
        <v>0</v>
      </c>
      <c r="I722" s="4">
        <v>0</v>
      </c>
      <c r="J722" s="4">
        <v>177967.99</v>
      </c>
      <c r="K722" s="4">
        <v>12146133.73</v>
      </c>
      <c r="L722" s="4" t="s">
        <v>2266</v>
      </c>
      <c r="M722" s="4" t="s">
        <v>2267</v>
      </c>
      <c r="N722" s="4" t="s">
        <v>2113</v>
      </c>
      <c r="O722" s="4" t="s">
        <v>89</v>
      </c>
      <c r="P722" s="4" t="s">
        <v>89</v>
      </c>
      <c r="Q722" s="8" t="s">
        <v>100</v>
      </c>
      <c r="R722" s="9">
        <f t="shared" si="12"/>
        <v>1.8168959811774908E-4</v>
      </c>
      <c r="S722" s="55">
        <f>Tabla3[[#This Row],[Subtotal]]/12</f>
        <v>863032.33333333337</v>
      </c>
    </row>
    <row r="723" spans="1:19" x14ac:dyDescent="0.2">
      <c r="A723" s="4">
        <v>1538</v>
      </c>
      <c r="B723" s="2">
        <v>10331078</v>
      </c>
      <c r="C723" s="2">
        <v>0</v>
      </c>
      <c r="D723" s="4" t="s">
        <v>2271</v>
      </c>
      <c r="E723" s="2">
        <v>10331078</v>
      </c>
      <c r="F723" s="2">
        <v>1962904.82</v>
      </c>
      <c r="G723" s="2">
        <v>0</v>
      </c>
      <c r="H723" s="4">
        <v>0</v>
      </c>
      <c r="I723" s="4">
        <v>0</v>
      </c>
      <c r="J723" s="4">
        <v>0</v>
      </c>
      <c r="K723" s="4">
        <v>12293982.82</v>
      </c>
      <c r="L723" s="4" t="s">
        <v>2269</v>
      </c>
      <c r="M723" s="4" t="s">
        <v>2270</v>
      </c>
      <c r="N723" s="4" t="s">
        <v>20</v>
      </c>
      <c r="O723" s="4" t="s">
        <v>372</v>
      </c>
      <c r="P723" s="4" t="s">
        <v>372</v>
      </c>
      <c r="Q723" s="8" t="s">
        <v>100</v>
      </c>
      <c r="R723" s="9">
        <f t="shared" si="12"/>
        <v>1.8124556649896847E-4</v>
      </c>
      <c r="S723" s="55">
        <f>Tabla3[[#This Row],[Subtotal]]/12</f>
        <v>860923.16666666663</v>
      </c>
    </row>
    <row r="724" spans="1:19" x14ac:dyDescent="0.2">
      <c r="A724" s="4">
        <v>1474</v>
      </c>
      <c r="B724" s="2">
        <v>10321906</v>
      </c>
      <c r="C724" s="2">
        <v>0</v>
      </c>
      <c r="D724" s="4" t="s">
        <v>2274</v>
      </c>
      <c r="E724" s="2">
        <v>10321906</v>
      </c>
      <c r="F724" s="2">
        <v>1961162.14</v>
      </c>
      <c r="G724" s="2">
        <v>0</v>
      </c>
      <c r="H724" s="4">
        <v>0</v>
      </c>
      <c r="I724" s="4">
        <v>0</v>
      </c>
      <c r="J724" s="4">
        <v>0</v>
      </c>
      <c r="K724" s="4">
        <v>12283068.140000001</v>
      </c>
      <c r="L724" s="4" t="s">
        <v>2272</v>
      </c>
      <c r="M724" s="4" t="s">
        <v>2273</v>
      </c>
      <c r="N724" s="4" t="s">
        <v>2206</v>
      </c>
      <c r="O724" s="4" t="s">
        <v>196</v>
      </c>
      <c r="P724" s="4" t="s">
        <v>196</v>
      </c>
      <c r="Q724" s="8" t="s">
        <v>100</v>
      </c>
      <c r="R724" s="9">
        <f t="shared" si="12"/>
        <v>1.8108465547536296E-4</v>
      </c>
      <c r="S724" s="55">
        <f>Tabla3[[#This Row],[Subtotal]]/12</f>
        <v>860158.83333333337</v>
      </c>
    </row>
    <row r="725" spans="1:19" x14ac:dyDescent="0.2">
      <c r="A725" s="4">
        <v>826</v>
      </c>
      <c r="B725" s="2">
        <v>10242935</v>
      </c>
      <c r="C725" s="2">
        <v>0</v>
      </c>
      <c r="D725" s="4" t="s">
        <v>2277</v>
      </c>
      <c r="E725" s="2">
        <v>10242935</v>
      </c>
      <c r="F725" s="2">
        <v>1946157.65</v>
      </c>
      <c r="G725" s="2">
        <v>0</v>
      </c>
      <c r="H725" s="4">
        <v>0</v>
      </c>
      <c r="I725" s="4">
        <v>0</v>
      </c>
      <c r="J725" s="4">
        <v>0</v>
      </c>
      <c r="K725" s="4">
        <v>12189092.65</v>
      </c>
      <c r="L725" s="4" t="s">
        <v>2275</v>
      </c>
      <c r="M725" s="4" t="s">
        <v>2276</v>
      </c>
      <c r="N725" s="4" t="s">
        <v>20</v>
      </c>
      <c r="O725" s="4" t="s">
        <v>1157</v>
      </c>
      <c r="P725" s="4" t="s">
        <v>1157</v>
      </c>
      <c r="Q725" s="8" t="s">
        <v>100</v>
      </c>
      <c r="R725" s="9">
        <f t="shared" si="12"/>
        <v>1.7969921015862156E-4</v>
      </c>
      <c r="S725" s="55">
        <f>Tabla3[[#This Row],[Subtotal]]/12</f>
        <v>853577.91666666663</v>
      </c>
    </row>
    <row r="726" spans="1:19" x14ac:dyDescent="0.2">
      <c r="A726" s="4">
        <v>612</v>
      </c>
      <c r="B726" s="2">
        <v>10246958</v>
      </c>
      <c r="C726" s="2">
        <v>63174.12</v>
      </c>
      <c r="D726" s="4" t="s">
        <v>2280</v>
      </c>
      <c r="E726" s="2">
        <v>10183783.880000001</v>
      </c>
      <c r="F726" s="2">
        <v>1934918.94</v>
      </c>
      <c r="G726" s="2">
        <v>254594.61</v>
      </c>
      <c r="H726" s="4">
        <v>0</v>
      </c>
      <c r="I726" s="4">
        <v>0</v>
      </c>
      <c r="J726" s="4">
        <v>254594.61</v>
      </c>
      <c r="K726" s="4">
        <v>11864108.210000001</v>
      </c>
      <c r="L726" s="4" t="s">
        <v>2278</v>
      </c>
      <c r="M726" s="4" t="s">
        <v>2279</v>
      </c>
      <c r="N726" s="4" t="s">
        <v>20</v>
      </c>
      <c r="O726" s="4" t="s">
        <v>540</v>
      </c>
      <c r="P726" s="4" t="s">
        <v>540</v>
      </c>
      <c r="Q726" s="8" t="s">
        <v>100</v>
      </c>
      <c r="R726" s="9">
        <f t="shared" si="12"/>
        <v>1.7866147931838898E-4</v>
      </c>
      <c r="S726" s="55">
        <f>Tabla3[[#This Row],[Subtotal]]/12</f>
        <v>848648.65666666673</v>
      </c>
    </row>
    <row r="727" spans="1:19" x14ac:dyDescent="0.2">
      <c r="A727" s="4">
        <v>1520</v>
      </c>
      <c r="B727" s="2">
        <v>10147456</v>
      </c>
      <c r="C727" s="2">
        <v>0</v>
      </c>
      <c r="D727" s="4" t="s">
        <v>2283</v>
      </c>
      <c r="E727" s="2">
        <v>10147456</v>
      </c>
      <c r="F727" s="2">
        <v>1928016.64</v>
      </c>
      <c r="G727" s="2">
        <v>0</v>
      </c>
      <c r="H727" s="4">
        <v>0</v>
      </c>
      <c r="I727" s="4">
        <v>0</v>
      </c>
      <c r="J727" s="4">
        <v>0</v>
      </c>
      <c r="K727" s="4">
        <v>12075472.640000001</v>
      </c>
      <c r="L727" s="4" t="s">
        <v>2281</v>
      </c>
      <c r="M727" s="4" t="s">
        <v>2282</v>
      </c>
      <c r="N727" s="4" t="s">
        <v>20</v>
      </c>
      <c r="O727" s="4" t="s">
        <v>1157</v>
      </c>
      <c r="P727" s="4" t="s">
        <v>1157</v>
      </c>
      <c r="Q727" s="8" t="s">
        <v>100</v>
      </c>
      <c r="R727" s="9">
        <f t="shared" si="12"/>
        <v>1.7802415306934636E-4</v>
      </c>
      <c r="S727" s="55">
        <f>Tabla3[[#This Row],[Subtotal]]/12</f>
        <v>845621.33333333337</v>
      </c>
    </row>
    <row r="728" spans="1:19" x14ac:dyDescent="0.2">
      <c r="A728" s="4">
        <v>1658</v>
      </c>
      <c r="B728" s="2">
        <v>10302572</v>
      </c>
      <c r="C728" s="2">
        <v>221863.11</v>
      </c>
      <c r="D728" s="4" t="s">
        <v>2286</v>
      </c>
      <c r="E728" s="2">
        <v>10080708.890000001</v>
      </c>
      <c r="F728" s="2">
        <v>1915334.69</v>
      </c>
      <c r="G728" s="2">
        <v>0</v>
      </c>
      <c r="H728" s="4">
        <v>0</v>
      </c>
      <c r="I728" s="4">
        <v>0</v>
      </c>
      <c r="J728" s="4">
        <v>0</v>
      </c>
      <c r="K728" s="4">
        <v>11996043.58</v>
      </c>
      <c r="L728" s="4" t="s">
        <v>2284</v>
      </c>
      <c r="M728" s="4" t="s">
        <v>2285</v>
      </c>
      <c r="N728" s="4" t="s">
        <v>32</v>
      </c>
      <c r="O728" s="4" t="s">
        <v>1188</v>
      </c>
      <c r="P728" s="4" t="s">
        <v>1188</v>
      </c>
      <c r="Q728" s="8" t="s">
        <v>100</v>
      </c>
      <c r="R728" s="9">
        <f t="shared" si="12"/>
        <v>1.7685316028774904E-4</v>
      </c>
      <c r="S728" s="55">
        <f>Tabla3[[#This Row],[Subtotal]]/12</f>
        <v>840059.07416666672</v>
      </c>
    </row>
    <row r="729" spans="1:19" x14ac:dyDescent="0.2">
      <c r="A729" s="4">
        <v>1588</v>
      </c>
      <c r="B729" s="2">
        <v>10070853</v>
      </c>
      <c r="C729" s="2">
        <v>0</v>
      </c>
      <c r="D729" s="4" t="s">
        <v>2289</v>
      </c>
      <c r="E729" s="2">
        <v>10070853</v>
      </c>
      <c r="F729" s="2">
        <v>1913462.07</v>
      </c>
      <c r="G729" s="2">
        <v>0</v>
      </c>
      <c r="H729" s="4">
        <v>0</v>
      </c>
      <c r="I729" s="4">
        <v>0</v>
      </c>
      <c r="J729" s="4">
        <v>0</v>
      </c>
      <c r="K729" s="4">
        <v>11984315.07</v>
      </c>
      <c r="L729" s="4" t="s">
        <v>2287</v>
      </c>
      <c r="M729" s="4" t="s">
        <v>2288</v>
      </c>
      <c r="N729" s="4" t="s">
        <v>1273</v>
      </c>
      <c r="O729" s="4" t="s">
        <v>201</v>
      </c>
      <c r="P729" s="4" t="s">
        <v>201</v>
      </c>
      <c r="Q729" s="8" t="s">
        <v>100</v>
      </c>
      <c r="R729" s="9">
        <f t="shared" si="12"/>
        <v>1.7668025128770069E-4</v>
      </c>
      <c r="S729" s="55">
        <f>Tabla3[[#This Row],[Subtotal]]/12</f>
        <v>839237.75</v>
      </c>
    </row>
    <row r="730" spans="1:19" x14ac:dyDescent="0.2">
      <c r="A730" s="4">
        <v>170</v>
      </c>
      <c r="B730" s="2">
        <v>10058025</v>
      </c>
      <c r="C730" s="2">
        <v>0</v>
      </c>
      <c r="D730" s="4" t="s">
        <v>2292</v>
      </c>
      <c r="E730" s="2">
        <v>10058025</v>
      </c>
      <c r="F730" s="2">
        <v>0</v>
      </c>
      <c r="G730" s="2">
        <v>251450.63</v>
      </c>
      <c r="H730" s="4">
        <v>0</v>
      </c>
      <c r="I730" s="4">
        <v>0</v>
      </c>
      <c r="J730" s="4">
        <v>251450.63</v>
      </c>
      <c r="K730" s="4">
        <v>9806574.3699999992</v>
      </c>
      <c r="L730" s="4" t="s">
        <v>2290</v>
      </c>
      <c r="M730" s="4" t="s">
        <v>2291</v>
      </c>
      <c r="N730" s="4" t="s">
        <v>75</v>
      </c>
      <c r="O730" s="4" t="s">
        <v>2293</v>
      </c>
      <c r="P730" s="4" t="s">
        <v>2293</v>
      </c>
      <c r="Q730" s="8" t="s">
        <v>100</v>
      </c>
      <c r="R730" s="9">
        <f t="shared" si="12"/>
        <v>1.764552004143021E-4</v>
      </c>
      <c r="S730" s="55">
        <f>Tabla3[[#This Row],[Subtotal]]/12</f>
        <v>838168.75</v>
      </c>
    </row>
    <row r="731" spans="1:19" x14ac:dyDescent="0.2">
      <c r="A731" s="4">
        <v>602</v>
      </c>
      <c r="B731" s="2">
        <v>10044321</v>
      </c>
      <c r="C731" s="2">
        <v>0</v>
      </c>
      <c r="D731" s="4" t="s">
        <v>2296</v>
      </c>
      <c r="E731" s="2">
        <v>10044321</v>
      </c>
      <c r="F731" s="2">
        <v>1908420.99</v>
      </c>
      <c r="G731" s="2">
        <v>213586.75</v>
      </c>
      <c r="H731" s="4">
        <v>0</v>
      </c>
      <c r="I731" s="4">
        <v>0</v>
      </c>
      <c r="J731" s="4">
        <v>213586.75</v>
      </c>
      <c r="K731" s="4">
        <v>11739155.24</v>
      </c>
      <c r="L731" s="4" t="s">
        <v>2294</v>
      </c>
      <c r="M731" s="4" t="s">
        <v>2295</v>
      </c>
      <c r="N731" s="4" t="s">
        <v>142</v>
      </c>
      <c r="O731" s="4" t="s">
        <v>340</v>
      </c>
      <c r="P731" s="4" t="s">
        <v>340</v>
      </c>
      <c r="Q731" s="8" t="s">
        <v>100</v>
      </c>
      <c r="R731" s="9">
        <f t="shared" si="12"/>
        <v>1.7621478123991372E-4</v>
      </c>
      <c r="S731" s="55">
        <f>Tabla3[[#This Row],[Subtotal]]/12</f>
        <v>837026.75</v>
      </c>
    </row>
    <row r="732" spans="1:19" x14ac:dyDescent="0.2">
      <c r="A732" s="4">
        <v>610</v>
      </c>
      <c r="B732" s="2">
        <v>9972873</v>
      </c>
      <c r="C732" s="2">
        <v>0</v>
      </c>
      <c r="D732" s="4" t="s">
        <v>2299</v>
      </c>
      <c r="E732" s="2">
        <v>9972873</v>
      </c>
      <c r="F732" s="2">
        <v>1894845.87</v>
      </c>
      <c r="G732" s="2">
        <v>247354.65</v>
      </c>
      <c r="H732" s="4">
        <v>0</v>
      </c>
      <c r="I732" s="4">
        <v>0</v>
      </c>
      <c r="J732" s="4">
        <v>247354.65</v>
      </c>
      <c r="K732" s="4">
        <v>11620364.220000001</v>
      </c>
      <c r="L732" s="4" t="s">
        <v>2297</v>
      </c>
      <c r="M732" s="4" t="s">
        <v>2298</v>
      </c>
      <c r="N732" s="4" t="s">
        <v>20</v>
      </c>
      <c r="O732" s="4" t="s">
        <v>71</v>
      </c>
      <c r="P732" s="4" t="s">
        <v>71</v>
      </c>
      <c r="Q732" s="8" t="s">
        <v>100</v>
      </c>
      <c r="R732" s="9">
        <f t="shared" si="12"/>
        <v>1.7496131734822515E-4</v>
      </c>
      <c r="S732" s="55">
        <f>Tabla3[[#This Row],[Subtotal]]/12</f>
        <v>831072.75</v>
      </c>
    </row>
    <row r="733" spans="1:19" x14ac:dyDescent="0.2">
      <c r="A733" s="4">
        <v>574</v>
      </c>
      <c r="B733" s="2">
        <v>9949921</v>
      </c>
      <c r="C733" s="2">
        <v>0</v>
      </c>
      <c r="D733" s="4" t="s">
        <v>2302</v>
      </c>
      <c r="E733" s="2">
        <v>9949921</v>
      </c>
      <c r="F733" s="2">
        <v>1890484.99</v>
      </c>
      <c r="G733" s="2">
        <v>0</v>
      </c>
      <c r="H733" s="4">
        <v>0</v>
      </c>
      <c r="I733" s="4">
        <v>0</v>
      </c>
      <c r="J733" s="4">
        <v>0</v>
      </c>
      <c r="K733" s="4">
        <v>11840405.99</v>
      </c>
      <c r="L733" s="4" t="s">
        <v>2300</v>
      </c>
      <c r="M733" s="4" t="s">
        <v>2301</v>
      </c>
      <c r="N733" s="4" t="s">
        <v>20</v>
      </c>
      <c r="O733" s="4" t="s">
        <v>257</v>
      </c>
      <c r="P733" s="4" t="s">
        <v>257</v>
      </c>
      <c r="Q733" s="8" t="s">
        <v>100</v>
      </c>
      <c r="R733" s="9">
        <f t="shared" si="12"/>
        <v>1.7455865382731434E-4</v>
      </c>
      <c r="S733" s="55">
        <f>Tabla3[[#This Row],[Subtotal]]/12</f>
        <v>829160.08333333337</v>
      </c>
    </row>
    <row r="734" spans="1:19" x14ac:dyDescent="0.2">
      <c r="A734" s="4">
        <v>83</v>
      </c>
      <c r="B734" s="2">
        <v>9935836</v>
      </c>
      <c r="C734" s="2">
        <v>0</v>
      </c>
      <c r="D734" s="4" t="s">
        <v>2305</v>
      </c>
      <c r="E734" s="2">
        <v>9935836</v>
      </c>
      <c r="F734" s="2">
        <v>1887808.84</v>
      </c>
      <c r="G734" s="2">
        <v>0</v>
      </c>
      <c r="H734" s="4">
        <v>0</v>
      </c>
      <c r="I734" s="4">
        <v>0</v>
      </c>
      <c r="J734" s="4">
        <v>0</v>
      </c>
      <c r="K734" s="4">
        <v>11823644.84</v>
      </c>
      <c r="L734" s="4" t="s">
        <v>2303</v>
      </c>
      <c r="M734" s="4" t="s">
        <v>2304</v>
      </c>
      <c r="N734" s="4" t="s">
        <v>186</v>
      </c>
      <c r="O734" s="4" t="s">
        <v>59</v>
      </c>
      <c r="P734" s="4" t="s">
        <v>59</v>
      </c>
      <c r="Q734" s="8" t="s">
        <v>100</v>
      </c>
      <c r="R734" s="9">
        <f t="shared" si="12"/>
        <v>1.7431155049461874E-4</v>
      </c>
      <c r="S734" s="55">
        <f>Tabla3[[#This Row],[Subtotal]]/12</f>
        <v>827986.33333333337</v>
      </c>
    </row>
    <row r="735" spans="1:19" x14ac:dyDescent="0.2">
      <c r="A735" s="4">
        <v>1369</v>
      </c>
      <c r="B735" s="2">
        <v>9920170</v>
      </c>
      <c r="C735" s="2">
        <v>0</v>
      </c>
      <c r="D735" s="4" t="s">
        <v>2308</v>
      </c>
      <c r="E735" s="2">
        <v>9920170</v>
      </c>
      <c r="F735" s="2">
        <v>1884832.3</v>
      </c>
      <c r="G735" s="2">
        <v>138959.82999999999</v>
      </c>
      <c r="H735" s="4">
        <v>0</v>
      </c>
      <c r="I735" s="4">
        <v>0</v>
      </c>
      <c r="J735" s="4">
        <v>138959.82999999999</v>
      </c>
      <c r="K735" s="4">
        <v>11666042.470000001</v>
      </c>
      <c r="L735" s="4" t="s">
        <v>2306</v>
      </c>
      <c r="M735" s="4" t="s">
        <v>2307</v>
      </c>
      <c r="N735" s="4" t="s">
        <v>20</v>
      </c>
      <c r="O735" s="4" t="s">
        <v>540</v>
      </c>
      <c r="P735" s="4" t="s">
        <v>540</v>
      </c>
      <c r="Q735" s="8" t="s">
        <v>100</v>
      </c>
      <c r="R735" s="9">
        <f t="shared" si="12"/>
        <v>1.7403671053650664E-4</v>
      </c>
      <c r="S735" s="55">
        <f>Tabla3[[#This Row],[Subtotal]]/12</f>
        <v>826680.83333333337</v>
      </c>
    </row>
    <row r="736" spans="1:19" x14ac:dyDescent="0.2">
      <c r="A736" s="4">
        <v>1547</v>
      </c>
      <c r="B736" s="2">
        <v>9860424</v>
      </c>
      <c r="C736" s="2">
        <v>0</v>
      </c>
      <c r="D736" s="4" t="s">
        <v>2311</v>
      </c>
      <c r="E736" s="2">
        <v>9860424</v>
      </c>
      <c r="F736" s="2">
        <v>1873480.56</v>
      </c>
      <c r="G736" s="2">
        <v>0</v>
      </c>
      <c r="H736" s="4">
        <v>0</v>
      </c>
      <c r="I736" s="4">
        <v>0</v>
      </c>
      <c r="J736" s="4">
        <v>0</v>
      </c>
      <c r="K736" s="4">
        <v>11733904.560000001</v>
      </c>
      <c r="L736" s="4" t="s">
        <v>2309</v>
      </c>
      <c r="M736" s="4" t="s">
        <v>2310</v>
      </c>
      <c r="N736" s="4" t="s">
        <v>2312</v>
      </c>
      <c r="O736" s="4" t="s">
        <v>747</v>
      </c>
      <c r="P736" s="4" t="s">
        <v>747</v>
      </c>
      <c r="Q736" s="8" t="s">
        <v>100</v>
      </c>
      <c r="R736" s="9">
        <f t="shared" si="12"/>
        <v>1.7298854328657906E-4</v>
      </c>
      <c r="S736" s="55">
        <f>Tabla3[[#This Row],[Subtotal]]/12</f>
        <v>821702</v>
      </c>
    </row>
    <row r="737" spans="1:19" x14ac:dyDescent="0.2">
      <c r="A737" s="4">
        <v>723</v>
      </c>
      <c r="B737" s="2">
        <v>9857609</v>
      </c>
      <c r="C737" s="2">
        <v>0</v>
      </c>
      <c r="D737" s="4" t="s">
        <v>2315</v>
      </c>
      <c r="E737" s="2">
        <v>9857609</v>
      </c>
      <c r="F737" s="2">
        <v>1872945.71</v>
      </c>
      <c r="G737" s="2">
        <v>246440.27</v>
      </c>
      <c r="H737" s="4">
        <v>280941.86</v>
      </c>
      <c r="I737" s="4">
        <v>0</v>
      </c>
      <c r="J737" s="4">
        <v>527382.13</v>
      </c>
      <c r="K737" s="4">
        <v>11203172.58</v>
      </c>
      <c r="L737" s="4" t="s">
        <v>2313</v>
      </c>
      <c r="M737" s="4" t="s">
        <v>2314</v>
      </c>
      <c r="N737" s="4" t="s">
        <v>368</v>
      </c>
      <c r="O737" s="4" t="s">
        <v>76</v>
      </c>
      <c r="P737" s="4" t="s">
        <v>76</v>
      </c>
      <c r="Q737" s="8" t="s">
        <v>408</v>
      </c>
      <c r="R737" s="9">
        <f t="shared" si="12"/>
        <v>1.7293915770748514E-4</v>
      </c>
      <c r="S737" s="55">
        <f>Tabla3[[#This Row],[Subtotal]]/12</f>
        <v>821467.41666666663</v>
      </c>
    </row>
    <row r="738" spans="1:19" x14ac:dyDescent="0.2">
      <c r="A738" s="4">
        <v>337</v>
      </c>
      <c r="B738" s="2">
        <v>9797207.3599999994</v>
      </c>
      <c r="C738" s="2">
        <v>0</v>
      </c>
      <c r="D738" s="4" t="s">
        <v>2318</v>
      </c>
      <c r="E738" s="2">
        <v>9797207.3599999994</v>
      </c>
      <c r="F738" s="2">
        <v>1768958.4</v>
      </c>
      <c r="G738" s="2">
        <v>244930.18</v>
      </c>
      <c r="H738" s="4">
        <v>0</v>
      </c>
      <c r="I738" s="4">
        <v>0</v>
      </c>
      <c r="J738" s="4">
        <v>244930.18</v>
      </c>
      <c r="K738" s="4">
        <v>11321235.58</v>
      </c>
      <c r="L738" s="4" t="s">
        <v>2316</v>
      </c>
      <c r="M738" s="4" t="s">
        <v>2317</v>
      </c>
      <c r="N738" s="4" t="s">
        <v>58</v>
      </c>
      <c r="O738" s="4" t="s">
        <v>76</v>
      </c>
      <c r="P738" s="4" t="s">
        <v>76</v>
      </c>
      <c r="Q738" s="8" t="s">
        <v>144</v>
      </c>
      <c r="R738" s="9">
        <f t="shared" si="12"/>
        <v>1.7187948809127792E-4</v>
      </c>
      <c r="S738" s="55">
        <f>Tabla3[[#This Row],[Subtotal]]/12</f>
        <v>816433.94666666666</v>
      </c>
    </row>
    <row r="739" spans="1:19" x14ac:dyDescent="0.2">
      <c r="A739" s="4">
        <v>1339</v>
      </c>
      <c r="B739" s="2">
        <v>9965768</v>
      </c>
      <c r="C739" s="2">
        <v>188495.1</v>
      </c>
      <c r="D739" s="4" t="s">
        <v>2321</v>
      </c>
      <c r="E739" s="2">
        <v>9777272.9000000004</v>
      </c>
      <c r="F739" s="2">
        <v>1857681.85</v>
      </c>
      <c r="G739" s="2">
        <v>0</v>
      </c>
      <c r="H739" s="4">
        <v>0</v>
      </c>
      <c r="I739" s="4">
        <v>0</v>
      </c>
      <c r="J739" s="4">
        <v>0</v>
      </c>
      <c r="K739" s="4">
        <v>11634954.75</v>
      </c>
      <c r="L739" s="4" t="s">
        <v>2319</v>
      </c>
      <c r="M739" s="4" t="s">
        <v>2320</v>
      </c>
      <c r="N739" s="4" t="s">
        <v>20</v>
      </c>
      <c r="O739" s="4" t="s">
        <v>316</v>
      </c>
      <c r="P739" s="4" t="s">
        <v>316</v>
      </c>
      <c r="Q739" s="8" t="s">
        <v>100</v>
      </c>
      <c r="R739" s="9">
        <f t="shared" si="12"/>
        <v>1.7152976345503464E-4</v>
      </c>
      <c r="S739" s="55">
        <f>Tabla3[[#This Row],[Subtotal]]/12</f>
        <v>814772.7416666667</v>
      </c>
    </row>
    <row r="740" spans="1:19" x14ac:dyDescent="0.2">
      <c r="A740" s="4">
        <v>302</v>
      </c>
      <c r="B740" s="2">
        <v>9783548</v>
      </c>
      <c r="C740" s="2">
        <v>44041.86</v>
      </c>
      <c r="D740" s="4" t="s">
        <v>2324</v>
      </c>
      <c r="E740" s="2">
        <v>9739506.1400000006</v>
      </c>
      <c r="F740" s="2">
        <v>1850506.17</v>
      </c>
      <c r="G740" s="2">
        <v>166533.87</v>
      </c>
      <c r="H740" s="4">
        <v>0</v>
      </c>
      <c r="I740" s="4">
        <v>0</v>
      </c>
      <c r="J740" s="4">
        <v>166533.87</v>
      </c>
      <c r="K740" s="4">
        <v>11423478.439999999</v>
      </c>
      <c r="L740" s="4" t="s">
        <v>2322</v>
      </c>
      <c r="M740" s="4" t="s">
        <v>2323</v>
      </c>
      <c r="N740" s="4" t="s">
        <v>20</v>
      </c>
      <c r="O740" s="4" t="s">
        <v>372</v>
      </c>
      <c r="P740" s="4" t="s">
        <v>372</v>
      </c>
      <c r="Q740" s="8" t="s">
        <v>100</v>
      </c>
      <c r="R740" s="9">
        <f t="shared" si="12"/>
        <v>1.7086719389443016E-4</v>
      </c>
      <c r="S740" s="55">
        <f>Tabla3[[#This Row],[Subtotal]]/12</f>
        <v>811625.51166666672</v>
      </c>
    </row>
    <row r="741" spans="1:19" x14ac:dyDescent="0.2">
      <c r="A741" s="4">
        <v>965</v>
      </c>
      <c r="B741" s="2">
        <v>9704490.0999999996</v>
      </c>
      <c r="C741" s="2">
        <v>0</v>
      </c>
      <c r="D741" s="4" t="s">
        <v>2327</v>
      </c>
      <c r="E741" s="2">
        <v>9704490.0999999996</v>
      </c>
      <c r="F741" s="2">
        <v>1843853.12</v>
      </c>
      <c r="G741" s="2">
        <v>242612.26</v>
      </c>
      <c r="H741" s="4">
        <v>0</v>
      </c>
      <c r="I741" s="4">
        <v>0</v>
      </c>
      <c r="J741" s="4">
        <v>242612.26</v>
      </c>
      <c r="K741" s="4">
        <v>11305730.960000001</v>
      </c>
      <c r="L741" s="4" t="s">
        <v>2325</v>
      </c>
      <c r="M741" s="4" t="s">
        <v>2326</v>
      </c>
      <c r="N741" s="4" t="s">
        <v>142</v>
      </c>
      <c r="O741" s="4" t="s">
        <v>76</v>
      </c>
      <c r="P741" s="4" t="s">
        <v>76</v>
      </c>
      <c r="Q741" s="8" t="s">
        <v>144</v>
      </c>
      <c r="R741" s="9">
        <f t="shared" si="12"/>
        <v>1.7025288220243146E-4</v>
      </c>
      <c r="S741" s="55">
        <f>Tabla3[[#This Row],[Subtotal]]/12</f>
        <v>808707.5083333333</v>
      </c>
    </row>
    <row r="742" spans="1:19" x14ac:dyDescent="0.2">
      <c r="A742" s="4">
        <v>331</v>
      </c>
      <c r="B742" s="2">
        <v>9625013</v>
      </c>
      <c r="C742" s="2">
        <v>0</v>
      </c>
      <c r="D742" s="4" t="s">
        <v>2330</v>
      </c>
      <c r="E742" s="2">
        <v>9625013</v>
      </c>
      <c r="F742" s="2">
        <v>1828752.47</v>
      </c>
      <c r="G742" s="2">
        <v>230348.46</v>
      </c>
      <c r="H742" s="4">
        <v>0</v>
      </c>
      <c r="I742" s="4">
        <v>0</v>
      </c>
      <c r="J742" s="4">
        <v>230348.46</v>
      </c>
      <c r="K742" s="4">
        <v>11223417.01</v>
      </c>
      <c r="L742" s="4" t="s">
        <v>2328</v>
      </c>
      <c r="M742" s="4" t="s">
        <v>2329</v>
      </c>
      <c r="N742" s="4" t="s">
        <v>368</v>
      </c>
      <c r="O742" s="4" t="s">
        <v>76</v>
      </c>
      <c r="P742" s="4" t="s">
        <v>76</v>
      </c>
      <c r="Q742" s="8" t="s">
        <v>1378</v>
      </c>
      <c r="R742" s="9">
        <f t="shared" si="12"/>
        <v>1.6885855800768672E-4</v>
      </c>
      <c r="S742" s="55">
        <f>Tabla3[[#This Row],[Subtotal]]/12</f>
        <v>802084.41666666663</v>
      </c>
    </row>
    <row r="743" spans="1:19" x14ac:dyDescent="0.2">
      <c r="A743" s="4">
        <v>1429</v>
      </c>
      <c r="B743" s="2">
        <v>9552191</v>
      </c>
      <c r="C743" s="2">
        <v>0</v>
      </c>
      <c r="D743" s="4" t="s">
        <v>2333</v>
      </c>
      <c r="E743" s="2">
        <v>9552191</v>
      </c>
      <c r="F743" s="2">
        <v>1814916.29</v>
      </c>
      <c r="G743" s="2">
        <v>0</v>
      </c>
      <c r="H743" s="4">
        <v>0</v>
      </c>
      <c r="I743" s="4">
        <v>0</v>
      </c>
      <c r="J743" s="4">
        <v>0</v>
      </c>
      <c r="K743" s="4">
        <v>11367107.289999999</v>
      </c>
      <c r="L743" s="4" t="s">
        <v>2331</v>
      </c>
      <c r="M743" s="4" t="s">
        <v>2332</v>
      </c>
      <c r="N743" s="4" t="s">
        <v>58</v>
      </c>
      <c r="O743" s="4" t="s">
        <v>59</v>
      </c>
      <c r="P743" s="4" t="s">
        <v>59</v>
      </c>
      <c r="Q743" s="8" t="s">
        <v>100</v>
      </c>
      <c r="R743" s="9">
        <f t="shared" si="12"/>
        <v>1.6758098904115796E-4</v>
      </c>
      <c r="S743" s="55">
        <f>Tabla3[[#This Row],[Subtotal]]/12</f>
        <v>796015.91666666663</v>
      </c>
    </row>
    <row r="744" spans="1:19" x14ac:dyDescent="0.2">
      <c r="A744" s="4">
        <v>420</v>
      </c>
      <c r="B744" s="2">
        <v>9536699</v>
      </c>
      <c r="C744" s="2">
        <v>0</v>
      </c>
      <c r="D744" s="4" t="s">
        <v>2336</v>
      </c>
      <c r="E744" s="2">
        <v>9536699</v>
      </c>
      <c r="F744" s="2">
        <v>1811972.81</v>
      </c>
      <c r="G744" s="2">
        <v>212043.63</v>
      </c>
      <c r="H744" s="4">
        <v>0</v>
      </c>
      <c r="I744" s="4">
        <v>0</v>
      </c>
      <c r="J744" s="4">
        <v>212043.63</v>
      </c>
      <c r="K744" s="4">
        <v>11136628.18</v>
      </c>
      <c r="L744" s="4" t="s">
        <v>2334</v>
      </c>
      <c r="M744" s="4" t="s">
        <v>2335</v>
      </c>
      <c r="N744" s="4" t="s">
        <v>20</v>
      </c>
      <c r="O744" s="4" t="s">
        <v>316</v>
      </c>
      <c r="P744" s="4" t="s">
        <v>316</v>
      </c>
      <c r="Q744" s="8" t="s">
        <v>100</v>
      </c>
      <c r="R744" s="9">
        <f t="shared" si="12"/>
        <v>1.6730920169077672E-4</v>
      </c>
      <c r="S744" s="55">
        <f>Tabla3[[#This Row],[Subtotal]]/12</f>
        <v>794724.91666666663</v>
      </c>
    </row>
    <row r="745" spans="1:19" x14ac:dyDescent="0.2">
      <c r="A745" s="4">
        <v>208</v>
      </c>
      <c r="B745" s="2">
        <v>9493208</v>
      </c>
      <c r="C745" s="2">
        <v>0</v>
      </c>
      <c r="D745" s="4" t="s">
        <v>2339</v>
      </c>
      <c r="E745" s="2">
        <v>9493208</v>
      </c>
      <c r="F745" s="2">
        <v>1803709.52</v>
      </c>
      <c r="G745" s="2">
        <v>0</v>
      </c>
      <c r="H745" s="4">
        <v>0</v>
      </c>
      <c r="I745" s="4">
        <v>0</v>
      </c>
      <c r="J745" s="4">
        <v>0</v>
      </c>
      <c r="K745" s="4">
        <v>11296917.52</v>
      </c>
      <c r="L745" s="4" t="s">
        <v>2337</v>
      </c>
      <c r="M745" s="4" t="s">
        <v>2338</v>
      </c>
      <c r="N745" s="4" t="s">
        <v>826</v>
      </c>
      <c r="O745" s="4" t="s">
        <v>89</v>
      </c>
      <c r="P745" s="4" t="s">
        <v>89</v>
      </c>
      <c r="Q745" s="8" t="s">
        <v>100</v>
      </c>
      <c r="R745" s="9">
        <f t="shared" si="12"/>
        <v>1.6654620765156738E-4</v>
      </c>
      <c r="S745" s="55">
        <f>Tabla3[[#This Row],[Subtotal]]/12</f>
        <v>791100.66666666663</v>
      </c>
    </row>
    <row r="746" spans="1:19" x14ac:dyDescent="0.2">
      <c r="A746" s="4">
        <v>528</v>
      </c>
      <c r="B746" s="2">
        <v>9487825</v>
      </c>
      <c r="C746" s="2">
        <v>0</v>
      </c>
      <c r="D746" s="4" t="s">
        <v>2342</v>
      </c>
      <c r="E746" s="2">
        <v>9487825</v>
      </c>
      <c r="F746" s="2">
        <v>1802686.75</v>
      </c>
      <c r="G746" s="2">
        <v>237195.63</v>
      </c>
      <c r="H746" s="4">
        <v>0</v>
      </c>
      <c r="I746" s="4">
        <v>0</v>
      </c>
      <c r="J746" s="4">
        <v>237195.63</v>
      </c>
      <c r="K746" s="4">
        <v>11053316.119999999</v>
      </c>
      <c r="L746" s="4" t="s">
        <v>2340</v>
      </c>
      <c r="M746" s="4" t="s">
        <v>2341</v>
      </c>
      <c r="N746" s="4" t="s">
        <v>472</v>
      </c>
      <c r="O746" s="4" t="s">
        <v>67</v>
      </c>
      <c r="P746" s="4" t="s">
        <v>67</v>
      </c>
      <c r="Q746" s="8" t="s">
        <v>100</v>
      </c>
      <c r="R746" s="9">
        <f t="shared" si="12"/>
        <v>1.6645176979285952E-4</v>
      </c>
      <c r="S746" s="55">
        <f>Tabla3[[#This Row],[Subtotal]]/12</f>
        <v>790652.08333333337</v>
      </c>
    </row>
    <row r="747" spans="1:19" x14ac:dyDescent="0.2">
      <c r="A747" s="4">
        <v>1510</v>
      </c>
      <c r="B747" s="2">
        <v>9487149</v>
      </c>
      <c r="C747" s="2">
        <v>0</v>
      </c>
      <c r="D747" s="4" t="s">
        <v>2345</v>
      </c>
      <c r="E747" s="2">
        <v>9487149</v>
      </c>
      <c r="F747" s="2">
        <v>1802558.31</v>
      </c>
      <c r="G747" s="2">
        <v>0</v>
      </c>
      <c r="H747" s="4">
        <v>0</v>
      </c>
      <c r="I747" s="4">
        <v>0</v>
      </c>
      <c r="J747" s="4">
        <v>0</v>
      </c>
      <c r="K747" s="4">
        <v>11289707.310000001</v>
      </c>
      <c r="L747" s="4" t="s">
        <v>2343</v>
      </c>
      <c r="M747" s="4" t="s">
        <v>2344</v>
      </c>
      <c r="N747" s="4" t="s">
        <v>20</v>
      </c>
      <c r="O747" s="4" t="s">
        <v>768</v>
      </c>
      <c r="P747" s="4" t="s">
        <v>768</v>
      </c>
      <c r="Q747" s="8" t="s">
        <v>100</v>
      </c>
      <c r="R747" s="9">
        <f t="shared" si="12"/>
        <v>1.6643991023638794E-4</v>
      </c>
      <c r="S747" s="55">
        <f>Tabla3[[#This Row],[Subtotal]]/12</f>
        <v>790595.75</v>
      </c>
    </row>
    <row r="748" spans="1:19" x14ac:dyDescent="0.2">
      <c r="A748" s="4">
        <v>974</v>
      </c>
      <c r="B748" s="2">
        <v>9468538</v>
      </c>
      <c r="C748" s="2">
        <v>0</v>
      </c>
      <c r="D748" s="4" t="s">
        <v>2348</v>
      </c>
      <c r="E748" s="2">
        <v>9468538</v>
      </c>
      <c r="F748" s="2">
        <v>1799022.22</v>
      </c>
      <c r="G748" s="2">
        <v>140456.35</v>
      </c>
      <c r="H748" s="4">
        <v>0</v>
      </c>
      <c r="I748" s="4">
        <v>0</v>
      </c>
      <c r="J748" s="4">
        <v>140456.35</v>
      </c>
      <c r="K748" s="4">
        <v>11127103.869999999</v>
      </c>
      <c r="L748" s="4" t="s">
        <v>2346</v>
      </c>
      <c r="M748" s="4" t="s">
        <v>2347</v>
      </c>
      <c r="N748" s="4" t="s">
        <v>975</v>
      </c>
      <c r="O748" s="4" t="s">
        <v>89</v>
      </c>
      <c r="P748" s="4" t="s">
        <v>89</v>
      </c>
      <c r="Q748" s="8" t="s">
        <v>100</v>
      </c>
      <c r="R748" s="9">
        <f t="shared" si="12"/>
        <v>1.6611340401524507E-4</v>
      </c>
      <c r="S748" s="55">
        <f>Tabla3[[#This Row],[Subtotal]]/12</f>
        <v>789044.83333333337</v>
      </c>
    </row>
    <row r="749" spans="1:19" x14ac:dyDescent="0.2">
      <c r="A749" s="4">
        <v>986</v>
      </c>
      <c r="B749" s="2">
        <v>9602590</v>
      </c>
      <c r="C749" s="2">
        <v>214912.5</v>
      </c>
      <c r="D749" s="4" t="s">
        <v>2351</v>
      </c>
      <c r="E749" s="2">
        <v>9387677.5</v>
      </c>
      <c r="F749" s="2">
        <v>1783658.73</v>
      </c>
      <c r="G749" s="2">
        <v>208967.94</v>
      </c>
      <c r="H749" s="4">
        <v>0</v>
      </c>
      <c r="I749" s="4">
        <v>0</v>
      </c>
      <c r="J749" s="4">
        <v>208967.94</v>
      </c>
      <c r="K749" s="4">
        <v>10962368.289999999</v>
      </c>
      <c r="L749" s="4" t="s">
        <v>2349</v>
      </c>
      <c r="M749" s="4" t="s">
        <v>2350</v>
      </c>
      <c r="N749" s="4" t="s">
        <v>332</v>
      </c>
      <c r="O749" s="4" t="s">
        <v>1127</v>
      </c>
      <c r="P749" s="4" t="s">
        <v>1127</v>
      </c>
      <c r="Q749" s="8" t="s">
        <v>100</v>
      </c>
      <c r="R749" s="9">
        <f t="shared" si="12"/>
        <v>1.6469480983466778E-4</v>
      </c>
      <c r="S749" s="55">
        <f>Tabla3[[#This Row],[Subtotal]]/12</f>
        <v>782306.45833333337</v>
      </c>
    </row>
    <row r="750" spans="1:19" x14ac:dyDescent="0.2">
      <c r="A750" s="4">
        <v>409</v>
      </c>
      <c r="B750" s="2">
        <v>9335805</v>
      </c>
      <c r="C750" s="2">
        <v>0</v>
      </c>
      <c r="D750" s="4" t="s">
        <v>2354</v>
      </c>
      <c r="E750" s="2">
        <v>9335805</v>
      </c>
      <c r="F750" s="2">
        <v>1773802.95</v>
      </c>
      <c r="G750" s="2">
        <v>185519.06</v>
      </c>
      <c r="H750" s="4">
        <v>0</v>
      </c>
      <c r="I750" s="4">
        <v>0</v>
      </c>
      <c r="J750" s="4">
        <v>185519.06</v>
      </c>
      <c r="K750" s="4">
        <v>10924088.890000001</v>
      </c>
      <c r="L750" s="4" t="s">
        <v>2352</v>
      </c>
      <c r="M750" s="4" t="s">
        <v>2353</v>
      </c>
      <c r="N750" s="4" t="s">
        <v>2113</v>
      </c>
      <c r="O750" s="4" t="s">
        <v>89</v>
      </c>
      <c r="P750" s="4" t="s">
        <v>89</v>
      </c>
      <c r="Q750" s="8" t="s">
        <v>100</v>
      </c>
      <c r="R750" s="9">
        <f t="shared" si="12"/>
        <v>1.637847730845612E-4</v>
      </c>
      <c r="S750" s="55">
        <f>Tabla3[[#This Row],[Subtotal]]/12</f>
        <v>777983.75</v>
      </c>
    </row>
    <row r="751" spans="1:19" x14ac:dyDescent="0.2">
      <c r="A751" s="4">
        <v>163</v>
      </c>
      <c r="B751" s="2">
        <v>9318639</v>
      </c>
      <c r="C751" s="2">
        <v>0</v>
      </c>
      <c r="D751" s="4" t="s">
        <v>2357</v>
      </c>
      <c r="E751" s="2">
        <v>9318639</v>
      </c>
      <c r="F751" s="2">
        <v>1770541.41</v>
      </c>
      <c r="G751" s="2">
        <v>0</v>
      </c>
      <c r="H751" s="4">
        <v>0</v>
      </c>
      <c r="I751" s="4">
        <v>0</v>
      </c>
      <c r="J751" s="4">
        <v>0</v>
      </c>
      <c r="K751" s="4">
        <v>11089180.41</v>
      </c>
      <c r="L751" s="4" t="s">
        <v>2355</v>
      </c>
      <c r="M751" s="4" t="s">
        <v>2356</v>
      </c>
      <c r="N751" s="4" t="s">
        <v>20</v>
      </c>
      <c r="O751" s="4" t="s">
        <v>372</v>
      </c>
      <c r="P751" s="4" t="s">
        <v>372</v>
      </c>
      <c r="Q751" s="8" t="s">
        <v>100</v>
      </c>
      <c r="R751" s="9">
        <f t="shared" si="12"/>
        <v>1.6348361754256246E-4</v>
      </c>
      <c r="S751" s="55">
        <f>Tabla3[[#This Row],[Subtotal]]/12</f>
        <v>776553.25</v>
      </c>
    </row>
    <row r="752" spans="1:19" x14ac:dyDescent="0.2">
      <c r="A752" s="4">
        <v>682</v>
      </c>
      <c r="B752" s="2">
        <v>9291655</v>
      </c>
      <c r="C752" s="2">
        <v>0</v>
      </c>
      <c r="D752" s="4" t="s">
        <v>2360</v>
      </c>
      <c r="E752" s="2">
        <v>9291655</v>
      </c>
      <c r="F752" s="2">
        <v>1765414.45</v>
      </c>
      <c r="G752" s="2">
        <v>124336.99</v>
      </c>
      <c r="H752" s="4">
        <v>0</v>
      </c>
      <c r="I752" s="4">
        <v>0</v>
      </c>
      <c r="J752" s="4">
        <v>124336.99</v>
      </c>
      <c r="K752" s="4">
        <v>10932732.460000001</v>
      </c>
      <c r="L752" s="4" t="s">
        <v>2358</v>
      </c>
      <c r="M752" s="4" t="s">
        <v>2359</v>
      </c>
      <c r="N752" s="4" t="s">
        <v>1054</v>
      </c>
      <c r="O752" s="4" t="s">
        <v>89</v>
      </c>
      <c r="P752" s="4" t="s">
        <v>89</v>
      </c>
      <c r="Q752" s="8" t="s">
        <v>100</v>
      </c>
      <c r="R752" s="9">
        <f t="shared" si="12"/>
        <v>1.6301021773216433E-4</v>
      </c>
      <c r="S752" s="55">
        <f>Tabla3[[#This Row],[Subtotal]]/12</f>
        <v>774304.58333333337</v>
      </c>
    </row>
    <row r="753" spans="1:19" x14ac:dyDescent="0.2">
      <c r="A753" s="4">
        <v>840</v>
      </c>
      <c r="B753" s="2">
        <v>9279165</v>
      </c>
      <c r="C753" s="2">
        <v>0</v>
      </c>
      <c r="D753" s="4" t="s">
        <v>2363</v>
      </c>
      <c r="E753" s="2">
        <v>9279165</v>
      </c>
      <c r="F753" s="2">
        <v>1763041.35</v>
      </c>
      <c r="G753" s="2">
        <v>102724.06</v>
      </c>
      <c r="H753" s="4">
        <v>0</v>
      </c>
      <c r="I753" s="4">
        <v>0</v>
      </c>
      <c r="J753" s="4">
        <v>102724.06</v>
      </c>
      <c r="K753" s="4">
        <v>10939482.289999999</v>
      </c>
      <c r="L753" s="4" t="s">
        <v>2361</v>
      </c>
      <c r="M753" s="4" t="s">
        <v>2362</v>
      </c>
      <c r="N753" s="4" t="s">
        <v>329</v>
      </c>
      <c r="O753" s="4" t="s">
        <v>89</v>
      </c>
      <c r="P753" s="4" t="s">
        <v>1039</v>
      </c>
      <c r="Q753" s="8" t="s">
        <v>100</v>
      </c>
      <c r="R753" s="9">
        <f t="shared" si="12"/>
        <v>1.6279109663700156E-4</v>
      </c>
      <c r="S753" s="55">
        <f>Tabla3[[#This Row],[Subtotal]]/12</f>
        <v>773263.75</v>
      </c>
    </row>
    <row r="754" spans="1:19" x14ac:dyDescent="0.2">
      <c r="A754" s="4">
        <v>300</v>
      </c>
      <c r="B754" s="2">
        <v>9176849</v>
      </c>
      <c r="C754" s="2">
        <v>0</v>
      </c>
      <c r="D754" s="4" t="s">
        <v>2366</v>
      </c>
      <c r="E754" s="2">
        <v>9176849</v>
      </c>
      <c r="F754" s="2">
        <v>1743601.31</v>
      </c>
      <c r="G754" s="2">
        <v>198906.17</v>
      </c>
      <c r="H754" s="4">
        <v>0</v>
      </c>
      <c r="I754" s="4">
        <v>0</v>
      </c>
      <c r="J754" s="4">
        <v>198906.17</v>
      </c>
      <c r="K754" s="4">
        <v>10721544.140000001</v>
      </c>
      <c r="L754" s="4" t="s">
        <v>2364</v>
      </c>
      <c r="M754" s="4" t="s">
        <v>2365</v>
      </c>
      <c r="N754" s="4" t="s">
        <v>1143</v>
      </c>
      <c r="O754" s="4" t="s">
        <v>386</v>
      </c>
      <c r="P754" s="4" t="s">
        <v>386</v>
      </c>
      <c r="Q754" s="8" t="s">
        <v>585</v>
      </c>
      <c r="R754" s="9">
        <f t="shared" si="12"/>
        <v>1.6099609311637103E-4</v>
      </c>
      <c r="S754" s="55">
        <f>Tabla3[[#This Row],[Subtotal]]/12</f>
        <v>764737.41666666663</v>
      </c>
    </row>
    <row r="755" spans="1:19" x14ac:dyDescent="0.2">
      <c r="A755" s="4">
        <v>212</v>
      </c>
      <c r="B755" s="2">
        <v>9151814</v>
      </c>
      <c r="C755" s="2">
        <v>0</v>
      </c>
      <c r="D755" s="4" t="s">
        <v>2369</v>
      </c>
      <c r="E755" s="2">
        <v>9151814</v>
      </c>
      <c r="F755" s="2">
        <v>1738844.66</v>
      </c>
      <c r="G755" s="2">
        <v>0</v>
      </c>
      <c r="H755" s="4">
        <v>0</v>
      </c>
      <c r="I755" s="4">
        <v>0</v>
      </c>
      <c r="J755" s="4">
        <v>0</v>
      </c>
      <c r="K755" s="4">
        <v>10890658.66</v>
      </c>
      <c r="L755" s="4" t="s">
        <v>2367</v>
      </c>
      <c r="M755" s="4" t="s">
        <v>2368</v>
      </c>
      <c r="N755" s="4" t="s">
        <v>332</v>
      </c>
      <c r="O755" s="4" t="s">
        <v>1127</v>
      </c>
      <c r="P755" s="4" t="s">
        <v>1127</v>
      </c>
      <c r="Q755" s="8" t="s">
        <v>100</v>
      </c>
      <c r="R755" s="9">
        <f t="shared" si="12"/>
        <v>1.6055688602130297E-4</v>
      </c>
      <c r="S755" s="55">
        <f>Tabla3[[#This Row],[Subtotal]]/12</f>
        <v>762651.16666666663</v>
      </c>
    </row>
    <row r="756" spans="1:19" x14ac:dyDescent="0.2">
      <c r="A756" s="4">
        <v>304</v>
      </c>
      <c r="B756" s="2">
        <v>9423586</v>
      </c>
      <c r="C756" s="2">
        <v>282707.58</v>
      </c>
      <c r="D756" s="4" t="s">
        <v>2372</v>
      </c>
      <c r="E756" s="2">
        <v>9140878.4199999999</v>
      </c>
      <c r="F756" s="2">
        <v>1736766.9</v>
      </c>
      <c r="G756" s="2">
        <v>224599.19</v>
      </c>
      <c r="H756" s="4">
        <v>0</v>
      </c>
      <c r="I756" s="4">
        <v>0</v>
      </c>
      <c r="J756" s="4">
        <v>224599.19</v>
      </c>
      <c r="K756" s="4">
        <v>10653046.130000001</v>
      </c>
      <c r="L756" s="4" t="s">
        <v>2370</v>
      </c>
      <c r="M756" s="4" t="s">
        <v>2371</v>
      </c>
      <c r="N756" s="4" t="s">
        <v>2373</v>
      </c>
      <c r="O756" s="4" t="s">
        <v>1188</v>
      </c>
      <c r="P756" s="4" t="s">
        <v>1188</v>
      </c>
      <c r="Q756" s="8" t="s">
        <v>100</v>
      </c>
      <c r="R756" s="9">
        <f t="shared" si="12"/>
        <v>1.6036503523941023E-4</v>
      </c>
      <c r="S756" s="55">
        <f>Tabla3[[#This Row],[Subtotal]]/12</f>
        <v>761739.86833333329</v>
      </c>
    </row>
    <row r="757" spans="1:19" x14ac:dyDescent="0.2">
      <c r="A757" s="4">
        <v>218</v>
      </c>
      <c r="B757" s="2">
        <v>9027300</v>
      </c>
      <c r="C757" s="2">
        <v>0</v>
      </c>
      <c r="D757" s="4" t="s">
        <v>2376</v>
      </c>
      <c r="E757" s="2">
        <v>9027300</v>
      </c>
      <c r="F757" s="2">
        <v>1715187</v>
      </c>
      <c r="G757" s="2">
        <v>119733.3</v>
      </c>
      <c r="H757" s="4">
        <v>0</v>
      </c>
      <c r="I757" s="4">
        <v>0</v>
      </c>
      <c r="J757" s="4">
        <v>119733.3</v>
      </c>
      <c r="K757" s="4">
        <v>10622753.699999999</v>
      </c>
      <c r="L757" s="4" t="s">
        <v>2374</v>
      </c>
      <c r="M757" s="4" t="s">
        <v>2375</v>
      </c>
      <c r="N757" s="4" t="s">
        <v>2377</v>
      </c>
      <c r="O757" s="4" t="s">
        <v>229</v>
      </c>
      <c r="P757" s="4" t="s">
        <v>229</v>
      </c>
      <c r="Q757" s="8" t="s">
        <v>100</v>
      </c>
      <c r="R757" s="9">
        <f t="shared" si="12"/>
        <v>1.5837244694659531E-4</v>
      </c>
      <c r="S757" s="55">
        <f>Tabla3[[#This Row],[Subtotal]]/12</f>
        <v>752275</v>
      </c>
    </row>
    <row r="758" spans="1:19" x14ac:dyDescent="0.2">
      <c r="A758" s="4">
        <v>958</v>
      </c>
      <c r="B758" s="2">
        <v>8932135</v>
      </c>
      <c r="C758" s="2">
        <v>0</v>
      </c>
      <c r="D758" s="4" t="s">
        <v>2380</v>
      </c>
      <c r="E758" s="2">
        <v>8932135</v>
      </c>
      <c r="F758" s="2">
        <v>1697105.65</v>
      </c>
      <c r="G758" s="2">
        <v>223303.38</v>
      </c>
      <c r="H758" s="4">
        <v>0</v>
      </c>
      <c r="I758" s="4">
        <v>0</v>
      </c>
      <c r="J758" s="4">
        <v>223303.38</v>
      </c>
      <c r="K758" s="4">
        <v>10405937.27</v>
      </c>
      <c r="L758" s="4" t="s">
        <v>2378</v>
      </c>
      <c r="M758" s="4" t="s">
        <v>2379</v>
      </c>
      <c r="N758" s="4" t="s">
        <v>20</v>
      </c>
      <c r="O758" s="4" t="s">
        <v>76</v>
      </c>
      <c r="P758" s="4" t="s">
        <v>76</v>
      </c>
      <c r="Q758" s="8" t="s">
        <v>585</v>
      </c>
      <c r="R758" s="9">
        <f t="shared" si="12"/>
        <v>1.5670289858621373E-4</v>
      </c>
      <c r="S758" s="55">
        <f>Tabla3[[#This Row],[Subtotal]]/12</f>
        <v>744344.58333333337</v>
      </c>
    </row>
    <row r="759" spans="1:19" x14ac:dyDescent="0.2">
      <c r="A759" s="4">
        <v>885</v>
      </c>
      <c r="B759" s="2">
        <v>8862599</v>
      </c>
      <c r="C759" s="2">
        <v>0</v>
      </c>
      <c r="D759" s="4" t="s">
        <v>2383</v>
      </c>
      <c r="E759" s="2">
        <v>8862599</v>
      </c>
      <c r="F759" s="2">
        <v>1683893.81</v>
      </c>
      <c r="G759" s="2">
        <v>0</v>
      </c>
      <c r="H759" s="4">
        <v>0</v>
      </c>
      <c r="I759" s="4">
        <v>0</v>
      </c>
      <c r="J759" s="4">
        <v>0</v>
      </c>
      <c r="K759" s="4">
        <v>10546492.810000001</v>
      </c>
      <c r="L759" s="4" t="s">
        <v>2381</v>
      </c>
      <c r="M759" s="4" t="s">
        <v>2382</v>
      </c>
      <c r="N759" s="4" t="s">
        <v>104</v>
      </c>
      <c r="O759" s="4" t="s">
        <v>105</v>
      </c>
      <c r="P759" s="4" t="s">
        <v>105</v>
      </c>
      <c r="Q759" s="8" t="s">
        <v>100</v>
      </c>
      <c r="R759" s="9">
        <f t="shared" si="12"/>
        <v>1.5548297829211932E-4</v>
      </c>
      <c r="S759" s="55">
        <f>Tabla3[[#This Row],[Subtotal]]/12</f>
        <v>738549.91666666663</v>
      </c>
    </row>
    <row r="760" spans="1:19" x14ac:dyDescent="0.2">
      <c r="A760" s="4">
        <v>1269</v>
      </c>
      <c r="B760" s="2">
        <v>8848924</v>
      </c>
      <c r="C760" s="2">
        <v>0</v>
      </c>
      <c r="D760" s="4" t="s">
        <v>2386</v>
      </c>
      <c r="E760" s="2">
        <v>8848924</v>
      </c>
      <c r="F760" s="2">
        <v>1681295.56</v>
      </c>
      <c r="G760" s="2">
        <v>0</v>
      </c>
      <c r="H760" s="4">
        <v>0</v>
      </c>
      <c r="I760" s="4">
        <v>0</v>
      </c>
      <c r="J760" s="4">
        <v>0</v>
      </c>
      <c r="K760" s="4">
        <v>10530219.560000001</v>
      </c>
      <c r="L760" s="4" t="s">
        <v>2384</v>
      </c>
      <c r="M760" s="4" t="s">
        <v>2385</v>
      </c>
      <c r="N760" s="4" t="s">
        <v>20</v>
      </c>
      <c r="O760" s="4" t="s">
        <v>372</v>
      </c>
      <c r="P760" s="4" t="s">
        <v>372</v>
      </c>
      <c r="Q760" s="8" t="s">
        <v>100</v>
      </c>
      <c r="R760" s="9">
        <f t="shared" si="12"/>
        <v>1.5524306788568609E-4</v>
      </c>
      <c r="S760" s="55">
        <f>Tabla3[[#This Row],[Subtotal]]/12</f>
        <v>737410.33333333337</v>
      </c>
    </row>
    <row r="761" spans="1:19" x14ac:dyDescent="0.2">
      <c r="A761" s="4">
        <v>1738</v>
      </c>
      <c r="B761" s="2">
        <v>8842395</v>
      </c>
      <c r="C761" s="2">
        <v>0</v>
      </c>
      <c r="D761" s="4" t="s">
        <v>2389</v>
      </c>
      <c r="E761" s="2">
        <v>8842395</v>
      </c>
      <c r="F761" s="2">
        <v>1680055.05</v>
      </c>
      <c r="G761" s="2">
        <v>221059.88</v>
      </c>
      <c r="H761" s="4">
        <v>0</v>
      </c>
      <c r="I761" s="4">
        <v>0</v>
      </c>
      <c r="J761" s="4">
        <v>221059.88</v>
      </c>
      <c r="K761" s="4">
        <v>10301390.17</v>
      </c>
      <c r="L761" s="4" t="s">
        <v>2387</v>
      </c>
      <c r="M761" s="4" t="s">
        <v>2388</v>
      </c>
      <c r="N761" s="4" t="s">
        <v>2390</v>
      </c>
      <c r="O761" s="4" t="s">
        <v>42</v>
      </c>
      <c r="P761" s="4" t="s">
        <v>42</v>
      </c>
      <c r="Q761" s="8" t="s">
        <v>100</v>
      </c>
      <c r="R761" s="9">
        <f t="shared" si="12"/>
        <v>1.5512852492088883E-4</v>
      </c>
      <c r="S761" s="55">
        <f>Tabla3[[#This Row],[Subtotal]]/12</f>
        <v>736866.25</v>
      </c>
    </row>
    <row r="762" spans="1:19" x14ac:dyDescent="0.2">
      <c r="A762" s="4">
        <v>464</v>
      </c>
      <c r="B762" s="2">
        <v>8840408</v>
      </c>
      <c r="C762" s="2">
        <v>0</v>
      </c>
      <c r="D762" s="4" t="s">
        <v>2393</v>
      </c>
      <c r="E762" s="2">
        <v>8840408</v>
      </c>
      <c r="F762" s="2">
        <v>1679677.52</v>
      </c>
      <c r="G762" s="2">
        <v>221010.21</v>
      </c>
      <c r="H762" s="4">
        <v>0</v>
      </c>
      <c r="I762" s="4">
        <v>0</v>
      </c>
      <c r="J762" s="4">
        <v>221010.21</v>
      </c>
      <c r="K762" s="4">
        <v>10299075.310000001</v>
      </c>
      <c r="L762" s="4" t="s">
        <v>2391</v>
      </c>
      <c r="M762" s="4" t="s">
        <v>2392</v>
      </c>
      <c r="N762" s="4" t="s">
        <v>272</v>
      </c>
      <c r="O762" s="4" t="s">
        <v>89</v>
      </c>
      <c r="P762" s="4" t="s">
        <v>89</v>
      </c>
      <c r="Q762" s="8" t="s">
        <v>100</v>
      </c>
      <c r="R762" s="9">
        <f t="shared" si="12"/>
        <v>1.5509366554410033E-4</v>
      </c>
      <c r="S762" s="55">
        <f>Tabla3[[#This Row],[Subtotal]]/12</f>
        <v>736700.66666666663</v>
      </c>
    </row>
    <row r="763" spans="1:19" x14ac:dyDescent="0.2">
      <c r="A763" s="4">
        <v>1395</v>
      </c>
      <c r="B763" s="2">
        <v>8805515</v>
      </c>
      <c r="C763" s="2">
        <v>0</v>
      </c>
      <c r="D763" s="4" t="s">
        <v>2396</v>
      </c>
      <c r="E763" s="2">
        <v>8805515</v>
      </c>
      <c r="F763" s="2">
        <v>1673047.85</v>
      </c>
      <c r="G763" s="2">
        <v>0</v>
      </c>
      <c r="H763" s="4">
        <v>0</v>
      </c>
      <c r="I763" s="4">
        <v>0</v>
      </c>
      <c r="J763" s="4">
        <v>0</v>
      </c>
      <c r="K763" s="4">
        <v>10478562.85</v>
      </c>
      <c r="L763" s="4" t="s">
        <v>2394</v>
      </c>
      <c r="M763" s="4" t="s">
        <v>2395</v>
      </c>
      <c r="N763" s="4" t="s">
        <v>20</v>
      </c>
      <c r="O763" s="4" t="s">
        <v>1356</v>
      </c>
      <c r="P763" s="4" t="s">
        <v>1356</v>
      </c>
      <c r="Q763" s="8" t="s">
        <v>100</v>
      </c>
      <c r="R763" s="9">
        <f t="shared" si="12"/>
        <v>1.5448151243172922E-4</v>
      </c>
      <c r="S763" s="55">
        <f>Tabla3[[#This Row],[Subtotal]]/12</f>
        <v>733792.91666666663</v>
      </c>
    </row>
    <row r="764" spans="1:19" x14ac:dyDescent="0.2">
      <c r="A764" s="4">
        <v>1468</v>
      </c>
      <c r="B764" s="2">
        <v>8774400</v>
      </c>
      <c r="C764" s="2">
        <v>0</v>
      </c>
      <c r="D764" s="4" t="s">
        <v>2399</v>
      </c>
      <c r="E764" s="2">
        <v>8774400</v>
      </c>
      <c r="F764" s="2">
        <v>1667136</v>
      </c>
      <c r="G764" s="2">
        <v>68043.929999999993</v>
      </c>
      <c r="H764" s="4">
        <v>0</v>
      </c>
      <c r="I764" s="4">
        <v>0</v>
      </c>
      <c r="J764" s="4">
        <v>68043.929999999993</v>
      </c>
      <c r="K764" s="4">
        <v>10373492.07</v>
      </c>
      <c r="L764" s="4" t="s">
        <v>2397</v>
      </c>
      <c r="M764" s="4" t="s">
        <v>2398</v>
      </c>
      <c r="N764" s="4" t="s">
        <v>46</v>
      </c>
      <c r="O764" s="4" t="s">
        <v>1277</v>
      </c>
      <c r="P764" s="4" t="s">
        <v>1277</v>
      </c>
      <c r="Q764" s="8" t="s">
        <v>28</v>
      </c>
      <c r="R764" s="9">
        <f t="shared" si="12"/>
        <v>1.5393563950330731E-4</v>
      </c>
      <c r="S764" s="55">
        <f>Tabla3[[#This Row],[Subtotal]]/12</f>
        <v>731200</v>
      </c>
    </row>
    <row r="765" spans="1:19" x14ac:dyDescent="0.2">
      <c r="A765" s="4">
        <v>1694</v>
      </c>
      <c r="B765" s="2">
        <v>8716301</v>
      </c>
      <c r="C765" s="2">
        <v>0</v>
      </c>
      <c r="D765" s="4" t="s">
        <v>2402</v>
      </c>
      <c r="E765" s="2">
        <v>8716301</v>
      </c>
      <c r="F765" s="2">
        <v>1656097.19</v>
      </c>
      <c r="G765" s="2">
        <v>0</v>
      </c>
      <c r="H765" s="4">
        <v>0</v>
      </c>
      <c r="I765" s="4">
        <v>0</v>
      </c>
      <c r="J765" s="4">
        <v>0</v>
      </c>
      <c r="K765" s="4">
        <v>10372398.189999999</v>
      </c>
      <c r="L765" s="4" t="s">
        <v>2400</v>
      </c>
      <c r="M765" s="4" t="s">
        <v>2401</v>
      </c>
      <c r="N765" s="4" t="s">
        <v>648</v>
      </c>
      <c r="O765" s="4" t="s">
        <v>340</v>
      </c>
      <c r="P765" s="4" t="s">
        <v>340</v>
      </c>
      <c r="Q765" s="8" t="s">
        <v>100</v>
      </c>
      <c r="R765" s="9">
        <f t="shared" si="12"/>
        <v>1.5291636676448725E-4</v>
      </c>
      <c r="S765" s="55">
        <f>Tabla3[[#This Row],[Subtotal]]/12</f>
        <v>726358.41666666663</v>
      </c>
    </row>
    <row r="766" spans="1:19" x14ac:dyDescent="0.2">
      <c r="A766" s="4">
        <v>284</v>
      </c>
      <c r="B766" s="2">
        <v>8698618</v>
      </c>
      <c r="C766" s="2">
        <v>0</v>
      </c>
      <c r="D766" s="4" t="s">
        <v>2405</v>
      </c>
      <c r="E766" s="2">
        <v>8698618</v>
      </c>
      <c r="F766" s="2">
        <v>1652737.42</v>
      </c>
      <c r="G766" s="2">
        <v>0</v>
      </c>
      <c r="H766" s="4">
        <v>0</v>
      </c>
      <c r="I766" s="4">
        <v>0</v>
      </c>
      <c r="J766" s="4">
        <v>0</v>
      </c>
      <c r="K766" s="4">
        <v>10351355.42</v>
      </c>
      <c r="L766" s="4" t="s">
        <v>2403</v>
      </c>
      <c r="M766" s="4" t="s">
        <v>2404</v>
      </c>
      <c r="N766" s="4" t="s">
        <v>2377</v>
      </c>
      <c r="O766" s="4" t="s">
        <v>229</v>
      </c>
      <c r="P766" s="4" t="s">
        <v>229</v>
      </c>
      <c r="Q766" s="8" t="s">
        <v>100</v>
      </c>
      <c r="R766" s="9">
        <f t="shared" si="12"/>
        <v>1.526061411179089E-4</v>
      </c>
      <c r="S766" s="55">
        <f>Tabla3[[#This Row],[Subtotal]]/12</f>
        <v>724884.83333333337</v>
      </c>
    </row>
    <row r="767" spans="1:19" x14ac:dyDescent="0.2">
      <c r="A767" s="4">
        <v>179</v>
      </c>
      <c r="B767" s="2">
        <v>8605979</v>
      </c>
      <c r="C767" s="2">
        <v>0</v>
      </c>
      <c r="D767" s="4" t="s">
        <v>2408</v>
      </c>
      <c r="E767" s="2">
        <v>8605979</v>
      </c>
      <c r="F767" s="2">
        <v>1635136.01</v>
      </c>
      <c r="G767" s="2">
        <v>0</v>
      </c>
      <c r="H767" s="4">
        <v>0</v>
      </c>
      <c r="I767" s="4">
        <v>0</v>
      </c>
      <c r="J767" s="4">
        <v>0</v>
      </c>
      <c r="K767" s="4">
        <v>10241115.01</v>
      </c>
      <c r="L767" s="4" t="s">
        <v>2406</v>
      </c>
      <c r="M767" s="4" t="s">
        <v>2407</v>
      </c>
      <c r="N767" s="4" t="s">
        <v>20</v>
      </c>
      <c r="O767" s="4" t="s">
        <v>316</v>
      </c>
      <c r="P767" s="4" t="s">
        <v>316</v>
      </c>
      <c r="Q767" s="8" t="s">
        <v>100</v>
      </c>
      <c r="R767" s="9">
        <f t="shared" si="12"/>
        <v>1.5098090820079242E-4</v>
      </c>
      <c r="S767" s="55">
        <f>Tabla3[[#This Row],[Subtotal]]/12</f>
        <v>717164.91666666663</v>
      </c>
    </row>
    <row r="768" spans="1:19" x14ac:dyDescent="0.2">
      <c r="A768" s="4">
        <v>1327</v>
      </c>
      <c r="B768" s="2">
        <v>8583096</v>
      </c>
      <c r="C768" s="2">
        <v>0</v>
      </c>
      <c r="D768" s="4" t="s">
        <v>2411</v>
      </c>
      <c r="E768" s="2">
        <v>8583096</v>
      </c>
      <c r="F768" s="2">
        <v>1630788.24</v>
      </c>
      <c r="G768" s="2">
        <v>0</v>
      </c>
      <c r="H768" s="4">
        <v>0</v>
      </c>
      <c r="I768" s="4">
        <v>0</v>
      </c>
      <c r="J768" s="4">
        <v>0</v>
      </c>
      <c r="K768" s="4">
        <v>10213884.24</v>
      </c>
      <c r="L768" s="4" t="s">
        <v>2409</v>
      </c>
      <c r="M768" s="4" t="s">
        <v>2410</v>
      </c>
      <c r="N768" s="4" t="s">
        <v>975</v>
      </c>
      <c r="O768" s="4" t="s">
        <v>89</v>
      </c>
      <c r="P768" s="4" t="s">
        <v>89</v>
      </c>
      <c r="Q768" s="8" t="s">
        <v>100</v>
      </c>
      <c r="R768" s="9">
        <f t="shared" si="12"/>
        <v>1.5057945519674038E-4</v>
      </c>
      <c r="S768" s="55">
        <f>Tabla3[[#This Row],[Subtotal]]/12</f>
        <v>715258</v>
      </c>
    </row>
    <row r="769" spans="1:19" x14ac:dyDescent="0.2">
      <c r="A769" s="4">
        <v>1060</v>
      </c>
      <c r="B769" s="2">
        <v>8558983</v>
      </c>
      <c r="C769" s="2">
        <v>0</v>
      </c>
      <c r="D769" s="4" t="s">
        <v>2414</v>
      </c>
      <c r="E769" s="2">
        <v>8558983</v>
      </c>
      <c r="F769" s="2">
        <v>1626206.77</v>
      </c>
      <c r="G769" s="2">
        <v>213974.58</v>
      </c>
      <c r="H769" s="4">
        <v>0</v>
      </c>
      <c r="I769" s="4">
        <v>0</v>
      </c>
      <c r="J769" s="4">
        <v>213974.58</v>
      </c>
      <c r="K769" s="4">
        <v>9971215.1899999995</v>
      </c>
      <c r="L769" s="4" t="s">
        <v>2412</v>
      </c>
      <c r="M769" s="4" t="s">
        <v>2413</v>
      </c>
      <c r="N769" s="4" t="s">
        <v>1415</v>
      </c>
      <c r="O769" s="4" t="s">
        <v>382</v>
      </c>
      <c r="P769" s="4" t="s">
        <v>382</v>
      </c>
      <c r="Q769" s="8" t="s">
        <v>100</v>
      </c>
      <c r="R769" s="9">
        <f t="shared" si="12"/>
        <v>1.501564234139013E-4</v>
      </c>
      <c r="S769" s="55">
        <f>Tabla3[[#This Row],[Subtotal]]/12</f>
        <v>713248.58333333337</v>
      </c>
    </row>
    <row r="770" spans="1:19" x14ac:dyDescent="0.2">
      <c r="A770" s="4">
        <v>1125</v>
      </c>
      <c r="B770" s="2">
        <v>8549089</v>
      </c>
      <c r="C770" s="2">
        <v>0</v>
      </c>
      <c r="D770" s="4" t="s">
        <v>2417</v>
      </c>
      <c r="E770" s="2">
        <v>8549089</v>
      </c>
      <c r="F770" s="2">
        <v>1624326.91</v>
      </c>
      <c r="G770" s="2">
        <v>0</v>
      </c>
      <c r="H770" s="4">
        <v>0</v>
      </c>
      <c r="I770" s="4">
        <v>0</v>
      </c>
      <c r="J770" s="4">
        <v>0</v>
      </c>
      <c r="K770" s="4">
        <v>10173415.91</v>
      </c>
      <c r="L770" s="4" t="s">
        <v>2415</v>
      </c>
      <c r="M770" s="4" t="s">
        <v>2416</v>
      </c>
      <c r="N770" s="4" t="s">
        <v>975</v>
      </c>
      <c r="O770" s="4" t="s">
        <v>89</v>
      </c>
      <c r="P770" s="4" t="s">
        <v>89</v>
      </c>
      <c r="Q770" s="8" t="s">
        <v>100</v>
      </c>
      <c r="R770" s="9">
        <f t="shared" si="12"/>
        <v>1.4998284582258501E-4</v>
      </c>
      <c r="S770" s="55">
        <f>Tabla3[[#This Row],[Subtotal]]/12</f>
        <v>712424.08333333337</v>
      </c>
    </row>
    <row r="771" spans="1:19" x14ac:dyDescent="0.2">
      <c r="A771" s="4">
        <v>205</v>
      </c>
      <c r="B771" s="2">
        <v>8537912</v>
      </c>
      <c r="C771" s="2">
        <v>0</v>
      </c>
      <c r="D771" s="4" t="s">
        <v>2420</v>
      </c>
      <c r="E771" s="2">
        <v>8537912</v>
      </c>
      <c r="F771" s="2">
        <v>1622203.28</v>
      </c>
      <c r="G771" s="2">
        <v>0</v>
      </c>
      <c r="H771" s="4">
        <v>0</v>
      </c>
      <c r="I771" s="4">
        <v>0</v>
      </c>
      <c r="J771" s="4">
        <v>0</v>
      </c>
      <c r="K771" s="4">
        <v>10160115.279999999</v>
      </c>
      <c r="L771" s="4" t="s">
        <v>2418</v>
      </c>
      <c r="M771" s="4" t="s">
        <v>2419</v>
      </c>
      <c r="N771" s="4" t="s">
        <v>332</v>
      </c>
      <c r="O771" s="4" t="s">
        <v>1127</v>
      </c>
      <c r="P771" s="4" t="s">
        <v>1127</v>
      </c>
      <c r="Q771" s="8" t="s">
        <v>100</v>
      </c>
      <c r="R771" s="9">
        <f t="shared" ref="R771:R834" si="13">E771/$E$1757</f>
        <v>1.4978675963518432E-4</v>
      </c>
      <c r="S771" s="55">
        <f>Tabla3[[#This Row],[Subtotal]]/12</f>
        <v>711492.66666666663</v>
      </c>
    </row>
    <row r="772" spans="1:19" x14ac:dyDescent="0.2">
      <c r="A772" s="4">
        <v>890</v>
      </c>
      <c r="B772" s="2">
        <v>8528492</v>
      </c>
      <c r="C772" s="2">
        <v>0</v>
      </c>
      <c r="D772" s="4" t="s">
        <v>2423</v>
      </c>
      <c r="E772" s="2">
        <v>8528492</v>
      </c>
      <c r="F772" s="2">
        <v>1620413.48</v>
      </c>
      <c r="G772" s="2">
        <v>176184.5</v>
      </c>
      <c r="H772" s="4">
        <v>0</v>
      </c>
      <c r="I772" s="4">
        <v>0</v>
      </c>
      <c r="J772" s="4">
        <v>176184.5</v>
      </c>
      <c r="K772" s="4">
        <v>9972720.9800000004</v>
      </c>
      <c r="L772" s="4" t="s">
        <v>2421</v>
      </c>
      <c r="M772" s="4" t="s">
        <v>2422</v>
      </c>
      <c r="N772" s="4" t="s">
        <v>20</v>
      </c>
      <c r="O772" s="4" t="s">
        <v>372</v>
      </c>
      <c r="P772" s="4" t="s">
        <v>372</v>
      </c>
      <c r="Q772" s="8" t="s">
        <v>100</v>
      </c>
      <c r="R772" s="9">
        <f t="shared" si="13"/>
        <v>1.4962149776837622E-4</v>
      </c>
      <c r="S772" s="55">
        <f>Tabla3[[#This Row],[Subtotal]]/12</f>
        <v>710707.66666666663</v>
      </c>
    </row>
    <row r="773" spans="1:19" x14ac:dyDescent="0.2">
      <c r="A773" s="4">
        <v>1717</v>
      </c>
      <c r="B773" s="2">
        <v>8492492</v>
      </c>
      <c r="C773" s="2">
        <v>0</v>
      </c>
      <c r="D773" s="4" t="s">
        <v>2426</v>
      </c>
      <c r="E773" s="2">
        <v>8492492</v>
      </c>
      <c r="F773" s="2">
        <v>1613573.48</v>
      </c>
      <c r="G773" s="2">
        <v>212312.31</v>
      </c>
      <c r="H773" s="4">
        <v>0</v>
      </c>
      <c r="I773" s="4">
        <v>0</v>
      </c>
      <c r="J773" s="4">
        <v>212312.31</v>
      </c>
      <c r="K773" s="4">
        <v>9893753.1699999999</v>
      </c>
      <c r="L773" s="4" t="s">
        <v>2424</v>
      </c>
      <c r="M773" s="4" t="s">
        <v>2425</v>
      </c>
      <c r="N773" s="4" t="s">
        <v>381</v>
      </c>
      <c r="O773" s="4" t="s">
        <v>382</v>
      </c>
      <c r="P773" s="4" t="s">
        <v>382</v>
      </c>
      <c r="Q773" s="8" t="s">
        <v>100</v>
      </c>
      <c r="R773" s="9">
        <f t="shared" si="13"/>
        <v>1.4898992375509678E-4</v>
      </c>
      <c r="S773" s="55">
        <f>Tabla3[[#This Row],[Subtotal]]/12</f>
        <v>707707.66666666663</v>
      </c>
    </row>
    <row r="774" spans="1:19" x14ac:dyDescent="0.2">
      <c r="A774" s="4">
        <v>1748</v>
      </c>
      <c r="B774" s="2">
        <v>8455812</v>
      </c>
      <c r="C774" s="2">
        <v>0</v>
      </c>
      <c r="D774" s="4" t="s">
        <v>2429</v>
      </c>
      <c r="E774" s="2">
        <v>8455812</v>
      </c>
      <c r="F774" s="2">
        <v>1606604.28</v>
      </c>
      <c r="G774" s="2">
        <v>0</v>
      </c>
      <c r="H774" s="4">
        <v>0</v>
      </c>
      <c r="I774" s="4">
        <v>0</v>
      </c>
      <c r="J774" s="4">
        <v>0</v>
      </c>
      <c r="K774" s="4">
        <v>10062416.279999999</v>
      </c>
      <c r="L774" s="4" t="s">
        <v>2427</v>
      </c>
      <c r="M774" s="4" t="s">
        <v>2428</v>
      </c>
      <c r="N774" s="4" t="s">
        <v>20</v>
      </c>
      <c r="O774" s="4" t="s">
        <v>257</v>
      </c>
      <c r="P774" s="4" t="s">
        <v>257</v>
      </c>
      <c r="Q774" s="8" t="s">
        <v>100</v>
      </c>
      <c r="R774" s="9">
        <f t="shared" si="13"/>
        <v>1.4834642001045542E-4</v>
      </c>
      <c r="S774" s="55">
        <f>Tabla3[[#This Row],[Subtotal]]/12</f>
        <v>704651</v>
      </c>
    </row>
    <row r="775" spans="1:19" x14ac:dyDescent="0.2">
      <c r="A775" s="4">
        <v>143</v>
      </c>
      <c r="B775" s="2">
        <v>8449190</v>
      </c>
      <c r="C775" s="2">
        <v>0</v>
      </c>
      <c r="D775" s="4" t="s">
        <v>2432</v>
      </c>
      <c r="E775" s="2">
        <v>8449190</v>
      </c>
      <c r="F775" s="2">
        <v>1605346.1</v>
      </c>
      <c r="G775" s="2">
        <v>211229.75</v>
      </c>
      <c r="H775" s="4">
        <v>0</v>
      </c>
      <c r="I775" s="4">
        <v>0</v>
      </c>
      <c r="J775" s="4">
        <v>211229.75</v>
      </c>
      <c r="K775" s="4">
        <v>9843306.3499999996</v>
      </c>
      <c r="L775" s="4" t="s">
        <v>2430</v>
      </c>
      <c r="M775" s="4" t="s">
        <v>2431</v>
      </c>
      <c r="N775" s="4" t="s">
        <v>20</v>
      </c>
      <c r="O775" s="4" t="s">
        <v>76</v>
      </c>
      <c r="P775" s="4" t="s">
        <v>76</v>
      </c>
      <c r="Q775" s="8" t="s">
        <v>408</v>
      </c>
      <c r="R775" s="9">
        <f t="shared" si="13"/>
        <v>1.4823024547945716E-4</v>
      </c>
      <c r="S775" s="55">
        <f>Tabla3[[#This Row],[Subtotal]]/12</f>
        <v>704099.16666666663</v>
      </c>
    </row>
    <row r="776" spans="1:19" x14ac:dyDescent="0.2">
      <c r="A776" s="4">
        <v>1030</v>
      </c>
      <c r="B776" s="2">
        <v>8444835</v>
      </c>
      <c r="C776" s="2">
        <v>0</v>
      </c>
      <c r="D776" s="4" t="s">
        <v>2434</v>
      </c>
      <c r="E776" s="2">
        <v>8444835</v>
      </c>
      <c r="F776" s="2">
        <v>1604518.65</v>
      </c>
      <c r="G776" s="2">
        <v>211120.88</v>
      </c>
      <c r="H776" s="4">
        <v>240677.8</v>
      </c>
      <c r="I776" s="4">
        <v>50669.01</v>
      </c>
      <c r="J776" s="4">
        <v>502467.69</v>
      </c>
      <c r="K776" s="4">
        <v>9546885.9600000009</v>
      </c>
      <c r="L776" s="4" t="s">
        <v>2433</v>
      </c>
      <c r="M776" s="4" t="s">
        <v>178</v>
      </c>
      <c r="N776" s="4" t="s">
        <v>104</v>
      </c>
      <c r="O776" s="4" t="s">
        <v>105</v>
      </c>
      <c r="P776" s="4" t="s">
        <v>105</v>
      </c>
      <c r="Q776" s="8" t="s">
        <v>28</v>
      </c>
      <c r="R776" s="9">
        <f t="shared" si="13"/>
        <v>1.4815384256757294E-4</v>
      </c>
      <c r="S776" s="55">
        <f>Tabla3[[#This Row],[Subtotal]]/12</f>
        <v>703736.25</v>
      </c>
    </row>
    <row r="777" spans="1:19" x14ac:dyDescent="0.2">
      <c r="A777" s="4">
        <v>181</v>
      </c>
      <c r="B777" s="2">
        <v>8418909</v>
      </c>
      <c r="C777" s="2">
        <v>0</v>
      </c>
      <c r="D777" s="4" t="s">
        <v>2437</v>
      </c>
      <c r="E777" s="2">
        <v>8418909</v>
      </c>
      <c r="F777" s="2">
        <v>1599592.71</v>
      </c>
      <c r="G777" s="2">
        <v>0</v>
      </c>
      <c r="H777" s="4">
        <v>0</v>
      </c>
      <c r="I777" s="4">
        <v>0</v>
      </c>
      <c r="J777" s="4">
        <v>0</v>
      </c>
      <c r="K777" s="4">
        <v>10018501.710000001</v>
      </c>
      <c r="L777" s="4" t="s">
        <v>2435</v>
      </c>
      <c r="M777" s="4" t="s">
        <v>2436</v>
      </c>
      <c r="N777" s="4" t="s">
        <v>427</v>
      </c>
      <c r="O777" s="4" t="s">
        <v>89</v>
      </c>
      <c r="P777" s="4" t="s">
        <v>89</v>
      </c>
      <c r="Q777" s="8" t="s">
        <v>100</v>
      </c>
      <c r="R777" s="9">
        <f t="shared" si="13"/>
        <v>1.4769900401567622E-4</v>
      </c>
      <c r="S777" s="55">
        <f>Tabla3[[#This Row],[Subtotal]]/12</f>
        <v>701575.75</v>
      </c>
    </row>
    <row r="778" spans="1:19" x14ac:dyDescent="0.2">
      <c r="A778" s="4">
        <v>1439</v>
      </c>
      <c r="B778" s="2">
        <v>8414717</v>
      </c>
      <c r="C778" s="2">
        <v>0</v>
      </c>
      <c r="D778" s="4" t="s">
        <v>2440</v>
      </c>
      <c r="E778" s="2">
        <v>8414717</v>
      </c>
      <c r="F778" s="2">
        <v>1598796.23</v>
      </c>
      <c r="G778" s="2">
        <v>0</v>
      </c>
      <c r="H778" s="4">
        <v>0</v>
      </c>
      <c r="I778" s="4">
        <v>0</v>
      </c>
      <c r="J778" s="4">
        <v>0</v>
      </c>
      <c r="K778" s="4">
        <v>10013513.23</v>
      </c>
      <c r="L778" s="4" t="s">
        <v>2438</v>
      </c>
      <c r="M778" s="4" t="s">
        <v>2439</v>
      </c>
      <c r="N778" s="4" t="s">
        <v>186</v>
      </c>
      <c r="O778" s="4" t="s">
        <v>59</v>
      </c>
      <c r="P778" s="4" t="s">
        <v>59</v>
      </c>
      <c r="Q778" s="8" t="s">
        <v>100</v>
      </c>
      <c r="R778" s="9">
        <f t="shared" si="13"/>
        <v>1.4762546073057435E-4</v>
      </c>
      <c r="S778" s="55">
        <f>Tabla3[[#This Row],[Subtotal]]/12</f>
        <v>701226.41666666663</v>
      </c>
    </row>
    <row r="779" spans="1:19" x14ac:dyDescent="0.2">
      <c r="A779" s="4">
        <v>542</v>
      </c>
      <c r="B779" s="2">
        <v>8370812</v>
      </c>
      <c r="C779" s="2">
        <v>0</v>
      </c>
      <c r="D779" s="4" t="s">
        <v>2443</v>
      </c>
      <c r="E779" s="2">
        <v>8370812</v>
      </c>
      <c r="F779" s="2">
        <v>1590454.28</v>
      </c>
      <c r="G779" s="2">
        <v>209270.3</v>
      </c>
      <c r="H779" s="4">
        <v>0</v>
      </c>
      <c r="I779" s="4">
        <v>0</v>
      </c>
      <c r="J779" s="4">
        <v>209270.3</v>
      </c>
      <c r="K779" s="4">
        <v>9751995.9800000004</v>
      </c>
      <c r="L779" s="4" t="s">
        <v>2441</v>
      </c>
      <c r="M779" s="4" t="s">
        <v>2442</v>
      </c>
      <c r="N779" s="4" t="s">
        <v>20</v>
      </c>
      <c r="O779" s="4" t="s">
        <v>76</v>
      </c>
      <c r="P779" s="4" t="s">
        <v>76</v>
      </c>
      <c r="Q779" s="8" t="s">
        <v>1378</v>
      </c>
      <c r="R779" s="9">
        <f t="shared" si="13"/>
        <v>1.468552035902123E-4</v>
      </c>
      <c r="S779" s="55">
        <f>Tabla3[[#This Row],[Subtotal]]/12</f>
        <v>697567.66666666663</v>
      </c>
    </row>
    <row r="780" spans="1:19" x14ac:dyDescent="0.2">
      <c r="A780" s="4">
        <v>1453</v>
      </c>
      <c r="B780" s="2">
        <v>8368596</v>
      </c>
      <c r="C780" s="2">
        <v>0</v>
      </c>
      <c r="D780" s="4" t="s">
        <v>2446</v>
      </c>
      <c r="E780" s="2">
        <v>8368596</v>
      </c>
      <c r="F780" s="2">
        <v>1590033.24</v>
      </c>
      <c r="G780" s="2">
        <v>98547.37</v>
      </c>
      <c r="H780" s="4">
        <v>0</v>
      </c>
      <c r="I780" s="4">
        <v>0</v>
      </c>
      <c r="J780" s="4">
        <v>98547.37</v>
      </c>
      <c r="K780" s="4">
        <v>9860081.8699999992</v>
      </c>
      <c r="L780" s="4" t="s">
        <v>2444</v>
      </c>
      <c r="M780" s="4" t="s">
        <v>2445</v>
      </c>
      <c r="N780" s="4" t="s">
        <v>20</v>
      </c>
      <c r="O780" s="4" t="s">
        <v>386</v>
      </c>
      <c r="P780" s="4" t="s">
        <v>386</v>
      </c>
      <c r="Q780" s="8" t="s">
        <v>585</v>
      </c>
      <c r="R780" s="9">
        <f t="shared" si="13"/>
        <v>1.4681632670095042E-4</v>
      </c>
      <c r="S780" s="55">
        <f>Tabla3[[#This Row],[Subtotal]]/12</f>
        <v>697383</v>
      </c>
    </row>
    <row r="781" spans="1:19" x14ac:dyDescent="0.2">
      <c r="A781" s="4">
        <v>1201</v>
      </c>
      <c r="B781" s="2">
        <v>8366674</v>
      </c>
      <c r="C781" s="2">
        <v>0</v>
      </c>
      <c r="D781" s="4" t="s">
        <v>2449</v>
      </c>
      <c r="E781" s="2">
        <v>8366674</v>
      </c>
      <c r="F781" s="2">
        <v>1589668.06</v>
      </c>
      <c r="G781" s="2">
        <v>0</v>
      </c>
      <c r="H781" s="4">
        <v>0</v>
      </c>
      <c r="I781" s="4">
        <v>0</v>
      </c>
      <c r="J781" s="4">
        <v>0</v>
      </c>
      <c r="K781" s="4">
        <v>9956342.0600000005</v>
      </c>
      <c r="L781" s="4" t="s">
        <v>2447</v>
      </c>
      <c r="M781" s="4" t="s">
        <v>2448</v>
      </c>
      <c r="N781" s="4" t="s">
        <v>20</v>
      </c>
      <c r="O781" s="4" t="s">
        <v>1356</v>
      </c>
      <c r="P781" s="4" t="s">
        <v>1356</v>
      </c>
      <c r="Q781" s="8" t="s">
        <v>100</v>
      </c>
      <c r="R781" s="9">
        <f t="shared" si="13"/>
        <v>1.4678260766613034E-4</v>
      </c>
      <c r="S781" s="55">
        <f>Tabla3[[#This Row],[Subtotal]]/12</f>
        <v>697222.83333333337</v>
      </c>
    </row>
    <row r="782" spans="1:19" x14ac:dyDescent="0.2">
      <c r="A782" s="4">
        <v>1267</v>
      </c>
      <c r="B782" s="2">
        <v>8327807</v>
      </c>
      <c r="C782" s="2">
        <v>0</v>
      </c>
      <c r="D782" s="4" t="s">
        <v>2452</v>
      </c>
      <c r="E782" s="2">
        <v>8327807</v>
      </c>
      <c r="F782" s="2">
        <v>1582283.33</v>
      </c>
      <c r="G782" s="2">
        <v>0</v>
      </c>
      <c r="H782" s="4">
        <v>0</v>
      </c>
      <c r="I782" s="4">
        <v>0</v>
      </c>
      <c r="J782" s="4">
        <v>0</v>
      </c>
      <c r="K782" s="4">
        <v>9910090.3300000001</v>
      </c>
      <c r="L782" s="4" t="s">
        <v>2450</v>
      </c>
      <c r="M782" s="4" t="s">
        <v>2451</v>
      </c>
      <c r="N782" s="4" t="s">
        <v>20</v>
      </c>
      <c r="O782" s="4" t="s">
        <v>71</v>
      </c>
      <c r="P782" s="4" t="s">
        <v>71</v>
      </c>
      <c r="Q782" s="8" t="s">
        <v>100</v>
      </c>
      <c r="R782" s="9">
        <f t="shared" si="13"/>
        <v>1.4610073580018223E-4</v>
      </c>
      <c r="S782" s="55">
        <f>Tabla3[[#This Row],[Subtotal]]/12</f>
        <v>693983.91666666663</v>
      </c>
    </row>
    <row r="783" spans="1:19" x14ac:dyDescent="0.2">
      <c r="A783" s="4">
        <v>1140</v>
      </c>
      <c r="B783" s="2">
        <v>8279778</v>
      </c>
      <c r="C783" s="2">
        <v>0</v>
      </c>
      <c r="D783" s="4" t="s">
        <v>2455</v>
      </c>
      <c r="E783" s="2">
        <v>8279778</v>
      </c>
      <c r="F783" s="2">
        <v>1573157.82</v>
      </c>
      <c r="G783" s="2">
        <v>0</v>
      </c>
      <c r="H783" s="4">
        <v>0</v>
      </c>
      <c r="I783" s="4">
        <v>0</v>
      </c>
      <c r="J783" s="4">
        <v>0</v>
      </c>
      <c r="K783" s="4">
        <v>9852935.8200000003</v>
      </c>
      <c r="L783" s="4" t="s">
        <v>2453</v>
      </c>
      <c r="M783" s="4" t="s">
        <v>2454</v>
      </c>
      <c r="N783" s="4" t="s">
        <v>2231</v>
      </c>
      <c r="O783" s="4" t="s">
        <v>42</v>
      </c>
      <c r="P783" s="4" t="s">
        <v>42</v>
      </c>
      <c r="Q783" s="8" t="s">
        <v>100</v>
      </c>
      <c r="R783" s="9">
        <f t="shared" si="13"/>
        <v>1.4525812834785453E-4</v>
      </c>
      <c r="S783" s="55">
        <f>Tabla3[[#This Row],[Subtotal]]/12</f>
        <v>689981.5</v>
      </c>
    </row>
    <row r="784" spans="1:19" x14ac:dyDescent="0.2">
      <c r="A784" s="4">
        <v>674</v>
      </c>
      <c r="B784" s="2">
        <v>8248535</v>
      </c>
      <c r="C784" s="2">
        <v>0</v>
      </c>
      <c r="D784" s="4" t="s">
        <v>2457</v>
      </c>
      <c r="E784" s="2">
        <v>8248535</v>
      </c>
      <c r="F784" s="2">
        <v>1567221.65</v>
      </c>
      <c r="G784" s="2">
        <v>0</v>
      </c>
      <c r="H784" s="4">
        <v>0</v>
      </c>
      <c r="I784" s="4">
        <v>0</v>
      </c>
      <c r="J784" s="4">
        <v>0</v>
      </c>
      <c r="K784" s="4">
        <v>9815756.6500000004</v>
      </c>
      <c r="L784" s="4" t="s">
        <v>2456</v>
      </c>
      <c r="M784" s="4" t="s">
        <v>1930</v>
      </c>
      <c r="N784" s="4" t="s">
        <v>2458</v>
      </c>
      <c r="O784" s="4" t="s">
        <v>89</v>
      </c>
      <c r="P784" s="4" t="s">
        <v>89</v>
      </c>
      <c r="Q784" s="8" t="s">
        <v>28</v>
      </c>
      <c r="R784" s="9">
        <f t="shared" si="13"/>
        <v>1.4471000982294092E-4</v>
      </c>
      <c r="S784" s="55">
        <f>Tabla3[[#This Row],[Subtotal]]/12</f>
        <v>687377.91666666663</v>
      </c>
    </row>
    <row r="785" spans="1:19" x14ac:dyDescent="0.2">
      <c r="A785" s="4">
        <v>1391</v>
      </c>
      <c r="B785" s="2">
        <v>8247884</v>
      </c>
      <c r="C785" s="2">
        <v>0</v>
      </c>
      <c r="D785" s="4" t="s">
        <v>2460</v>
      </c>
      <c r="E785" s="2">
        <v>8247884</v>
      </c>
      <c r="F785" s="2">
        <v>1567097.96</v>
      </c>
      <c r="G785" s="2">
        <v>0</v>
      </c>
      <c r="H785" s="4">
        <v>0</v>
      </c>
      <c r="I785" s="4">
        <v>0</v>
      </c>
      <c r="J785" s="4">
        <v>0</v>
      </c>
      <c r="K785" s="4">
        <v>9814981.9600000009</v>
      </c>
      <c r="L785" s="4" t="s">
        <v>2459</v>
      </c>
      <c r="M785" s="4" t="s">
        <v>2459</v>
      </c>
      <c r="N785" s="4" t="s">
        <v>20</v>
      </c>
      <c r="O785" s="4" t="s">
        <v>316</v>
      </c>
      <c r="P785" s="4" t="s">
        <v>316</v>
      </c>
      <c r="Q785" s="8" t="s">
        <v>100</v>
      </c>
      <c r="R785" s="9">
        <f t="shared" si="13"/>
        <v>1.4469858885953412E-4</v>
      </c>
      <c r="S785" s="55">
        <f>Tabla3[[#This Row],[Subtotal]]/12</f>
        <v>687323.66666666663</v>
      </c>
    </row>
    <row r="786" spans="1:19" x14ac:dyDescent="0.2">
      <c r="A786" s="4">
        <v>336</v>
      </c>
      <c r="B786" s="2">
        <v>8227005</v>
      </c>
      <c r="C786" s="2">
        <v>0</v>
      </c>
      <c r="D786" s="4" t="s">
        <v>2463</v>
      </c>
      <c r="E786" s="2">
        <v>8227005</v>
      </c>
      <c r="F786" s="2">
        <v>1563130.95</v>
      </c>
      <c r="G786" s="2">
        <v>0</v>
      </c>
      <c r="H786" s="4">
        <v>0</v>
      </c>
      <c r="I786" s="4">
        <v>0</v>
      </c>
      <c r="J786" s="4">
        <v>0</v>
      </c>
      <c r="K786" s="4">
        <v>9790135.9499999993</v>
      </c>
      <c r="L786" s="4" t="s">
        <v>2461</v>
      </c>
      <c r="M786" s="4" t="s">
        <v>2462</v>
      </c>
      <c r="N786" s="4" t="s">
        <v>20</v>
      </c>
      <c r="O786" s="4" t="s">
        <v>386</v>
      </c>
      <c r="P786" s="4" t="s">
        <v>386</v>
      </c>
      <c r="Q786" s="8" t="s">
        <v>100</v>
      </c>
      <c r="R786" s="9">
        <f t="shared" si="13"/>
        <v>1.4433229347555465E-4</v>
      </c>
      <c r="S786" s="55">
        <f>Tabla3[[#This Row],[Subtotal]]/12</f>
        <v>685583.75</v>
      </c>
    </row>
    <row r="787" spans="1:19" x14ac:dyDescent="0.2">
      <c r="A787" s="4">
        <v>663</v>
      </c>
      <c r="B787" s="2">
        <v>8152935</v>
      </c>
      <c r="C787" s="2">
        <v>0</v>
      </c>
      <c r="D787" s="4" t="s">
        <v>2466</v>
      </c>
      <c r="E787" s="2">
        <v>8152935</v>
      </c>
      <c r="F787" s="2">
        <v>1549057.65</v>
      </c>
      <c r="G787" s="2">
        <v>203823.38</v>
      </c>
      <c r="H787" s="4">
        <v>0</v>
      </c>
      <c r="I787" s="4">
        <v>0</v>
      </c>
      <c r="J787" s="4">
        <v>203823.38</v>
      </c>
      <c r="K787" s="4">
        <v>9498169.2699999996</v>
      </c>
      <c r="L787" s="4" t="s">
        <v>2464</v>
      </c>
      <c r="M787" s="4" t="s">
        <v>2465</v>
      </c>
      <c r="N787" s="4" t="s">
        <v>1421</v>
      </c>
      <c r="O787" s="4" t="s">
        <v>340</v>
      </c>
      <c r="P787" s="4" t="s">
        <v>340</v>
      </c>
      <c r="Q787" s="8" t="s">
        <v>100</v>
      </c>
      <c r="R787" s="9">
        <f t="shared" si="13"/>
        <v>1.4303282994323222E-4</v>
      </c>
      <c r="S787" s="55">
        <f>Tabla3[[#This Row],[Subtotal]]/12</f>
        <v>679411.25</v>
      </c>
    </row>
    <row r="788" spans="1:19" x14ac:dyDescent="0.2">
      <c r="A788" s="4">
        <v>1643</v>
      </c>
      <c r="B788" s="2">
        <v>8138249</v>
      </c>
      <c r="C788" s="2">
        <v>0</v>
      </c>
      <c r="D788" s="4" t="s">
        <v>2469</v>
      </c>
      <c r="E788" s="2">
        <v>8138249</v>
      </c>
      <c r="F788" s="2">
        <v>1546267.31</v>
      </c>
      <c r="G788" s="2">
        <v>0</v>
      </c>
      <c r="H788" s="4">
        <v>0</v>
      </c>
      <c r="I788" s="4">
        <v>0</v>
      </c>
      <c r="J788" s="4">
        <v>0</v>
      </c>
      <c r="K788" s="4">
        <v>9684516.3100000005</v>
      </c>
      <c r="L788" s="4" t="s">
        <v>2467</v>
      </c>
      <c r="M788" s="4" t="s">
        <v>2468</v>
      </c>
      <c r="N788" s="4" t="s">
        <v>468</v>
      </c>
      <c r="O788" s="4" t="s">
        <v>105</v>
      </c>
      <c r="P788" s="4" t="s">
        <v>105</v>
      </c>
      <c r="Q788" s="8" t="s">
        <v>100</v>
      </c>
      <c r="R788" s="9">
        <f t="shared" si="13"/>
        <v>1.4277518283325937E-4</v>
      </c>
      <c r="S788" s="55">
        <f>Tabla3[[#This Row],[Subtotal]]/12</f>
        <v>678187.41666666663</v>
      </c>
    </row>
    <row r="789" spans="1:19" x14ac:dyDescent="0.2">
      <c r="A789" s="4">
        <v>1419</v>
      </c>
      <c r="B789" s="2">
        <v>8118183</v>
      </c>
      <c r="C789" s="2">
        <v>0</v>
      </c>
      <c r="D789" s="4" t="s">
        <v>2472</v>
      </c>
      <c r="E789" s="2">
        <v>8118183</v>
      </c>
      <c r="F789" s="2">
        <v>1542454.77</v>
      </c>
      <c r="G789" s="2">
        <v>197498.33</v>
      </c>
      <c r="H789" s="4">
        <v>0</v>
      </c>
      <c r="I789" s="4">
        <v>0</v>
      </c>
      <c r="J789" s="4">
        <v>197498.33</v>
      </c>
      <c r="K789" s="4">
        <v>9463139.4399999995</v>
      </c>
      <c r="L789" s="4" t="s">
        <v>2470</v>
      </c>
      <c r="M789" s="4" t="s">
        <v>2471</v>
      </c>
      <c r="N789" s="4" t="s">
        <v>863</v>
      </c>
      <c r="O789" s="4" t="s">
        <v>59</v>
      </c>
      <c r="P789" s="4" t="s">
        <v>59</v>
      </c>
      <c r="Q789" s="8" t="s">
        <v>100</v>
      </c>
      <c r="R789" s="9">
        <f t="shared" si="13"/>
        <v>1.4242315049574645E-4</v>
      </c>
      <c r="S789" s="55">
        <f>Tabla3[[#This Row],[Subtotal]]/12</f>
        <v>676515.25</v>
      </c>
    </row>
    <row r="790" spans="1:19" x14ac:dyDescent="0.2">
      <c r="A790" s="4">
        <v>401</v>
      </c>
      <c r="B790" s="2">
        <v>8102429</v>
      </c>
      <c r="C790" s="2">
        <v>0</v>
      </c>
      <c r="D790" s="4" t="s">
        <v>2475</v>
      </c>
      <c r="E790" s="2">
        <v>8102429</v>
      </c>
      <c r="F790" s="2">
        <v>1539461.51</v>
      </c>
      <c r="G790" s="2">
        <v>0</v>
      </c>
      <c r="H790" s="4">
        <v>0</v>
      </c>
      <c r="I790" s="4">
        <v>0</v>
      </c>
      <c r="J790" s="4">
        <v>0</v>
      </c>
      <c r="K790" s="4">
        <v>9641890.5099999998</v>
      </c>
      <c r="L790" s="4" t="s">
        <v>2473</v>
      </c>
      <c r="M790" s="4" t="s">
        <v>2474</v>
      </c>
      <c r="N790" s="4" t="s">
        <v>939</v>
      </c>
      <c r="O790" s="4" t="s">
        <v>940</v>
      </c>
      <c r="P790" s="4" t="s">
        <v>940</v>
      </c>
      <c r="Q790" s="8" t="s">
        <v>100</v>
      </c>
      <c r="R790" s="9">
        <f t="shared" si="13"/>
        <v>1.4214676669004633E-4</v>
      </c>
      <c r="S790" s="55">
        <f>Tabla3[[#This Row],[Subtotal]]/12</f>
        <v>675202.41666666663</v>
      </c>
    </row>
    <row r="791" spans="1:19" x14ac:dyDescent="0.2">
      <c r="A791" s="4">
        <v>1264</v>
      </c>
      <c r="B791" s="2">
        <v>8072232</v>
      </c>
      <c r="C791" s="2">
        <v>0</v>
      </c>
      <c r="D791" s="4" t="s">
        <v>2478</v>
      </c>
      <c r="E791" s="2">
        <v>8072232</v>
      </c>
      <c r="F791" s="2">
        <v>1533724.08</v>
      </c>
      <c r="G791" s="2">
        <v>0</v>
      </c>
      <c r="H791" s="4">
        <v>0</v>
      </c>
      <c r="I791" s="4">
        <v>0</v>
      </c>
      <c r="J791" s="4">
        <v>0</v>
      </c>
      <c r="K791" s="4">
        <v>9605956.0800000001</v>
      </c>
      <c r="L791" s="4" t="s">
        <v>2476</v>
      </c>
      <c r="M791" s="4" t="s">
        <v>2477</v>
      </c>
      <c r="N791" s="4" t="s">
        <v>20</v>
      </c>
      <c r="O791" s="4" t="s">
        <v>1356</v>
      </c>
      <c r="P791" s="4" t="s">
        <v>1356</v>
      </c>
      <c r="Q791" s="8" t="s">
        <v>100</v>
      </c>
      <c r="R791" s="9">
        <f t="shared" si="13"/>
        <v>1.4161699889896304E-4</v>
      </c>
      <c r="S791" s="55">
        <f>Tabla3[[#This Row],[Subtotal]]/12</f>
        <v>672686</v>
      </c>
    </row>
    <row r="792" spans="1:19" x14ac:dyDescent="0.2">
      <c r="A792" s="4">
        <v>1425</v>
      </c>
      <c r="B792" s="2">
        <v>8058632</v>
      </c>
      <c r="C792" s="2">
        <v>0</v>
      </c>
      <c r="D792" s="4" t="s">
        <v>2481</v>
      </c>
      <c r="E792" s="2">
        <v>8058632</v>
      </c>
      <c r="F792" s="2">
        <v>1531140.08</v>
      </c>
      <c r="G792" s="2">
        <v>0</v>
      </c>
      <c r="H792" s="4">
        <v>0</v>
      </c>
      <c r="I792" s="4">
        <v>0</v>
      </c>
      <c r="J792" s="4">
        <v>0</v>
      </c>
      <c r="K792" s="4">
        <v>9589772.0800000001</v>
      </c>
      <c r="L792" s="4" t="s">
        <v>2479</v>
      </c>
      <c r="M792" s="4" t="s">
        <v>2480</v>
      </c>
      <c r="N792" s="4" t="s">
        <v>20</v>
      </c>
      <c r="O792" s="4" t="s">
        <v>316</v>
      </c>
      <c r="P792" s="4" t="s">
        <v>316</v>
      </c>
      <c r="Q792" s="8" t="s">
        <v>100</v>
      </c>
      <c r="R792" s="9">
        <f t="shared" si="13"/>
        <v>1.4137840427172414E-4</v>
      </c>
      <c r="S792" s="55">
        <f>Tabla3[[#This Row],[Subtotal]]/12</f>
        <v>671552.66666666663</v>
      </c>
    </row>
    <row r="793" spans="1:19" x14ac:dyDescent="0.2">
      <c r="A793" s="4">
        <v>1715</v>
      </c>
      <c r="B793" s="2">
        <v>8045068</v>
      </c>
      <c r="C793" s="2">
        <v>0</v>
      </c>
      <c r="D793" s="4" t="s">
        <v>2484</v>
      </c>
      <c r="E793" s="2">
        <v>8045068</v>
      </c>
      <c r="F793" s="2">
        <v>1528562.92</v>
      </c>
      <c r="G793" s="2">
        <v>0</v>
      </c>
      <c r="H793" s="4">
        <v>0</v>
      </c>
      <c r="I793" s="4">
        <v>0</v>
      </c>
      <c r="J793" s="4">
        <v>0</v>
      </c>
      <c r="K793" s="4">
        <v>9573630.9199999999</v>
      </c>
      <c r="L793" s="4" t="s">
        <v>2482</v>
      </c>
      <c r="M793" s="4" t="s">
        <v>2483</v>
      </c>
      <c r="N793" s="4" t="s">
        <v>651</v>
      </c>
      <c r="O793" s="4" t="s">
        <v>196</v>
      </c>
      <c r="P793" s="4" t="s">
        <v>196</v>
      </c>
      <c r="Q793" s="8" t="s">
        <v>100</v>
      </c>
      <c r="R793" s="9">
        <f t="shared" si="13"/>
        <v>1.4114044121849853E-4</v>
      </c>
      <c r="S793" s="55">
        <f>Tabla3[[#This Row],[Subtotal]]/12</f>
        <v>670422.33333333337</v>
      </c>
    </row>
    <row r="794" spans="1:19" x14ac:dyDescent="0.2">
      <c r="A794" s="4">
        <v>160</v>
      </c>
      <c r="B794" s="2">
        <v>8009880</v>
      </c>
      <c r="C794" s="2">
        <v>0</v>
      </c>
      <c r="D794" s="4" t="s">
        <v>2487</v>
      </c>
      <c r="E794" s="2">
        <v>8009880</v>
      </c>
      <c r="F794" s="2">
        <v>1521877.2</v>
      </c>
      <c r="G794" s="2">
        <v>0</v>
      </c>
      <c r="H794" s="4">
        <v>0</v>
      </c>
      <c r="I794" s="4">
        <v>0</v>
      </c>
      <c r="J794" s="4">
        <v>0</v>
      </c>
      <c r="K794" s="4">
        <v>9531757.1999999993</v>
      </c>
      <c r="L794" s="4" t="s">
        <v>2485</v>
      </c>
      <c r="M794" s="4" t="s">
        <v>2486</v>
      </c>
      <c r="N794" s="4" t="s">
        <v>20</v>
      </c>
      <c r="O794" s="4" t="s">
        <v>540</v>
      </c>
      <c r="P794" s="4" t="s">
        <v>540</v>
      </c>
      <c r="Q794" s="8" t="s">
        <v>100</v>
      </c>
      <c r="R794" s="9">
        <f t="shared" si="13"/>
        <v>1.4052311270796306E-4</v>
      </c>
      <c r="S794" s="55">
        <f>Tabla3[[#This Row],[Subtotal]]/12</f>
        <v>667490</v>
      </c>
    </row>
    <row r="795" spans="1:19" x14ac:dyDescent="0.2">
      <c r="A795" s="4">
        <v>69</v>
      </c>
      <c r="B795" s="2">
        <v>7974499</v>
      </c>
      <c r="C795" s="2">
        <v>0</v>
      </c>
      <c r="D795" s="4" t="s">
        <v>2490</v>
      </c>
      <c r="E795" s="2">
        <v>7974499</v>
      </c>
      <c r="F795" s="2">
        <v>1515154.81</v>
      </c>
      <c r="G795" s="2">
        <v>94608.35</v>
      </c>
      <c r="H795" s="4">
        <v>0</v>
      </c>
      <c r="I795" s="4">
        <v>0</v>
      </c>
      <c r="J795" s="4">
        <v>94608.35</v>
      </c>
      <c r="K795" s="4">
        <v>9395045.4600000009</v>
      </c>
      <c r="L795" s="4" t="s">
        <v>2488</v>
      </c>
      <c r="M795" s="4" t="s">
        <v>2489</v>
      </c>
      <c r="N795" s="4" t="s">
        <v>20</v>
      </c>
      <c r="O795" s="4" t="s">
        <v>257</v>
      </c>
      <c r="P795" s="4" t="s">
        <v>257</v>
      </c>
      <c r="Q795" s="8" t="s">
        <v>100</v>
      </c>
      <c r="R795" s="9">
        <f t="shared" si="13"/>
        <v>1.3990239825896752E-4</v>
      </c>
      <c r="S795" s="55">
        <f>Tabla3[[#This Row],[Subtotal]]/12</f>
        <v>664541.58333333337</v>
      </c>
    </row>
    <row r="796" spans="1:19" x14ac:dyDescent="0.2">
      <c r="A796" s="4">
        <v>484</v>
      </c>
      <c r="B796" s="2">
        <v>7958410</v>
      </c>
      <c r="C796" s="2">
        <v>0</v>
      </c>
      <c r="D796" s="4" t="s">
        <v>2493</v>
      </c>
      <c r="E796" s="2">
        <v>7958410</v>
      </c>
      <c r="F796" s="2">
        <v>1512097.9</v>
      </c>
      <c r="G796" s="2">
        <v>198960.26</v>
      </c>
      <c r="H796" s="4">
        <v>0</v>
      </c>
      <c r="I796" s="4">
        <v>0</v>
      </c>
      <c r="J796" s="4">
        <v>198960.26</v>
      </c>
      <c r="K796" s="4">
        <v>9271547.6400000006</v>
      </c>
      <c r="L796" s="4" t="s">
        <v>2491</v>
      </c>
      <c r="M796" s="4" t="s">
        <v>2492</v>
      </c>
      <c r="N796" s="4" t="s">
        <v>20</v>
      </c>
      <c r="O796" s="4" t="s">
        <v>76</v>
      </c>
      <c r="P796" s="4" t="s">
        <v>76</v>
      </c>
      <c r="Q796" s="8" t="s">
        <v>585</v>
      </c>
      <c r="R796" s="9">
        <f t="shared" si="13"/>
        <v>1.3962013730619939E-4</v>
      </c>
      <c r="S796" s="55">
        <f>Tabla3[[#This Row],[Subtotal]]/12</f>
        <v>663200.83333333337</v>
      </c>
    </row>
    <row r="797" spans="1:19" x14ac:dyDescent="0.2">
      <c r="A797" s="4">
        <v>981</v>
      </c>
      <c r="B797" s="2">
        <v>7929071</v>
      </c>
      <c r="C797" s="2">
        <v>0</v>
      </c>
      <c r="D797" s="4" t="s">
        <v>2496</v>
      </c>
      <c r="E797" s="2">
        <v>7929071</v>
      </c>
      <c r="F797" s="2">
        <v>1506523.49</v>
      </c>
      <c r="G797" s="2">
        <v>103897.03</v>
      </c>
      <c r="H797" s="4">
        <v>0</v>
      </c>
      <c r="I797" s="4">
        <v>0</v>
      </c>
      <c r="J797" s="4">
        <v>103897.03</v>
      </c>
      <c r="K797" s="4">
        <v>9331697.4600000009</v>
      </c>
      <c r="L797" s="4" t="s">
        <v>2494</v>
      </c>
      <c r="M797" s="4" t="s">
        <v>2495</v>
      </c>
      <c r="N797" s="4" t="s">
        <v>572</v>
      </c>
      <c r="O797" s="4" t="s">
        <v>105</v>
      </c>
      <c r="P797" s="4" t="s">
        <v>105</v>
      </c>
      <c r="Q797" s="8" t="s">
        <v>100</v>
      </c>
      <c r="R797" s="9">
        <f t="shared" si="13"/>
        <v>1.3910542202909924E-4</v>
      </c>
      <c r="S797" s="55">
        <f>Tabla3[[#This Row],[Subtotal]]/12</f>
        <v>660755.91666666663</v>
      </c>
    </row>
    <row r="798" spans="1:19" x14ac:dyDescent="0.2">
      <c r="A798" s="4">
        <v>1307</v>
      </c>
      <c r="B798" s="2">
        <v>7913905</v>
      </c>
      <c r="C798" s="2">
        <v>0</v>
      </c>
      <c r="D798" s="4" t="s">
        <v>2499</v>
      </c>
      <c r="E798" s="2">
        <v>7913905</v>
      </c>
      <c r="F798" s="2">
        <v>1503641.95</v>
      </c>
      <c r="G798" s="2">
        <v>0</v>
      </c>
      <c r="H798" s="4">
        <v>0</v>
      </c>
      <c r="I798" s="4">
        <v>0</v>
      </c>
      <c r="J798" s="4">
        <v>0</v>
      </c>
      <c r="K798" s="4">
        <v>9417546.9499999993</v>
      </c>
      <c r="L798" s="4" t="s">
        <v>2497</v>
      </c>
      <c r="M798" s="4" t="s">
        <v>2498</v>
      </c>
      <c r="N798" s="4" t="s">
        <v>20</v>
      </c>
      <c r="O798" s="4" t="s">
        <v>1549</v>
      </c>
      <c r="P798" s="4" t="s">
        <v>1549</v>
      </c>
      <c r="Q798" s="8" t="s">
        <v>100</v>
      </c>
      <c r="R798" s="9">
        <f t="shared" si="13"/>
        <v>1.3883935393228268E-4</v>
      </c>
      <c r="S798" s="55">
        <f>Tabla3[[#This Row],[Subtotal]]/12</f>
        <v>659492.08333333337</v>
      </c>
    </row>
    <row r="799" spans="1:19" x14ac:dyDescent="0.2">
      <c r="A799" s="4">
        <v>1522</v>
      </c>
      <c r="B799" s="2">
        <v>7913112</v>
      </c>
      <c r="C799" s="2">
        <v>0</v>
      </c>
      <c r="D799" s="4" t="s">
        <v>2502</v>
      </c>
      <c r="E799" s="2">
        <v>7913112</v>
      </c>
      <c r="F799" s="2">
        <v>1503491.28</v>
      </c>
      <c r="G799" s="2">
        <v>0</v>
      </c>
      <c r="H799" s="4">
        <v>0</v>
      </c>
      <c r="I799" s="4">
        <v>0</v>
      </c>
      <c r="J799" s="4">
        <v>0</v>
      </c>
      <c r="K799" s="4">
        <v>9416603.2799999993</v>
      </c>
      <c r="L799" s="4" t="s">
        <v>2500</v>
      </c>
      <c r="M799" s="4" t="s">
        <v>2501</v>
      </c>
      <c r="N799" s="4" t="s">
        <v>20</v>
      </c>
      <c r="O799" s="4" t="s">
        <v>372</v>
      </c>
      <c r="P799" s="4" t="s">
        <v>372</v>
      </c>
      <c r="Q799" s="8" t="s">
        <v>100</v>
      </c>
      <c r="R799" s="9">
        <f t="shared" si="13"/>
        <v>1.3882544176026793E-4</v>
      </c>
      <c r="S799" s="55">
        <f>Tabla3[[#This Row],[Subtotal]]/12</f>
        <v>659426</v>
      </c>
    </row>
    <row r="800" spans="1:19" x14ac:dyDescent="0.2">
      <c r="A800" s="4">
        <v>1124</v>
      </c>
      <c r="B800" s="2">
        <v>7912268</v>
      </c>
      <c r="C800" s="2">
        <v>0</v>
      </c>
      <c r="D800" s="4" t="s">
        <v>2505</v>
      </c>
      <c r="E800" s="2">
        <v>7912268</v>
      </c>
      <c r="F800" s="2">
        <v>1503330.92</v>
      </c>
      <c r="G800" s="2">
        <v>0</v>
      </c>
      <c r="H800" s="4">
        <v>0</v>
      </c>
      <c r="I800" s="4">
        <v>0</v>
      </c>
      <c r="J800" s="4">
        <v>0</v>
      </c>
      <c r="K800" s="4">
        <v>9415598.9199999999</v>
      </c>
      <c r="L800" s="4" t="s">
        <v>2503</v>
      </c>
      <c r="M800" s="4" t="s">
        <v>2504</v>
      </c>
      <c r="N800" s="4" t="s">
        <v>20</v>
      </c>
      <c r="O800" s="4" t="s">
        <v>257</v>
      </c>
      <c r="P800" s="4" t="s">
        <v>257</v>
      </c>
      <c r="Q800" s="8" t="s">
        <v>100</v>
      </c>
      <c r="R800" s="9">
        <f t="shared" si="13"/>
        <v>1.3881063485840105E-4</v>
      </c>
      <c r="S800" s="55">
        <f>Tabla3[[#This Row],[Subtotal]]/12</f>
        <v>659355.66666666663</v>
      </c>
    </row>
    <row r="801" spans="1:19" x14ac:dyDescent="0.2">
      <c r="A801" s="4">
        <v>1067</v>
      </c>
      <c r="B801" s="2">
        <v>7904212</v>
      </c>
      <c r="C801" s="2">
        <v>0</v>
      </c>
      <c r="D801" s="4" t="s">
        <v>2508</v>
      </c>
      <c r="E801" s="2">
        <v>7904212</v>
      </c>
      <c r="F801" s="2">
        <v>1501800.28</v>
      </c>
      <c r="G801" s="2">
        <v>0</v>
      </c>
      <c r="H801" s="4">
        <v>0</v>
      </c>
      <c r="I801" s="4">
        <v>0</v>
      </c>
      <c r="J801" s="4">
        <v>0</v>
      </c>
      <c r="K801" s="4">
        <v>9406012.2799999993</v>
      </c>
      <c r="L801" s="4" t="s">
        <v>2506</v>
      </c>
      <c r="M801" s="4" t="s">
        <v>2507</v>
      </c>
      <c r="N801" s="4" t="s">
        <v>20</v>
      </c>
      <c r="O801" s="4" t="s">
        <v>359</v>
      </c>
      <c r="P801" s="4" t="s">
        <v>359</v>
      </c>
      <c r="Q801" s="8" t="s">
        <v>100</v>
      </c>
      <c r="R801" s="9">
        <f t="shared" si="13"/>
        <v>1.3866930262920719E-4</v>
      </c>
      <c r="S801" s="55">
        <f>Tabla3[[#This Row],[Subtotal]]/12</f>
        <v>658684.33333333337</v>
      </c>
    </row>
    <row r="802" spans="1:19" x14ac:dyDescent="0.2">
      <c r="A802" s="4">
        <v>1127</v>
      </c>
      <c r="B802" s="2">
        <v>7897442</v>
      </c>
      <c r="C802" s="2">
        <v>0</v>
      </c>
      <c r="D802" s="4" t="s">
        <v>2511</v>
      </c>
      <c r="E802" s="2">
        <v>7897442</v>
      </c>
      <c r="F802" s="2">
        <v>1500513.98</v>
      </c>
      <c r="G802" s="2">
        <v>149908.07999999999</v>
      </c>
      <c r="H802" s="4">
        <v>0</v>
      </c>
      <c r="I802" s="4">
        <v>0</v>
      </c>
      <c r="J802" s="4">
        <v>149908.07999999999</v>
      </c>
      <c r="K802" s="4">
        <v>9248047.9000000004</v>
      </c>
      <c r="L802" s="4" t="s">
        <v>2509</v>
      </c>
      <c r="M802" s="4" t="s">
        <v>2510</v>
      </c>
      <c r="N802" s="4" t="s">
        <v>20</v>
      </c>
      <c r="O802" s="4" t="s">
        <v>631</v>
      </c>
      <c r="P802" s="4" t="s">
        <v>631</v>
      </c>
      <c r="Q802" s="8" t="s">
        <v>100</v>
      </c>
      <c r="R802" s="9">
        <f t="shared" si="13"/>
        <v>1.3855053162726546E-4</v>
      </c>
      <c r="S802" s="55">
        <f>Tabla3[[#This Row],[Subtotal]]/12</f>
        <v>658120.16666666663</v>
      </c>
    </row>
    <row r="803" spans="1:19" x14ac:dyDescent="0.2">
      <c r="A803" s="4">
        <v>1530</v>
      </c>
      <c r="B803" s="2">
        <v>7865028</v>
      </c>
      <c r="C803" s="2">
        <v>0</v>
      </c>
      <c r="D803" s="4" t="s">
        <v>2514</v>
      </c>
      <c r="E803" s="2">
        <v>7865028</v>
      </c>
      <c r="F803" s="2">
        <v>1494355.32</v>
      </c>
      <c r="G803" s="2">
        <v>178383.46</v>
      </c>
      <c r="H803" s="4">
        <v>0</v>
      </c>
      <c r="I803" s="4">
        <v>0</v>
      </c>
      <c r="J803" s="4">
        <v>178383.46</v>
      </c>
      <c r="K803" s="4">
        <v>9180999.8599999994</v>
      </c>
      <c r="L803" s="4" t="s">
        <v>2512</v>
      </c>
      <c r="M803" s="4" t="s">
        <v>2513</v>
      </c>
      <c r="N803" s="4" t="s">
        <v>714</v>
      </c>
      <c r="O803" s="4" t="s">
        <v>382</v>
      </c>
      <c r="P803" s="4" t="s">
        <v>382</v>
      </c>
      <c r="Q803" s="8" t="s">
        <v>100</v>
      </c>
      <c r="R803" s="9">
        <f t="shared" si="13"/>
        <v>1.379818694031977E-4</v>
      </c>
      <c r="S803" s="55">
        <f>Tabla3[[#This Row],[Subtotal]]/12</f>
        <v>655419</v>
      </c>
    </row>
    <row r="804" spans="1:19" x14ac:dyDescent="0.2">
      <c r="A804" s="4">
        <v>1297</v>
      </c>
      <c r="B804" s="2">
        <v>7833664</v>
      </c>
      <c r="C804" s="2">
        <v>0</v>
      </c>
      <c r="D804" s="4" t="s">
        <v>2517</v>
      </c>
      <c r="E804" s="2">
        <v>7833664</v>
      </c>
      <c r="F804" s="2">
        <v>1488396.16</v>
      </c>
      <c r="G804" s="2">
        <v>0</v>
      </c>
      <c r="H804" s="4">
        <v>0</v>
      </c>
      <c r="I804" s="4">
        <v>0</v>
      </c>
      <c r="J804" s="4">
        <v>0</v>
      </c>
      <c r="K804" s="4">
        <v>9322060.1600000001</v>
      </c>
      <c r="L804" s="4" t="s">
        <v>2515</v>
      </c>
      <c r="M804" s="4" t="s">
        <v>2516</v>
      </c>
      <c r="N804" s="4" t="s">
        <v>20</v>
      </c>
      <c r="O804" s="4" t="s">
        <v>631</v>
      </c>
      <c r="P804" s="4" t="s">
        <v>631</v>
      </c>
      <c r="Q804" s="8" t="s">
        <v>100</v>
      </c>
      <c r="R804" s="9">
        <f t="shared" si="13"/>
        <v>1.3743162808785059E-4</v>
      </c>
      <c r="S804" s="55">
        <f>Tabla3[[#This Row],[Subtotal]]/12</f>
        <v>652805.33333333337</v>
      </c>
    </row>
    <row r="805" spans="1:19" x14ac:dyDescent="0.2">
      <c r="A805" s="4">
        <v>1550</v>
      </c>
      <c r="B805" s="2">
        <v>7818594</v>
      </c>
      <c r="C805" s="2">
        <v>0</v>
      </c>
      <c r="D805" s="4" t="s">
        <v>2520</v>
      </c>
      <c r="E805" s="2">
        <v>7818594</v>
      </c>
      <c r="F805" s="2">
        <v>1485532.86</v>
      </c>
      <c r="G805" s="2">
        <v>0</v>
      </c>
      <c r="H805" s="4">
        <v>0</v>
      </c>
      <c r="I805" s="4">
        <v>0</v>
      </c>
      <c r="J805" s="4">
        <v>0</v>
      </c>
      <c r="K805" s="4">
        <v>9304126.8599999994</v>
      </c>
      <c r="L805" s="4" t="s">
        <v>2518</v>
      </c>
      <c r="M805" s="4" t="s">
        <v>2519</v>
      </c>
      <c r="N805" s="4" t="s">
        <v>20</v>
      </c>
      <c r="O805" s="4" t="s">
        <v>631</v>
      </c>
      <c r="P805" s="4" t="s">
        <v>631</v>
      </c>
      <c r="Q805" s="8" t="s">
        <v>100</v>
      </c>
      <c r="R805" s="9">
        <f t="shared" si="13"/>
        <v>1.3716724418840278E-4</v>
      </c>
      <c r="S805" s="55">
        <f>Tabla3[[#This Row],[Subtotal]]/12</f>
        <v>651549.5</v>
      </c>
    </row>
    <row r="806" spans="1:19" x14ac:dyDescent="0.2">
      <c r="A806" s="4">
        <v>606</v>
      </c>
      <c r="B806" s="2">
        <v>7805040</v>
      </c>
      <c r="C806" s="2">
        <v>0</v>
      </c>
      <c r="D806" s="4" t="s">
        <v>2523</v>
      </c>
      <c r="E806" s="2">
        <v>7805040</v>
      </c>
      <c r="F806" s="2">
        <v>1482957.6</v>
      </c>
      <c r="G806" s="2">
        <v>122058.83</v>
      </c>
      <c r="H806" s="4">
        <v>0</v>
      </c>
      <c r="I806" s="4">
        <v>0</v>
      </c>
      <c r="J806" s="4">
        <v>122058.83</v>
      </c>
      <c r="K806" s="4">
        <v>9165938.7699999996</v>
      </c>
      <c r="L806" s="4" t="s">
        <v>2521</v>
      </c>
      <c r="M806" s="4" t="s">
        <v>2522</v>
      </c>
      <c r="N806" s="4" t="s">
        <v>20</v>
      </c>
      <c r="O806" s="4" t="s">
        <v>71</v>
      </c>
      <c r="P806" s="4" t="s">
        <v>71</v>
      </c>
      <c r="Q806" s="8" t="s">
        <v>100</v>
      </c>
      <c r="R806" s="9">
        <f t="shared" si="13"/>
        <v>1.3692945657240308E-4</v>
      </c>
      <c r="S806" s="55">
        <f>Tabla3[[#This Row],[Subtotal]]/12</f>
        <v>650420</v>
      </c>
    </row>
    <row r="807" spans="1:19" x14ac:dyDescent="0.2">
      <c r="A807" s="4">
        <v>775</v>
      </c>
      <c r="B807" s="2">
        <v>7804201</v>
      </c>
      <c r="C807" s="2">
        <v>0</v>
      </c>
      <c r="D807" s="4" t="s">
        <v>2526</v>
      </c>
      <c r="E807" s="2">
        <v>7804201</v>
      </c>
      <c r="F807" s="2">
        <v>1482798.19</v>
      </c>
      <c r="G807" s="2">
        <v>0</v>
      </c>
      <c r="H807" s="4">
        <v>0</v>
      </c>
      <c r="I807" s="4">
        <v>0</v>
      </c>
      <c r="J807" s="4">
        <v>0</v>
      </c>
      <c r="K807" s="4">
        <v>9286999.1899999995</v>
      </c>
      <c r="L807" s="4" t="s">
        <v>2524</v>
      </c>
      <c r="M807" s="4" t="s">
        <v>2525</v>
      </c>
      <c r="N807" s="4" t="s">
        <v>20</v>
      </c>
      <c r="O807" s="4" t="s">
        <v>1356</v>
      </c>
      <c r="P807" s="4" t="s">
        <v>1356</v>
      </c>
      <c r="Q807" s="8" t="s">
        <v>100</v>
      </c>
      <c r="R807" s="9">
        <f t="shared" si="13"/>
        <v>1.3691473738914914E-4</v>
      </c>
      <c r="S807" s="55">
        <f>Tabla3[[#This Row],[Subtotal]]/12</f>
        <v>650350.08333333337</v>
      </c>
    </row>
    <row r="808" spans="1:19" x14ac:dyDescent="0.2">
      <c r="A808" s="4">
        <v>1179</v>
      </c>
      <c r="B808" s="2">
        <v>7799574</v>
      </c>
      <c r="C808" s="2">
        <v>0</v>
      </c>
      <c r="D808" s="4" t="s">
        <v>2529</v>
      </c>
      <c r="E808" s="2">
        <v>7799574</v>
      </c>
      <c r="F808" s="2">
        <v>1481919.06</v>
      </c>
      <c r="G808" s="2">
        <v>0</v>
      </c>
      <c r="H808" s="4">
        <v>0</v>
      </c>
      <c r="I808" s="4">
        <v>0</v>
      </c>
      <c r="J808" s="4">
        <v>0</v>
      </c>
      <c r="K808" s="4">
        <v>9281493.0600000005</v>
      </c>
      <c r="L808" s="4" t="s">
        <v>2527</v>
      </c>
      <c r="M808" s="4" t="s">
        <v>2528</v>
      </c>
      <c r="N808" s="4" t="s">
        <v>20</v>
      </c>
      <c r="O808" s="4" t="s">
        <v>768</v>
      </c>
      <c r="P808" s="4" t="s">
        <v>768</v>
      </c>
      <c r="Q808" s="8" t="s">
        <v>100</v>
      </c>
      <c r="R808" s="9">
        <f t="shared" si="13"/>
        <v>1.3683356258472015E-4</v>
      </c>
      <c r="S808" s="55">
        <f>Tabla3[[#This Row],[Subtotal]]/12</f>
        <v>649964.5</v>
      </c>
    </row>
    <row r="809" spans="1:19" x14ac:dyDescent="0.2">
      <c r="A809" s="4">
        <v>911</v>
      </c>
      <c r="B809" s="2">
        <v>7728878</v>
      </c>
      <c r="C809" s="2">
        <v>0</v>
      </c>
      <c r="D809" s="4" t="s">
        <v>2532</v>
      </c>
      <c r="E809" s="2">
        <v>7728878</v>
      </c>
      <c r="F809" s="2">
        <v>1468486.82</v>
      </c>
      <c r="G809" s="2">
        <v>0</v>
      </c>
      <c r="H809" s="4">
        <v>0</v>
      </c>
      <c r="I809" s="4">
        <v>0</v>
      </c>
      <c r="J809" s="4">
        <v>0</v>
      </c>
      <c r="K809" s="4">
        <v>9197364.8200000003</v>
      </c>
      <c r="L809" s="4" t="s">
        <v>2530</v>
      </c>
      <c r="M809" s="4" t="s">
        <v>2531</v>
      </c>
      <c r="N809" s="4" t="s">
        <v>2533</v>
      </c>
      <c r="O809" s="4" t="s">
        <v>59</v>
      </c>
      <c r="P809" s="4" t="s">
        <v>59</v>
      </c>
      <c r="Q809" s="8" t="s">
        <v>100</v>
      </c>
      <c r="R809" s="9">
        <f t="shared" si="13"/>
        <v>1.3559329157242009E-4</v>
      </c>
      <c r="S809" s="55">
        <f>Tabla3[[#This Row],[Subtotal]]/12</f>
        <v>644073.16666666663</v>
      </c>
    </row>
    <row r="810" spans="1:19" x14ac:dyDescent="0.2">
      <c r="A810" s="4">
        <v>1237</v>
      </c>
      <c r="B810" s="2">
        <v>7727425</v>
      </c>
      <c r="C810" s="2">
        <v>0</v>
      </c>
      <c r="D810" s="4" t="s">
        <v>2536</v>
      </c>
      <c r="E810" s="2">
        <v>7727425</v>
      </c>
      <c r="F810" s="2">
        <v>1468210.75</v>
      </c>
      <c r="G810" s="2">
        <v>193185.63</v>
      </c>
      <c r="H810" s="4">
        <v>0</v>
      </c>
      <c r="I810" s="4">
        <v>0</v>
      </c>
      <c r="J810" s="4">
        <v>193185.63</v>
      </c>
      <c r="K810" s="4">
        <v>9002450.1199999992</v>
      </c>
      <c r="L810" s="4" t="s">
        <v>2534</v>
      </c>
      <c r="M810" s="4" t="s">
        <v>2535</v>
      </c>
      <c r="N810" s="4" t="s">
        <v>322</v>
      </c>
      <c r="O810" s="4" t="s">
        <v>229</v>
      </c>
      <c r="P810" s="4" t="s">
        <v>229</v>
      </c>
      <c r="Q810" s="8" t="s">
        <v>100</v>
      </c>
      <c r="R810" s="9">
        <f t="shared" si="13"/>
        <v>1.3556780054349522E-4</v>
      </c>
      <c r="S810" s="55">
        <f>Tabla3[[#This Row],[Subtotal]]/12</f>
        <v>643952.08333333337</v>
      </c>
    </row>
    <row r="811" spans="1:19" x14ac:dyDescent="0.2">
      <c r="A811" s="4">
        <v>722</v>
      </c>
      <c r="B811" s="2">
        <v>7699863</v>
      </c>
      <c r="C811" s="2">
        <v>0</v>
      </c>
      <c r="D811" s="4" t="s">
        <v>2539</v>
      </c>
      <c r="E811" s="2">
        <v>7699863</v>
      </c>
      <c r="F811" s="2">
        <v>1462973.97</v>
      </c>
      <c r="G811" s="2">
        <v>0</v>
      </c>
      <c r="H811" s="4">
        <v>0</v>
      </c>
      <c r="I811" s="4">
        <v>0</v>
      </c>
      <c r="J811" s="4">
        <v>0</v>
      </c>
      <c r="K811" s="4">
        <v>9162836.9700000007</v>
      </c>
      <c r="L811" s="4" t="s">
        <v>2537</v>
      </c>
      <c r="M811" s="4" t="s">
        <v>2538</v>
      </c>
      <c r="N811" s="4" t="s">
        <v>37</v>
      </c>
      <c r="O811" s="4" t="s">
        <v>33</v>
      </c>
      <c r="P811" s="4" t="s">
        <v>33</v>
      </c>
      <c r="Q811" s="8" t="s">
        <v>100</v>
      </c>
      <c r="R811" s="9">
        <f t="shared" si="13"/>
        <v>1.3508426046143944E-4</v>
      </c>
      <c r="S811" s="55">
        <f>Tabla3[[#This Row],[Subtotal]]/12</f>
        <v>641655.25</v>
      </c>
    </row>
    <row r="812" spans="1:19" x14ac:dyDescent="0.2">
      <c r="A812" s="4">
        <v>285</v>
      </c>
      <c r="B812" s="2">
        <v>7631573</v>
      </c>
      <c r="C812" s="2">
        <v>0</v>
      </c>
      <c r="D812" s="4" t="s">
        <v>2542</v>
      </c>
      <c r="E812" s="2">
        <v>7631573</v>
      </c>
      <c r="F812" s="2">
        <v>1449998.87</v>
      </c>
      <c r="G812" s="2">
        <v>0</v>
      </c>
      <c r="H812" s="4">
        <v>0</v>
      </c>
      <c r="I812" s="4">
        <v>0</v>
      </c>
      <c r="J812" s="4">
        <v>0</v>
      </c>
      <c r="K812" s="4">
        <v>9081571.8699999992</v>
      </c>
      <c r="L812" s="4" t="s">
        <v>2540</v>
      </c>
      <c r="M812" s="4" t="s">
        <v>2541</v>
      </c>
      <c r="N812" s="4" t="s">
        <v>801</v>
      </c>
      <c r="O812" s="4" t="s">
        <v>1277</v>
      </c>
      <c r="P812" s="4" t="s">
        <v>1277</v>
      </c>
      <c r="Q812" s="8" t="s">
        <v>100</v>
      </c>
      <c r="R812" s="9">
        <f t="shared" si="13"/>
        <v>1.3388619964569353E-4</v>
      </c>
      <c r="S812" s="55">
        <f>Tabla3[[#This Row],[Subtotal]]/12</f>
        <v>635964.41666666663</v>
      </c>
    </row>
    <row r="813" spans="1:19" x14ac:dyDescent="0.2">
      <c r="A813" s="4">
        <v>863</v>
      </c>
      <c r="B813" s="2">
        <v>7510330</v>
      </c>
      <c r="C813" s="2">
        <v>0</v>
      </c>
      <c r="D813" s="4" t="s">
        <v>2545</v>
      </c>
      <c r="E813" s="2">
        <v>7510330</v>
      </c>
      <c r="F813" s="2">
        <v>1426962.7</v>
      </c>
      <c r="G813" s="2">
        <v>0</v>
      </c>
      <c r="H813" s="4">
        <v>0</v>
      </c>
      <c r="I813" s="4">
        <v>0</v>
      </c>
      <c r="J813" s="4">
        <v>0</v>
      </c>
      <c r="K813" s="4">
        <v>8937292.6999999993</v>
      </c>
      <c r="L813" s="4" t="s">
        <v>2543</v>
      </c>
      <c r="M813" s="4" t="s">
        <v>2544</v>
      </c>
      <c r="N813" s="4" t="s">
        <v>20</v>
      </c>
      <c r="O813" s="4" t="s">
        <v>631</v>
      </c>
      <c r="P813" s="4" t="s">
        <v>631</v>
      </c>
      <c r="Q813" s="8" t="s">
        <v>100</v>
      </c>
      <c r="R813" s="9">
        <f t="shared" si="13"/>
        <v>1.3175914608758136E-4</v>
      </c>
      <c r="S813" s="55">
        <f>Tabla3[[#This Row],[Subtotal]]/12</f>
        <v>625860.83333333337</v>
      </c>
    </row>
    <row r="814" spans="1:19" x14ac:dyDescent="0.2">
      <c r="A814" s="4">
        <v>1747</v>
      </c>
      <c r="B814" s="2">
        <v>7500686</v>
      </c>
      <c r="C814" s="2">
        <v>0</v>
      </c>
      <c r="D814" s="4" t="s">
        <v>2548</v>
      </c>
      <c r="E814" s="2">
        <v>7500686</v>
      </c>
      <c r="F814" s="2">
        <v>1425130.34</v>
      </c>
      <c r="G814" s="2">
        <v>0</v>
      </c>
      <c r="H814" s="4">
        <v>0</v>
      </c>
      <c r="I814" s="4">
        <v>0</v>
      </c>
      <c r="J814" s="4">
        <v>0</v>
      </c>
      <c r="K814" s="4">
        <v>8925816.3399999999</v>
      </c>
      <c r="L814" s="4" t="s">
        <v>2546</v>
      </c>
      <c r="M814" s="4" t="s">
        <v>2547</v>
      </c>
      <c r="N814" s="4" t="s">
        <v>156</v>
      </c>
      <c r="O814" s="4" t="s">
        <v>67</v>
      </c>
      <c r="P814" s="4" t="s">
        <v>67</v>
      </c>
      <c r="Q814" s="8" t="s">
        <v>100</v>
      </c>
      <c r="R814" s="9">
        <f t="shared" si="13"/>
        <v>1.3158995442691284E-4</v>
      </c>
      <c r="S814" s="55">
        <f>Tabla3[[#This Row],[Subtotal]]/12</f>
        <v>625057.16666666663</v>
      </c>
    </row>
    <row r="815" spans="1:19" x14ac:dyDescent="0.2">
      <c r="A815" s="4">
        <v>122</v>
      </c>
      <c r="B815" s="2">
        <v>7494772.5</v>
      </c>
      <c r="C815" s="2">
        <v>0</v>
      </c>
      <c r="D815" s="4" t="s">
        <v>2551</v>
      </c>
      <c r="E815" s="2">
        <v>7494772.5</v>
      </c>
      <c r="F815" s="2">
        <v>1424006.78</v>
      </c>
      <c r="G815" s="2">
        <v>187369.31</v>
      </c>
      <c r="H815" s="4">
        <v>0</v>
      </c>
      <c r="I815" s="4">
        <v>0</v>
      </c>
      <c r="J815" s="4">
        <v>187369.31</v>
      </c>
      <c r="K815" s="4">
        <v>8731409.9700000007</v>
      </c>
      <c r="L815" s="4" t="s">
        <v>2549</v>
      </c>
      <c r="M815" s="4" t="s">
        <v>2550</v>
      </c>
      <c r="N815" s="4" t="s">
        <v>2552</v>
      </c>
      <c r="O815" s="4" t="s">
        <v>900</v>
      </c>
      <c r="P815" s="4" t="s">
        <v>900</v>
      </c>
      <c r="Q815" s="8" t="s">
        <v>144</v>
      </c>
      <c r="R815" s="9">
        <f t="shared" si="13"/>
        <v>1.3148620962337039E-4</v>
      </c>
      <c r="S815" s="55">
        <f>Tabla3[[#This Row],[Subtotal]]/12</f>
        <v>624564.375</v>
      </c>
    </row>
    <row r="816" spans="1:19" x14ac:dyDescent="0.2">
      <c r="A816" s="4">
        <v>786</v>
      </c>
      <c r="B816" s="2">
        <v>7476251</v>
      </c>
      <c r="C816" s="2">
        <v>0</v>
      </c>
      <c r="D816" s="4" t="s">
        <v>2555</v>
      </c>
      <c r="E816" s="2">
        <v>7476251</v>
      </c>
      <c r="F816" s="2">
        <v>1420487.69</v>
      </c>
      <c r="G816" s="2">
        <v>0</v>
      </c>
      <c r="H816" s="4">
        <v>0</v>
      </c>
      <c r="I816" s="4">
        <v>0</v>
      </c>
      <c r="J816" s="4">
        <v>0</v>
      </c>
      <c r="K816" s="4">
        <v>8896738.6899999995</v>
      </c>
      <c r="L816" s="4" t="s">
        <v>2553</v>
      </c>
      <c r="M816" s="4" t="s">
        <v>2554</v>
      </c>
      <c r="N816" s="4" t="s">
        <v>20</v>
      </c>
      <c r="O816" s="4" t="s">
        <v>316</v>
      </c>
      <c r="P816" s="4" t="s">
        <v>316</v>
      </c>
      <c r="Q816" s="8" t="s">
        <v>100</v>
      </c>
      <c r="R816" s="9">
        <f t="shared" si="13"/>
        <v>1.3116127356539942E-4</v>
      </c>
      <c r="S816" s="55">
        <f>Tabla3[[#This Row],[Subtotal]]/12</f>
        <v>623020.91666666663</v>
      </c>
    </row>
    <row r="817" spans="1:19" x14ac:dyDescent="0.2">
      <c r="A817" s="4">
        <v>235</v>
      </c>
      <c r="B817" s="2">
        <v>7455211</v>
      </c>
      <c r="C817" s="2">
        <v>0</v>
      </c>
      <c r="D817" s="4" t="s">
        <v>2558</v>
      </c>
      <c r="E817" s="2">
        <v>7455211</v>
      </c>
      <c r="F817" s="2">
        <v>1416490.09</v>
      </c>
      <c r="G817" s="2">
        <v>0</v>
      </c>
      <c r="H817" s="4">
        <v>0</v>
      </c>
      <c r="I817" s="4">
        <v>0</v>
      </c>
      <c r="J817" s="4">
        <v>0</v>
      </c>
      <c r="K817" s="4">
        <v>8871701.0899999999</v>
      </c>
      <c r="L817" s="4" t="s">
        <v>2556</v>
      </c>
      <c r="M817" s="4" t="s">
        <v>2557</v>
      </c>
      <c r="N817" s="4" t="s">
        <v>233</v>
      </c>
      <c r="O817" s="4" t="s">
        <v>229</v>
      </c>
      <c r="P817" s="4" t="s">
        <v>229</v>
      </c>
      <c r="Q817" s="8" t="s">
        <v>100</v>
      </c>
      <c r="R817" s="9">
        <f t="shared" si="13"/>
        <v>1.3079215364208277E-4</v>
      </c>
      <c r="S817" s="55">
        <f>Tabla3[[#This Row],[Subtotal]]/12</f>
        <v>621267.58333333337</v>
      </c>
    </row>
    <row r="818" spans="1:19" x14ac:dyDescent="0.2">
      <c r="A818" s="4">
        <v>1521</v>
      </c>
      <c r="B818" s="2">
        <v>7409211</v>
      </c>
      <c r="C818" s="2">
        <v>0</v>
      </c>
      <c r="D818" s="4" t="s">
        <v>2561</v>
      </c>
      <c r="E818" s="2">
        <v>7409211</v>
      </c>
      <c r="F818" s="2">
        <v>1407750.09</v>
      </c>
      <c r="G818" s="2">
        <v>0</v>
      </c>
      <c r="H818" s="4">
        <v>0</v>
      </c>
      <c r="I818" s="4">
        <v>0</v>
      </c>
      <c r="J818" s="4">
        <v>0</v>
      </c>
      <c r="K818" s="4">
        <v>8816961.0899999999</v>
      </c>
      <c r="L818" s="4" t="s">
        <v>2559</v>
      </c>
      <c r="M818" s="4" t="s">
        <v>2560</v>
      </c>
      <c r="N818" s="4" t="s">
        <v>104</v>
      </c>
      <c r="O818" s="4" t="s">
        <v>105</v>
      </c>
      <c r="P818" s="4" t="s">
        <v>105</v>
      </c>
      <c r="Q818" s="8" t="s">
        <v>100</v>
      </c>
      <c r="R818" s="9">
        <f t="shared" si="13"/>
        <v>1.299851424028924E-4</v>
      </c>
      <c r="S818" s="55">
        <f>Tabla3[[#This Row],[Subtotal]]/12</f>
        <v>617434.25</v>
      </c>
    </row>
    <row r="819" spans="1:19" x14ac:dyDescent="0.2">
      <c r="A819" s="4">
        <v>1088</v>
      </c>
      <c r="B819" s="2">
        <v>7401226</v>
      </c>
      <c r="C819" s="2">
        <v>0</v>
      </c>
      <c r="D819" s="4" t="s">
        <v>2564</v>
      </c>
      <c r="E819" s="2">
        <v>7401226</v>
      </c>
      <c r="F819" s="2">
        <v>1406232.94</v>
      </c>
      <c r="G819" s="2">
        <v>0</v>
      </c>
      <c r="H819" s="4">
        <v>0</v>
      </c>
      <c r="I819" s="4">
        <v>0</v>
      </c>
      <c r="J819" s="4">
        <v>0</v>
      </c>
      <c r="K819" s="4">
        <v>8807458.9399999995</v>
      </c>
      <c r="L819" s="4" t="s">
        <v>2562</v>
      </c>
      <c r="M819" s="4" t="s">
        <v>2563</v>
      </c>
      <c r="N819" s="4" t="s">
        <v>1348</v>
      </c>
      <c r="O819" s="4" t="s">
        <v>747</v>
      </c>
      <c r="P819" s="4" t="s">
        <v>747</v>
      </c>
      <c r="Q819" s="8" t="s">
        <v>100</v>
      </c>
      <c r="R819" s="9">
        <f t="shared" si="13"/>
        <v>1.2984505577800248E-4</v>
      </c>
      <c r="S819" s="55">
        <f>Tabla3[[#This Row],[Subtotal]]/12</f>
        <v>616768.83333333337</v>
      </c>
    </row>
    <row r="820" spans="1:19" x14ac:dyDescent="0.2">
      <c r="A820" s="4">
        <v>1302</v>
      </c>
      <c r="B820" s="2">
        <v>7353010</v>
      </c>
      <c r="C820" s="2">
        <v>0</v>
      </c>
      <c r="D820" s="4" t="s">
        <v>2567</v>
      </c>
      <c r="E820" s="2">
        <v>7353010</v>
      </c>
      <c r="F820" s="2">
        <v>1397071.9</v>
      </c>
      <c r="G820" s="2">
        <v>0</v>
      </c>
      <c r="H820" s="4">
        <v>0</v>
      </c>
      <c r="I820" s="4">
        <v>0</v>
      </c>
      <c r="J820" s="4">
        <v>0</v>
      </c>
      <c r="K820" s="4">
        <v>8750081.9000000004</v>
      </c>
      <c r="L820" s="4" t="s">
        <v>2565</v>
      </c>
      <c r="M820" s="4" t="s">
        <v>2566</v>
      </c>
      <c r="N820" s="4" t="s">
        <v>20</v>
      </c>
      <c r="O820" s="4" t="s">
        <v>257</v>
      </c>
      <c r="P820" s="4" t="s">
        <v>257</v>
      </c>
      <c r="Q820" s="8" t="s">
        <v>100</v>
      </c>
      <c r="R820" s="9">
        <f t="shared" si="13"/>
        <v>1.2899916764955022E-4</v>
      </c>
      <c r="S820" s="55">
        <f>Tabla3[[#This Row],[Subtotal]]/12</f>
        <v>612750.83333333337</v>
      </c>
    </row>
    <row r="821" spans="1:19" x14ac:dyDescent="0.2">
      <c r="A821" s="4">
        <v>1101</v>
      </c>
      <c r="B821" s="2">
        <v>7351380</v>
      </c>
      <c r="C821" s="2">
        <v>0</v>
      </c>
      <c r="D821" s="4" t="s">
        <v>2570</v>
      </c>
      <c r="E821" s="2">
        <v>7351380</v>
      </c>
      <c r="F821" s="2">
        <v>1396762.2</v>
      </c>
      <c r="G821" s="2">
        <v>160940.93</v>
      </c>
      <c r="H821" s="4">
        <v>0</v>
      </c>
      <c r="I821" s="4">
        <v>0</v>
      </c>
      <c r="J821" s="4">
        <v>160940.93</v>
      </c>
      <c r="K821" s="4">
        <v>8587201.2699999996</v>
      </c>
      <c r="L821" s="4" t="s">
        <v>2568</v>
      </c>
      <c r="M821" s="4" t="s">
        <v>2569</v>
      </c>
      <c r="N821" s="4" t="s">
        <v>20</v>
      </c>
      <c r="O821" s="4" t="s">
        <v>768</v>
      </c>
      <c r="P821" s="4" t="s">
        <v>768</v>
      </c>
      <c r="Q821" s="8" t="s">
        <v>100</v>
      </c>
      <c r="R821" s="9">
        <f t="shared" si="13"/>
        <v>1.2897057138172674E-4</v>
      </c>
      <c r="S821" s="55">
        <f>Tabla3[[#This Row],[Subtotal]]/12</f>
        <v>612615</v>
      </c>
    </row>
    <row r="822" spans="1:19" x14ac:dyDescent="0.2">
      <c r="A822" s="4">
        <v>52</v>
      </c>
      <c r="B822" s="2">
        <v>7325330</v>
      </c>
      <c r="C822" s="2">
        <v>0</v>
      </c>
      <c r="D822" s="4" t="s">
        <v>2573</v>
      </c>
      <c r="E822" s="2">
        <v>7325330</v>
      </c>
      <c r="F822" s="2">
        <v>1391812.7</v>
      </c>
      <c r="G822" s="2">
        <v>0</v>
      </c>
      <c r="H822" s="4">
        <v>0</v>
      </c>
      <c r="I822" s="4">
        <v>0</v>
      </c>
      <c r="J822" s="4">
        <v>0</v>
      </c>
      <c r="K822" s="4">
        <v>8717142.6999999993</v>
      </c>
      <c r="L822" s="4" t="s">
        <v>2571</v>
      </c>
      <c r="M822" s="4" t="s">
        <v>2572</v>
      </c>
      <c r="N822" s="4" t="s">
        <v>20</v>
      </c>
      <c r="O822" s="4" t="s">
        <v>631</v>
      </c>
      <c r="P822" s="4" t="s">
        <v>631</v>
      </c>
      <c r="Q822" s="8" t="s">
        <v>100</v>
      </c>
      <c r="R822" s="9">
        <f t="shared" si="13"/>
        <v>1.2851355740822873E-4</v>
      </c>
      <c r="S822" s="55">
        <f>Tabla3[[#This Row],[Subtotal]]/12</f>
        <v>610444.16666666663</v>
      </c>
    </row>
    <row r="823" spans="1:19" x14ac:dyDescent="0.2">
      <c r="A823" s="4">
        <v>211</v>
      </c>
      <c r="B823" s="2">
        <v>7303270</v>
      </c>
      <c r="C823" s="2">
        <v>0</v>
      </c>
      <c r="D823" s="4" t="s">
        <v>2575</v>
      </c>
      <c r="E823" s="2">
        <v>7303270</v>
      </c>
      <c r="F823" s="2">
        <v>0</v>
      </c>
      <c r="G823" s="2">
        <v>182581.75</v>
      </c>
      <c r="H823" s="4">
        <v>0</v>
      </c>
      <c r="I823" s="4">
        <v>0</v>
      </c>
      <c r="J823" s="4">
        <v>182581.75</v>
      </c>
      <c r="K823" s="4">
        <v>7120688.25</v>
      </c>
      <c r="L823" s="4" t="s">
        <v>2574</v>
      </c>
      <c r="M823" s="4" t="s">
        <v>1495</v>
      </c>
      <c r="N823" s="4" t="s">
        <v>228</v>
      </c>
      <c r="O823" s="4" t="s">
        <v>229</v>
      </c>
      <c r="P823" s="4" t="s">
        <v>229</v>
      </c>
      <c r="Q823" s="8" t="s">
        <v>28</v>
      </c>
      <c r="R823" s="9">
        <f t="shared" si="13"/>
        <v>1.2812654288786915E-4</v>
      </c>
      <c r="S823" s="55">
        <f>Tabla3[[#This Row],[Subtotal]]/12</f>
        <v>608605.83333333337</v>
      </c>
    </row>
    <row r="824" spans="1:19" x14ac:dyDescent="0.2">
      <c r="A824" s="4">
        <v>250</v>
      </c>
      <c r="B824" s="2">
        <v>7282864</v>
      </c>
      <c r="C824" s="2">
        <v>0</v>
      </c>
      <c r="D824" s="4" t="s">
        <v>2578</v>
      </c>
      <c r="E824" s="2">
        <v>7282864</v>
      </c>
      <c r="F824" s="2">
        <v>1383744.16</v>
      </c>
      <c r="G824" s="2">
        <v>0</v>
      </c>
      <c r="H824" s="4">
        <v>0</v>
      </c>
      <c r="I824" s="4">
        <v>0</v>
      </c>
      <c r="J824" s="4">
        <v>0</v>
      </c>
      <c r="K824" s="4">
        <v>8666608.1600000001</v>
      </c>
      <c r="L824" s="4" t="s">
        <v>2576</v>
      </c>
      <c r="M824" s="4" t="s">
        <v>2577</v>
      </c>
      <c r="N824" s="4" t="s">
        <v>2579</v>
      </c>
      <c r="O824" s="4" t="s">
        <v>1188</v>
      </c>
      <c r="P824" s="4" t="s">
        <v>1188</v>
      </c>
      <c r="Q824" s="8" t="s">
        <v>100</v>
      </c>
      <c r="R824" s="9">
        <f t="shared" si="13"/>
        <v>1.2776854568467526E-4</v>
      </c>
      <c r="S824" s="55">
        <f>Tabla3[[#This Row],[Subtotal]]/12</f>
        <v>606905.33333333337</v>
      </c>
    </row>
    <row r="825" spans="1:19" x14ac:dyDescent="0.2">
      <c r="A825" s="4">
        <v>359</v>
      </c>
      <c r="B825" s="2">
        <v>7245107</v>
      </c>
      <c r="C825" s="2">
        <v>0</v>
      </c>
      <c r="D825" s="4" t="s">
        <v>2582</v>
      </c>
      <c r="E825" s="2">
        <v>7245107</v>
      </c>
      <c r="F825" s="2">
        <v>1376570.33</v>
      </c>
      <c r="G825" s="2">
        <v>0</v>
      </c>
      <c r="H825" s="4">
        <v>0</v>
      </c>
      <c r="I825" s="4">
        <v>0</v>
      </c>
      <c r="J825" s="4">
        <v>0</v>
      </c>
      <c r="K825" s="4">
        <v>8621677.3300000001</v>
      </c>
      <c r="L825" s="4" t="s">
        <v>2580</v>
      </c>
      <c r="M825" s="4" t="s">
        <v>2581</v>
      </c>
      <c r="N825" s="4" t="s">
        <v>302</v>
      </c>
      <c r="O825" s="4" t="s">
        <v>2025</v>
      </c>
      <c r="P825" s="4" t="s">
        <v>2025</v>
      </c>
      <c r="Q825" s="8" t="s">
        <v>100</v>
      </c>
      <c r="R825" s="9">
        <f t="shared" si="13"/>
        <v>1.2710614735080328E-4</v>
      </c>
      <c r="S825" s="55">
        <f>Tabla3[[#This Row],[Subtotal]]/12</f>
        <v>603758.91666666663</v>
      </c>
    </row>
    <row r="826" spans="1:19" x14ac:dyDescent="0.2">
      <c r="A826" s="4">
        <v>1491</v>
      </c>
      <c r="B826" s="2">
        <v>7236139</v>
      </c>
      <c r="C826" s="2">
        <v>0</v>
      </c>
      <c r="D826" s="4" t="s">
        <v>2585</v>
      </c>
      <c r="E826" s="2">
        <v>7236139</v>
      </c>
      <c r="F826" s="2">
        <v>1374866.41</v>
      </c>
      <c r="G826" s="2">
        <v>0</v>
      </c>
      <c r="H826" s="4">
        <v>0</v>
      </c>
      <c r="I826" s="4">
        <v>0</v>
      </c>
      <c r="J826" s="4">
        <v>0</v>
      </c>
      <c r="K826" s="4">
        <v>8611005.4100000001</v>
      </c>
      <c r="L826" s="4" t="s">
        <v>2583</v>
      </c>
      <c r="M826" s="4" t="s">
        <v>2584</v>
      </c>
      <c r="N826" s="4" t="s">
        <v>714</v>
      </c>
      <c r="O826" s="4" t="s">
        <v>382</v>
      </c>
      <c r="P826" s="4" t="s">
        <v>382</v>
      </c>
      <c r="Q826" s="8" t="s">
        <v>100</v>
      </c>
      <c r="R826" s="9">
        <f t="shared" si="13"/>
        <v>1.2694881524660633E-4</v>
      </c>
      <c r="S826" s="55">
        <f>Tabla3[[#This Row],[Subtotal]]/12</f>
        <v>603011.58333333337</v>
      </c>
    </row>
    <row r="827" spans="1:19" x14ac:dyDescent="0.2">
      <c r="A827" s="4">
        <v>148</v>
      </c>
      <c r="B827" s="2">
        <v>7215161</v>
      </c>
      <c r="C827" s="2">
        <v>0</v>
      </c>
      <c r="D827" s="4" t="s">
        <v>2588</v>
      </c>
      <c r="E827" s="2">
        <v>7215161</v>
      </c>
      <c r="F827" s="2">
        <v>1370880.59</v>
      </c>
      <c r="G827" s="2">
        <v>0</v>
      </c>
      <c r="H827" s="4">
        <v>0</v>
      </c>
      <c r="I827" s="4">
        <v>0</v>
      </c>
      <c r="J827" s="4">
        <v>0</v>
      </c>
      <c r="K827" s="4">
        <v>8586041.5899999999</v>
      </c>
      <c r="L827" s="4" t="s">
        <v>2586</v>
      </c>
      <c r="M827" s="4" t="s">
        <v>2587</v>
      </c>
      <c r="N827" s="4" t="s">
        <v>20</v>
      </c>
      <c r="O827" s="4" t="s">
        <v>316</v>
      </c>
      <c r="P827" s="4" t="s">
        <v>316</v>
      </c>
      <c r="Q827" s="8" t="s">
        <v>100</v>
      </c>
      <c r="R827" s="9">
        <f t="shared" si="13"/>
        <v>1.2658078303409034E-4</v>
      </c>
      <c r="S827" s="55">
        <f>Tabla3[[#This Row],[Subtotal]]/12</f>
        <v>601263.41666666663</v>
      </c>
    </row>
    <row r="828" spans="1:19" x14ac:dyDescent="0.2">
      <c r="A828" s="4">
        <v>922</v>
      </c>
      <c r="B828" s="2">
        <v>7190693</v>
      </c>
      <c r="C828" s="2">
        <v>0</v>
      </c>
      <c r="D828" s="4" t="s">
        <v>2591</v>
      </c>
      <c r="E828" s="2">
        <v>7190693</v>
      </c>
      <c r="F828" s="2">
        <v>1366231.67</v>
      </c>
      <c r="G828" s="2">
        <v>87948.49</v>
      </c>
      <c r="H828" s="4">
        <v>0</v>
      </c>
      <c r="I828" s="4">
        <v>0</v>
      </c>
      <c r="J828" s="4">
        <v>87948.49</v>
      </c>
      <c r="K828" s="4">
        <v>8468976.1799999997</v>
      </c>
      <c r="L828" s="4" t="s">
        <v>2589</v>
      </c>
      <c r="M828" s="4" t="s">
        <v>2590</v>
      </c>
      <c r="N828" s="4" t="s">
        <v>20</v>
      </c>
      <c r="O828" s="4" t="s">
        <v>631</v>
      </c>
      <c r="P828" s="4" t="s">
        <v>631</v>
      </c>
      <c r="Q828" s="8" t="s">
        <v>100</v>
      </c>
      <c r="R828" s="9">
        <f t="shared" si="13"/>
        <v>1.261515232297314E-4</v>
      </c>
      <c r="S828" s="55">
        <f>Tabla3[[#This Row],[Subtotal]]/12</f>
        <v>599224.41666666663</v>
      </c>
    </row>
    <row r="829" spans="1:19" x14ac:dyDescent="0.2">
      <c r="A829" s="4">
        <v>1593</v>
      </c>
      <c r="B829" s="2">
        <v>7186580</v>
      </c>
      <c r="C829" s="2">
        <v>0</v>
      </c>
      <c r="D829" s="4" t="s">
        <v>2594</v>
      </c>
      <c r="E829" s="2">
        <v>7186580</v>
      </c>
      <c r="F829" s="2">
        <v>1365450.2</v>
      </c>
      <c r="G829" s="2">
        <v>0</v>
      </c>
      <c r="H829" s="4">
        <v>0</v>
      </c>
      <c r="I829" s="4">
        <v>0</v>
      </c>
      <c r="J829" s="4">
        <v>0</v>
      </c>
      <c r="K829" s="4">
        <v>8552030.1999999993</v>
      </c>
      <c r="L829" s="4" t="s">
        <v>2592</v>
      </c>
      <c r="M829" s="4" t="s">
        <v>2593</v>
      </c>
      <c r="N829" s="4" t="s">
        <v>124</v>
      </c>
      <c r="O829" s="4" t="s">
        <v>33</v>
      </c>
      <c r="P829" s="4" t="s">
        <v>33</v>
      </c>
      <c r="Q829" s="8" t="s">
        <v>100</v>
      </c>
      <c r="R829" s="9">
        <f t="shared" si="13"/>
        <v>1.2607936589871424E-4</v>
      </c>
      <c r="S829" s="55">
        <f>Tabla3[[#This Row],[Subtotal]]/12</f>
        <v>598881.66666666663</v>
      </c>
    </row>
    <row r="830" spans="1:19" x14ac:dyDescent="0.2">
      <c r="A830" s="4">
        <v>127</v>
      </c>
      <c r="B830" s="2">
        <v>7184536</v>
      </c>
      <c r="C830" s="2">
        <v>0</v>
      </c>
      <c r="D830" s="4" t="s">
        <v>2597</v>
      </c>
      <c r="E830" s="2">
        <v>7184536</v>
      </c>
      <c r="F830" s="2">
        <v>1365061.84</v>
      </c>
      <c r="G830" s="2">
        <v>0</v>
      </c>
      <c r="H830" s="4">
        <v>0</v>
      </c>
      <c r="I830" s="4">
        <v>0</v>
      </c>
      <c r="J830" s="4">
        <v>0</v>
      </c>
      <c r="K830" s="4">
        <v>8549597.8399999999</v>
      </c>
      <c r="L830" s="4" t="s">
        <v>2595</v>
      </c>
      <c r="M830" s="4" t="s">
        <v>2596</v>
      </c>
      <c r="N830" s="4" t="s">
        <v>272</v>
      </c>
      <c r="O830" s="4" t="s">
        <v>89</v>
      </c>
      <c r="P830" s="4" t="s">
        <v>89</v>
      </c>
      <c r="Q830" s="8" t="s">
        <v>100</v>
      </c>
      <c r="R830" s="9">
        <f t="shared" si="13"/>
        <v>1.2604350652973802E-4</v>
      </c>
      <c r="S830" s="55">
        <f>Tabla3[[#This Row],[Subtotal]]/12</f>
        <v>598711.33333333337</v>
      </c>
    </row>
    <row r="831" spans="1:19" x14ac:dyDescent="0.2">
      <c r="A831" s="4">
        <v>1199</v>
      </c>
      <c r="B831" s="2">
        <v>7182132</v>
      </c>
      <c r="C831" s="2">
        <v>0</v>
      </c>
      <c r="D831" s="4" t="s">
        <v>2600</v>
      </c>
      <c r="E831" s="2">
        <v>7182132</v>
      </c>
      <c r="F831" s="2">
        <v>1364605.08</v>
      </c>
      <c r="G831" s="2">
        <v>0</v>
      </c>
      <c r="H831" s="4">
        <v>0</v>
      </c>
      <c r="I831" s="4">
        <v>0</v>
      </c>
      <c r="J831" s="4">
        <v>0</v>
      </c>
      <c r="K831" s="4">
        <v>8546737.0800000001</v>
      </c>
      <c r="L831" s="4" t="s">
        <v>2598</v>
      </c>
      <c r="M831" s="4" t="s">
        <v>2599</v>
      </c>
      <c r="N831" s="4" t="s">
        <v>293</v>
      </c>
      <c r="O831" s="4" t="s">
        <v>229</v>
      </c>
      <c r="P831" s="4" t="s">
        <v>229</v>
      </c>
      <c r="Q831" s="8" t="s">
        <v>100</v>
      </c>
      <c r="R831" s="9">
        <f t="shared" si="13"/>
        <v>1.2600133142062905E-4</v>
      </c>
      <c r="S831" s="55">
        <f>Tabla3[[#This Row],[Subtotal]]/12</f>
        <v>598511</v>
      </c>
    </row>
    <row r="832" spans="1:19" x14ac:dyDescent="0.2">
      <c r="A832" s="4">
        <v>1580</v>
      </c>
      <c r="B832" s="2">
        <v>7173880</v>
      </c>
      <c r="C832" s="2">
        <v>0</v>
      </c>
      <c r="D832" s="4" t="s">
        <v>2603</v>
      </c>
      <c r="E832" s="2">
        <v>7173880</v>
      </c>
      <c r="F832" s="2">
        <v>1363037.2</v>
      </c>
      <c r="G832" s="2">
        <v>0</v>
      </c>
      <c r="H832" s="4">
        <v>0</v>
      </c>
      <c r="I832" s="4">
        <v>0</v>
      </c>
      <c r="J832" s="4">
        <v>0</v>
      </c>
      <c r="K832" s="4">
        <v>8536917.1999999993</v>
      </c>
      <c r="L832" s="4" t="s">
        <v>2601</v>
      </c>
      <c r="M832" s="4" t="s">
        <v>2602</v>
      </c>
      <c r="N832" s="4" t="s">
        <v>2604</v>
      </c>
      <c r="O832" s="4" t="s">
        <v>93</v>
      </c>
      <c r="P832" s="4" t="s">
        <v>93</v>
      </c>
      <c r="Q832" s="8" t="s">
        <v>100</v>
      </c>
      <c r="R832" s="9">
        <f t="shared" si="13"/>
        <v>1.2585656062180731E-4</v>
      </c>
      <c r="S832" s="55">
        <f>Tabla3[[#This Row],[Subtotal]]/12</f>
        <v>597823.33333333337</v>
      </c>
    </row>
    <row r="833" spans="1:19" x14ac:dyDescent="0.2">
      <c r="A833" s="4">
        <v>1263</v>
      </c>
      <c r="B833" s="2">
        <v>7173488</v>
      </c>
      <c r="C833" s="2">
        <v>0</v>
      </c>
      <c r="D833" s="4" t="s">
        <v>2607</v>
      </c>
      <c r="E833" s="2">
        <v>7173488</v>
      </c>
      <c r="F833" s="2">
        <v>1362962.72</v>
      </c>
      <c r="G833" s="2">
        <v>0</v>
      </c>
      <c r="H833" s="4">
        <v>0</v>
      </c>
      <c r="I833" s="4">
        <v>0</v>
      </c>
      <c r="J833" s="4">
        <v>0</v>
      </c>
      <c r="K833" s="4">
        <v>8536450.7200000007</v>
      </c>
      <c r="L833" s="4" t="s">
        <v>2605</v>
      </c>
      <c r="M833" s="4" t="s">
        <v>2606</v>
      </c>
      <c r="N833" s="4" t="s">
        <v>20</v>
      </c>
      <c r="O833" s="4" t="s">
        <v>1356</v>
      </c>
      <c r="P833" s="4" t="s">
        <v>1356</v>
      </c>
      <c r="Q833" s="8" t="s">
        <v>100</v>
      </c>
      <c r="R833" s="9">
        <f t="shared" si="13"/>
        <v>1.2584968348255162E-4</v>
      </c>
      <c r="S833" s="55">
        <f>Tabla3[[#This Row],[Subtotal]]/12</f>
        <v>597790.66666666663</v>
      </c>
    </row>
    <row r="834" spans="1:19" x14ac:dyDescent="0.2">
      <c r="A834" s="4">
        <v>591</v>
      </c>
      <c r="B834" s="2">
        <v>7089770</v>
      </c>
      <c r="C834" s="2">
        <v>0</v>
      </c>
      <c r="D834" s="4" t="s">
        <v>2610</v>
      </c>
      <c r="E834" s="2">
        <v>7089770</v>
      </c>
      <c r="F834" s="2">
        <v>1347056.3</v>
      </c>
      <c r="G834" s="2">
        <v>75438.83</v>
      </c>
      <c r="H834" s="4">
        <v>0</v>
      </c>
      <c r="I834" s="4">
        <v>0</v>
      </c>
      <c r="J834" s="4">
        <v>75438.83</v>
      </c>
      <c r="K834" s="4">
        <v>8361387.4699999997</v>
      </c>
      <c r="L834" s="4" t="s">
        <v>2608</v>
      </c>
      <c r="M834" s="4" t="s">
        <v>2609</v>
      </c>
      <c r="N834" s="4" t="s">
        <v>272</v>
      </c>
      <c r="O834" s="4" t="s">
        <v>89</v>
      </c>
      <c r="P834" s="4" t="s">
        <v>89</v>
      </c>
      <c r="Q834" s="8" t="s">
        <v>100</v>
      </c>
      <c r="R834" s="9">
        <f t="shared" si="13"/>
        <v>1.2438095811467028E-4</v>
      </c>
      <c r="S834" s="55">
        <f>Tabla3[[#This Row],[Subtotal]]/12</f>
        <v>590814.16666666663</v>
      </c>
    </row>
    <row r="835" spans="1:19" x14ac:dyDescent="0.2">
      <c r="A835" s="4">
        <v>1403</v>
      </c>
      <c r="B835" s="2">
        <v>7018200</v>
      </c>
      <c r="C835" s="2">
        <v>0</v>
      </c>
      <c r="D835" s="4" t="s">
        <v>2613</v>
      </c>
      <c r="E835" s="2">
        <v>7018200</v>
      </c>
      <c r="F835" s="2">
        <v>1333458</v>
      </c>
      <c r="G835" s="2">
        <v>0</v>
      </c>
      <c r="H835" s="4">
        <v>0</v>
      </c>
      <c r="I835" s="4">
        <v>0</v>
      </c>
      <c r="J835" s="4">
        <v>0</v>
      </c>
      <c r="K835" s="4">
        <v>8351658</v>
      </c>
      <c r="L835" s="4" t="s">
        <v>2611</v>
      </c>
      <c r="M835" s="4" t="s">
        <v>2612</v>
      </c>
      <c r="N835" s="4" t="s">
        <v>1463</v>
      </c>
      <c r="O835" s="4" t="s">
        <v>105</v>
      </c>
      <c r="P835" s="4" t="s">
        <v>105</v>
      </c>
      <c r="Q835" s="8" t="s">
        <v>100</v>
      </c>
      <c r="R835" s="9">
        <f t="shared" ref="R835:R898" si="14">E835/$E$1757</f>
        <v>1.231253538888256E-4</v>
      </c>
      <c r="S835" s="55">
        <f>Tabla3[[#This Row],[Subtotal]]/12</f>
        <v>584850</v>
      </c>
    </row>
    <row r="836" spans="1:19" x14ac:dyDescent="0.2">
      <c r="A836" s="4">
        <v>997</v>
      </c>
      <c r="B836" s="2">
        <v>6998176</v>
      </c>
      <c r="C836" s="2">
        <v>0</v>
      </c>
      <c r="D836" s="4" t="s">
        <v>2616</v>
      </c>
      <c r="E836" s="2">
        <v>6998176</v>
      </c>
      <c r="F836" s="2">
        <v>1329653.44</v>
      </c>
      <c r="G836" s="2">
        <v>0</v>
      </c>
      <c r="H836" s="4">
        <v>0</v>
      </c>
      <c r="I836" s="4">
        <v>0</v>
      </c>
      <c r="J836" s="4">
        <v>0</v>
      </c>
      <c r="K836" s="4">
        <v>8327829.4400000004</v>
      </c>
      <c r="L836" s="4" t="s">
        <v>2614</v>
      </c>
      <c r="M836" s="4" t="s">
        <v>2615</v>
      </c>
      <c r="N836" s="4" t="s">
        <v>37</v>
      </c>
      <c r="O836" s="4" t="s">
        <v>33</v>
      </c>
      <c r="P836" s="4" t="s">
        <v>33</v>
      </c>
      <c r="Q836" s="8" t="s">
        <v>100</v>
      </c>
      <c r="R836" s="9">
        <f t="shared" si="14"/>
        <v>1.2277405838766149E-4</v>
      </c>
      <c r="S836" s="55">
        <f>Tabla3[[#This Row],[Subtotal]]/12</f>
        <v>583181.33333333337</v>
      </c>
    </row>
    <row r="837" spans="1:19" x14ac:dyDescent="0.2">
      <c r="A837" s="4">
        <v>1372</v>
      </c>
      <c r="B837" s="2">
        <v>6958823</v>
      </c>
      <c r="C837" s="2">
        <v>0</v>
      </c>
      <c r="D837" s="4" t="s">
        <v>2619</v>
      </c>
      <c r="E837" s="2">
        <v>6958823</v>
      </c>
      <c r="F837" s="2">
        <v>1322176.3700000001</v>
      </c>
      <c r="G837" s="2">
        <v>0</v>
      </c>
      <c r="H837" s="4">
        <v>0</v>
      </c>
      <c r="I837" s="4">
        <v>0</v>
      </c>
      <c r="J837" s="4">
        <v>0</v>
      </c>
      <c r="K837" s="4">
        <v>8280999.3700000001</v>
      </c>
      <c r="L837" s="4" t="s">
        <v>2617</v>
      </c>
      <c r="M837" s="4" t="s">
        <v>2618</v>
      </c>
      <c r="N837" s="4" t="s">
        <v>272</v>
      </c>
      <c r="O837" s="4" t="s">
        <v>89</v>
      </c>
      <c r="P837" s="4" t="s">
        <v>89</v>
      </c>
      <c r="Q837" s="8" t="s">
        <v>100</v>
      </c>
      <c r="R837" s="9">
        <f t="shared" si="14"/>
        <v>1.2208366027253412E-4</v>
      </c>
      <c r="S837" s="55">
        <f>Tabla3[[#This Row],[Subtotal]]/12</f>
        <v>579901.91666666663</v>
      </c>
    </row>
    <row r="838" spans="1:19" x14ac:dyDescent="0.2">
      <c r="A838" s="4">
        <v>893</v>
      </c>
      <c r="B838" s="2">
        <v>6956746</v>
      </c>
      <c r="C838" s="2">
        <v>0</v>
      </c>
      <c r="D838" s="4" t="s">
        <v>2622</v>
      </c>
      <c r="E838" s="2">
        <v>6956746</v>
      </c>
      <c r="F838" s="2">
        <v>1321781.74</v>
      </c>
      <c r="G838" s="2">
        <v>0</v>
      </c>
      <c r="H838" s="4">
        <v>0</v>
      </c>
      <c r="I838" s="4">
        <v>0</v>
      </c>
      <c r="J838" s="4">
        <v>0</v>
      </c>
      <c r="K838" s="4">
        <v>8278527.7400000002</v>
      </c>
      <c r="L838" s="4" t="s">
        <v>2620</v>
      </c>
      <c r="M838" s="4" t="s">
        <v>2621</v>
      </c>
      <c r="N838" s="4" t="s">
        <v>504</v>
      </c>
      <c r="O838" s="4" t="s">
        <v>27</v>
      </c>
      <c r="P838" s="4" t="s">
        <v>27</v>
      </c>
      <c r="Q838" s="8" t="s">
        <v>100</v>
      </c>
      <c r="R838" s="9">
        <f t="shared" si="14"/>
        <v>1.2204722196071242E-4</v>
      </c>
      <c r="S838" s="55">
        <f>Tabla3[[#This Row],[Subtotal]]/12</f>
        <v>579728.83333333337</v>
      </c>
    </row>
    <row r="839" spans="1:19" x14ac:dyDescent="0.2">
      <c r="A839" s="4">
        <v>1574</v>
      </c>
      <c r="B839" s="2">
        <v>6932625</v>
      </c>
      <c r="C839" s="2">
        <v>0</v>
      </c>
      <c r="D839" s="4" t="s">
        <v>2625</v>
      </c>
      <c r="E839" s="2">
        <v>6932625</v>
      </c>
      <c r="F839" s="2">
        <v>1317198.75</v>
      </c>
      <c r="G839" s="2">
        <v>0</v>
      </c>
      <c r="H839" s="4">
        <v>0</v>
      </c>
      <c r="I839" s="4">
        <v>0</v>
      </c>
      <c r="J839" s="4">
        <v>0</v>
      </c>
      <c r="K839" s="4">
        <v>8249823.75</v>
      </c>
      <c r="L839" s="4" t="s">
        <v>2623</v>
      </c>
      <c r="M839" s="4" t="s">
        <v>2624</v>
      </c>
      <c r="N839" s="4" t="s">
        <v>20</v>
      </c>
      <c r="O839" s="4" t="s">
        <v>1043</v>
      </c>
      <c r="P839" s="4" t="s">
        <v>1043</v>
      </c>
      <c r="Q839" s="8" t="s">
        <v>100</v>
      </c>
      <c r="R839" s="9">
        <f t="shared" si="14"/>
        <v>1.2162404982809261E-4</v>
      </c>
      <c r="S839" s="55">
        <f>Tabla3[[#This Row],[Subtotal]]/12</f>
        <v>577718.75</v>
      </c>
    </row>
    <row r="840" spans="1:19" x14ac:dyDescent="0.2">
      <c r="A840" s="4">
        <v>599</v>
      </c>
      <c r="B840" s="2">
        <v>6924875</v>
      </c>
      <c r="C840" s="2">
        <v>0</v>
      </c>
      <c r="D840" s="4" t="s">
        <v>2628</v>
      </c>
      <c r="E840" s="2">
        <v>6924875</v>
      </c>
      <c r="F840" s="2">
        <v>1315726.25</v>
      </c>
      <c r="G840" s="2">
        <v>0</v>
      </c>
      <c r="H840" s="4">
        <v>0</v>
      </c>
      <c r="I840" s="4">
        <v>0</v>
      </c>
      <c r="J840" s="4">
        <v>0</v>
      </c>
      <c r="K840" s="4">
        <v>8240601.25</v>
      </c>
      <c r="L840" s="4" t="s">
        <v>2626</v>
      </c>
      <c r="M840" s="4" t="s">
        <v>2627</v>
      </c>
      <c r="N840" s="4" t="s">
        <v>272</v>
      </c>
      <c r="O840" s="4" t="s">
        <v>89</v>
      </c>
      <c r="P840" s="4" t="s">
        <v>89</v>
      </c>
      <c r="Q840" s="8" t="s">
        <v>100</v>
      </c>
      <c r="R840" s="9">
        <f t="shared" si="14"/>
        <v>1.2148808597801162E-4</v>
      </c>
      <c r="S840" s="55">
        <f>Tabla3[[#This Row],[Subtotal]]/12</f>
        <v>577072.91666666663</v>
      </c>
    </row>
    <row r="841" spans="1:19" x14ac:dyDescent="0.2">
      <c r="A841" s="4">
        <v>1677</v>
      </c>
      <c r="B841" s="2">
        <v>6923963</v>
      </c>
      <c r="C841" s="2">
        <v>0</v>
      </c>
      <c r="D841" s="4" t="s">
        <v>2631</v>
      </c>
      <c r="E841" s="2">
        <v>6923963</v>
      </c>
      <c r="F841" s="2">
        <v>1315552.97</v>
      </c>
      <c r="G841" s="2">
        <v>0</v>
      </c>
      <c r="H841" s="4">
        <v>0</v>
      </c>
      <c r="I841" s="4">
        <v>0</v>
      </c>
      <c r="J841" s="4">
        <v>0</v>
      </c>
      <c r="K841" s="4">
        <v>8239515.9699999997</v>
      </c>
      <c r="L841" s="4" t="s">
        <v>2629</v>
      </c>
      <c r="M841" s="4" t="s">
        <v>2630</v>
      </c>
      <c r="N841" s="4" t="s">
        <v>651</v>
      </c>
      <c r="O841" s="4" t="s">
        <v>196</v>
      </c>
      <c r="P841" s="4" t="s">
        <v>196</v>
      </c>
      <c r="Q841" s="8" t="s">
        <v>100</v>
      </c>
      <c r="R841" s="9">
        <f t="shared" si="14"/>
        <v>1.2147208610300853E-4</v>
      </c>
      <c r="S841" s="55">
        <f>Tabla3[[#This Row],[Subtotal]]/12</f>
        <v>576996.91666666663</v>
      </c>
    </row>
    <row r="842" spans="1:19" x14ac:dyDescent="0.2">
      <c r="A842" s="4">
        <v>564</v>
      </c>
      <c r="B842" s="2">
        <v>6916514</v>
      </c>
      <c r="C842" s="2">
        <v>0</v>
      </c>
      <c r="D842" s="4" t="s">
        <v>2634</v>
      </c>
      <c r="E842" s="2">
        <v>6916514</v>
      </c>
      <c r="F842" s="2">
        <v>1314137.6599999999</v>
      </c>
      <c r="G842" s="2">
        <v>172912.85</v>
      </c>
      <c r="H842" s="4">
        <v>0</v>
      </c>
      <c r="I842" s="4">
        <v>0</v>
      </c>
      <c r="J842" s="4">
        <v>172912.85</v>
      </c>
      <c r="K842" s="4">
        <v>8057738.8099999996</v>
      </c>
      <c r="L842" s="4" t="s">
        <v>2632</v>
      </c>
      <c r="M842" s="4" t="s">
        <v>2633</v>
      </c>
      <c r="N842" s="4" t="s">
        <v>401</v>
      </c>
      <c r="O842" s="4" t="s">
        <v>27</v>
      </c>
      <c r="P842" s="4" t="s">
        <v>27</v>
      </c>
      <c r="Q842" s="8" t="s">
        <v>28</v>
      </c>
      <c r="R842" s="9">
        <f t="shared" si="14"/>
        <v>1.2134140291342746E-4</v>
      </c>
      <c r="S842" s="55">
        <f>Tabla3[[#This Row],[Subtotal]]/12</f>
        <v>576376.16666666663</v>
      </c>
    </row>
    <row r="843" spans="1:19" x14ac:dyDescent="0.2">
      <c r="A843" s="4">
        <v>93</v>
      </c>
      <c r="B843" s="2">
        <v>6904039</v>
      </c>
      <c r="C843" s="2">
        <v>0</v>
      </c>
      <c r="D843" s="4" t="s">
        <v>2637</v>
      </c>
      <c r="E843" s="2">
        <v>6904039</v>
      </c>
      <c r="F843" s="2">
        <v>1311767.4099999999</v>
      </c>
      <c r="G843" s="2">
        <v>0</v>
      </c>
      <c r="H843" s="4">
        <v>0</v>
      </c>
      <c r="I843" s="4">
        <v>0</v>
      </c>
      <c r="J843" s="4">
        <v>0</v>
      </c>
      <c r="K843" s="4">
        <v>8215806.4100000001</v>
      </c>
      <c r="L843" s="4" t="s">
        <v>2635</v>
      </c>
      <c r="M843" s="4" t="s">
        <v>2636</v>
      </c>
      <c r="N843" s="4" t="s">
        <v>104</v>
      </c>
      <c r="O843" s="4" t="s">
        <v>105</v>
      </c>
      <c r="P843" s="4" t="s">
        <v>105</v>
      </c>
      <c r="Q843" s="8" t="s">
        <v>100</v>
      </c>
      <c r="R843" s="9">
        <f t="shared" si="14"/>
        <v>1.2112254497410355E-4</v>
      </c>
      <c r="S843" s="55">
        <f>Tabla3[[#This Row],[Subtotal]]/12</f>
        <v>575336.58333333337</v>
      </c>
    </row>
    <row r="844" spans="1:19" x14ac:dyDescent="0.2">
      <c r="A844" s="4">
        <v>1553</v>
      </c>
      <c r="B844" s="2">
        <v>6895272</v>
      </c>
      <c r="C844" s="2">
        <v>0</v>
      </c>
      <c r="D844" s="4" t="s">
        <v>2640</v>
      </c>
      <c r="E844" s="2">
        <v>6895272</v>
      </c>
      <c r="F844" s="2">
        <v>1310101.68</v>
      </c>
      <c r="G844" s="2">
        <v>0</v>
      </c>
      <c r="H844" s="4">
        <v>0</v>
      </c>
      <c r="I844" s="4">
        <v>0</v>
      </c>
      <c r="J844" s="4">
        <v>0</v>
      </c>
      <c r="K844" s="4">
        <v>8205373.6799999997</v>
      </c>
      <c r="L844" s="4" t="s">
        <v>2638</v>
      </c>
      <c r="M844" s="4" t="s">
        <v>2639</v>
      </c>
      <c r="N844" s="4" t="s">
        <v>20</v>
      </c>
      <c r="O844" s="4" t="s">
        <v>316</v>
      </c>
      <c r="P844" s="4" t="s">
        <v>316</v>
      </c>
      <c r="Q844" s="8" t="s">
        <v>100</v>
      </c>
      <c r="R844" s="9">
        <f t="shared" si="14"/>
        <v>1.2096873915814742E-4</v>
      </c>
      <c r="S844" s="55">
        <f>Tabla3[[#This Row],[Subtotal]]/12</f>
        <v>574606</v>
      </c>
    </row>
    <row r="845" spans="1:19" x14ac:dyDescent="0.2">
      <c r="A845" s="4">
        <v>469</v>
      </c>
      <c r="B845" s="2">
        <v>6889981</v>
      </c>
      <c r="C845" s="2">
        <v>0</v>
      </c>
      <c r="D845" s="4" t="s">
        <v>2643</v>
      </c>
      <c r="E845" s="2">
        <v>6889981</v>
      </c>
      <c r="F845" s="2">
        <v>1309096.3899999999</v>
      </c>
      <c r="G845" s="2">
        <v>0</v>
      </c>
      <c r="H845" s="4">
        <v>0</v>
      </c>
      <c r="I845" s="4">
        <v>0</v>
      </c>
      <c r="J845" s="4">
        <v>0</v>
      </c>
      <c r="K845" s="4">
        <v>8199077.3899999997</v>
      </c>
      <c r="L845" s="4" t="s">
        <v>2641</v>
      </c>
      <c r="M845" s="4" t="s">
        <v>2642</v>
      </c>
      <c r="N845" s="4" t="s">
        <v>2644</v>
      </c>
      <c r="O845" s="4" t="s">
        <v>747</v>
      </c>
      <c r="P845" s="4" t="s">
        <v>747</v>
      </c>
      <c r="Q845" s="8" t="s">
        <v>100</v>
      </c>
      <c r="R845" s="9">
        <f t="shared" si="14"/>
        <v>1.2087591532191793E-4</v>
      </c>
      <c r="S845" s="55">
        <f>Tabla3[[#This Row],[Subtotal]]/12</f>
        <v>574165.08333333337</v>
      </c>
    </row>
    <row r="846" spans="1:19" x14ac:dyDescent="0.2">
      <c r="A846" s="4">
        <v>322</v>
      </c>
      <c r="B846" s="2">
        <v>6870912</v>
      </c>
      <c r="C846" s="2">
        <v>0</v>
      </c>
      <c r="D846" s="4" t="s">
        <v>2647</v>
      </c>
      <c r="E846" s="2">
        <v>6870912</v>
      </c>
      <c r="F846" s="2">
        <v>1305473.28</v>
      </c>
      <c r="G846" s="2">
        <v>93961.4</v>
      </c>
      <c r="H846" s="4">
        <v>0</v>
      </c>
      <c r="I846" s="4">
        <v>0</v>
      </c>
      <c r="J846" s="4">
        <v>93961.4</v>
      </c>
      <c r="K846" s="4">
        <v>8082423.8799999999</v>
      </c>
      <c r="L846" s="4" t="s">
        <v>2645</v>
      </c>
      <c r="M846" s="4" t="s">
        <v>2646</v>
      </c>
      <c r="N846" s="4" t="s">
        <v>332</v>
      </c>
      <c r="O846" s="4" t="s">
        <v>1127</v>
      </c>
      <c r="P846" s="4" t="s">
        <v>1127</v>
      </c>
      <c r="Q846" s="8" t="s">
        <v>100</v>
      </c>
      <c r="R846" s="9">
        <f t="shared" si="14"/>
        <v>1.2054137407582833E-4</v>
      </c>
      <c r="S846" s="55">
        <f>Tabla3[[#This Row],[Subtotal]]/12</f>
        <v>572576</v>
      </c>
    </row>
    <row r="847" spans="1:19" x14ac:dyDescent="0.2">
      <c r="A847" s="4">
        <v>999</v>
      </c>
      <c r="B847" s="2">
        <v>6840651</v>
      </c>
      <c r="C847" s="2">
        <v>0</v>
      </c>
      <c r="D847" s="4" t="s">
        <v>2650</v>
      </c>
      <c r="E847" s="2">
        <v>6840651</v>
      </c>
      <c r="F847" s="2">
        <v>1299723.69</v>
      </c>
      <c r="G847" s="2">
        <v>0</v>
      </c>
      <c r="H847" s="4">
        <v>0</v>
      </c>
      <c r="I847" s="4">
        <v>0</v>
      </c>
      <c r="J847" s="4">
        <v>0</v>
      </c>
      <c r="K847" s="4">
        <v>8140374.6900000004</v>
      </c>
      <c r="L847" s="4" t="s">
        <v>2648</v>
      </c>
      <c r="M847" s="4" t="s">
        <v>2649</v>
      </c>
      <c r="N847" s="4" t="s">
        <v>20</v>
      </c>
      <c r="O847" s="4" t="s">
        <v>372</v>
      </c>
      <c r="P847" s="4" t="s">
        <v>372</v>
      </c>
      <c r="Q847" s="8" t="s">
        <v>100</v>
      </c>
      <c r="R847" s="9">
        <f t="shared" si="14"/>
        <v>1.2001048348649919E-4</v>
      </c>
      <c r="S847" s="55">
        <f>Tabla3[[#This Row],[Subtotal]]/12</f>
        <v>570054.25</v>
      </c>
    </row>
    <row r="848" spans="1:19" x14ac:dyDescent="0.2">
      <c r="A848" s="4">
        <v>1345</v>
      </c>
      <c r="B848" s="2">
        <v>6839724</v>
      </c>
      <c r="C848" s="2">
        <v>0</v>
      </c>
      <c r="D848" s="4" t="s">
        <v>2653</v>
      </c>
      <c r="E848" s="2">
        <v>6839724</v>
      </c>
      <c r="F848" s="2">
        <v>1299547.56</v>
      </c>
      <c r="G848" s="2">
        <v>0</v>
      </c>
      <c r="H848" s="4">
        <v>0</v>
      </c>
      <c r="I848" s="4">
        <v>0</v>
      </c>
      <c r="J848" s="4">
        <v>0</v>
      </c>
      <c r="K848" s="4">
        <v>8139271.5599999996</v>
      </c>
      <c r="L848" s="4" t="s">
        <v>2651</v>
      </c>
      <c r="M848" s="4" t="s">
        <v>2652</v>
      </c>
      <c r="N848" s="4" t="s">
        <v>20</v>
      </c>
      <c r="O848" s="4" t="s">
        <v>1157</v>
      </c>
      <c r="P848" s="4" t="s">
        <v>1157</v>
      </c>
      <c r="Q848" s="8" t="s">
        <v>100</v>
      </c>
      <c r="R848" s="9">
        <f t="shared" si="14"/>
        <v>1.1999422045565726E-4</v>
      </c>
      <c r="S848" s="55">
        <f>Tabla3[[#This Row],[Subtotal]]/12</f>
        <v>569977</v>
      </c>
    </row>
    <row r="849" spans="1:19" x14ac:dyDescent="0.2">
      <c r="A849" s="4">
        <v>950</v>
      </c>
      <c r="B849" s="2">
        <v>6820141</v>
      </c>
      <c r="C849" s="2">
        <v>0</v>
      </c>
      <c r="D849" s="4" t="s">
        <v>2656</v>
      </c>
      <c r="E849" s="2">
        <v>6820141</v>
      </c>
      <c r="F849" s="2">
        <v>1295826.79</v>
      </c>
      <c r="G849" s="2">
        <v>87627.5</v>
      </c>
      <c r="H849" s="4">
        <v>0</v>
      </c>
      <c r="I849" s="4">
        <v>0</v>
      </c>
      <c r="J849" s="4">
        <v>87627.5</v>
      </c>
      <c r="K849" s="4">
        <v>8028340.29</v>
      </c>
      <c r="L849" s="4" t="s">
        <v>2654</v>
      </c>
      <c r="M849" s="4" t="s">
        <v>2655</v>
      </c>
      <c r="N849" s="4" t="s">
        <v>2206</v>
      </c>
      <c r="O849" s="4" t="s">
        <v>196</v>
      </c>
      <c r="P849" s="4" t="s">
        <v>196</v>
      </c>
      <c r="Q849" s="8" t="s">
        <v>100</v>
      </c>
      <c r="R849" s="9">
        <f t="shared" si="14"/>
        <v>1.1965066173615583E-4</v>
      </c>
      <c r="S849" s="55">
        <f>Tabla3[[#This Row],[Subtotal]]/12</f>
        <v>568345.08333333337</v>
      </c>
    </row>
    <row r="850" spans="1:19" x14ac:dyDescent="0.2">
      <c r="A850" s="4">
        <v>458</v>
      </c>
      <c r="B850" s="2">
        <v>6802342</v>
      </c>
      <c r="C850" s="2">
        <v>0</v>
      </c>
      <c r="D850" s="4" t="s">
        <v>2659</v>
      </c>
      <c r="E850" s="2">
        <v>6802342</v>
      </c>
      <c r="F850" s="2">
        <v>1292444.98</v>
      </c>
      <c r="G850" s="2">
        <v>151135.43</v>
      </c>
      <c r="H850" s="4">
        <v>0</v>
      </c>
      <c r="I850" s="4">
        <v>0</v>
      </c>
      <c r="J850" s="4">
        <v>151135.43</v>
      </c>
      <c r="K850" s="4">
        <v>7943651.5499999998</v>
      </c>
      <c r="L850" s="4" t="s">
        <v>2657</v>
      </c>
      <c r="M850" s="4" t="s">
        <v>2658</v>
      </c>
      <c r="N850" s="4" t="s">
        <v>20</v>
      </c>
      <c r="O850" s="4" t="s">
        <v>1549</v>
      </c>
      <c r="P850" s="4" t="s">
        <v>1549</v>
      </c>
      <c r="Q850" s="8" t="s">
        <v>100</v>
      </c>
      <c r="R850" s="9">
        <f t="shared" si="14"/>
        <v>1.1933840101775693E-4</v>
      </c>
      <c r="S850" s="55">
        <f>Tabla3[[#This Row],[Subtotal]]/12</f>
        <v>566861.83333333337</v>
      </c>
    </row>
    <row r="851" spans="1:19" x14ac:dyDescent="0.2">
      <c r="A851" s="4">
        <v>598</v>
      </c>
      <c r="B851" s="2">
        <v>6794057</v>
      </c>
      <c r="C851" s="2">
        <v>0</v>
      </c>
      <c r="D851" s="4" t="s">
        <v>2662</v>
      </c>
      <c r="E851" s="2">
        <v>6794057</v>
      </c>
      <c r="F851" s="2">
        <v>1290870.83</v>
      </c>
      <c r="G851" s="2">
        <v>123967.83</v>
      </c>
      <c r="H851" s="4">
        <v>0</v>
      </c>
      <c r="I851" s="4">
        <v>0</v>
      </c>
      <c r="J851" s="4">
        <v>123967.83</v>
      </c>
      <c r="K851" s="4">
        <v>7960960</v>
      </c>
      <c r="L851" s="4" t="s">
        <v>2660</v>
      </c>
      <c r="M851" s="4" t="s">
        <v>2661</v>
      </c>
      <c r="N851" s="4" t="s">
        <v>20</v>
      </c>
      <c r="O851" s="4" t="s">
        <v>1043</v>
      </c>
      <c r="P851" s="4" t="s">
        <v>1043</v>
      </c>
      <c r="Q851" s="8" t="s">
        <v>100</v>
      </c>
      <c r="R851" s="9">
        <f t="shared" si="14"/>
        <v>1.1919305127608971E-4</v>
      </c>
      <c r="S851" s="55">
        <f>Tabla3[[#This Row],[Subtotal]]/12</f>
        <v>566171.41666666663</v>
      </c>
    </row>
    <row r="852" spans="1:19" x14ac:dyDescent="0.2">
      <c r="A852" s="4">
        <v>465</v>
      </c>
      <c r="B852" s="2">
        <v>6739991</v>
      </c>
      <c r="C852" s="2">
        <v>0</v>
      </c>
      <c r="D852" s="4" t="s">
        <v>2665</v>
      </c>
      <c r="E852" s="2">
        <v>6739991</v>
      </c>
      <c r="F852" s="2">
        <v>1280598.29</v>
      </c>
      <c r="G852" s="2">
        <v>123910.73</v>
      </c>
      <c r="H852" s="4">
        <v>0</v>
      </c>
      <c r="I852" s="4">
        <v>0</v>
      </c>
      <c r="J852" s="4">
        <v>123910.73</v>
      </c>
      <c r="K852" s="4">
        <v>7896678.5599999996</v>
      </c>
      <c r="L852" s="4" t="s">
        <v>2663</v>
      </c>
      <c r="M852" s="4" t="s">
        <v>2664</v>
      </c>
      <c r="N852" s="4" t="s">
        <v>20</v>
      </c>
      <c r="O852" s="4" t="s">
        <v>631</v>
      </c>
      <c r="P852" s="4" t="s">
        <v>631</v>
      </c>
      <c r="Q852" s="8" t="s">
        <v>100</v>
      </c>
      <c r="R852" s="9">
        <f t="shared" si="14"/>
        <v>1.1824453237047954E-4</v>
      </c>
      <c r="S852" s="55">
        <f>Tabla3[[#This Row],[Subtotal]]/12</f>
        <v>561665.91666666663</v>
      </c>
    </row>
    <row r="853" spans="1:19" x14ac:dyDescent="0.2">
      <c r="A853" s="4">
        <v>578</v>
      </c>
      <c r="B853" s="2">
        <v>6674547</v>
      </c>
      <c r="C853" s="2">
        <v>0</v>
      </c>
      <c r="D853" s="4" t="s">
        <v>2668</v>
      </c>
      <c r="E853" s="2">
        <v>6674547</v>
      </c>
      <c r="F853" s="2">
        <v>1268163.93</v>
      </c>
      <c r="G853" s="2">
        <v>86289.3</v>
      </c>
      <c r="H853" s="4">
        <v>0</v>
      </c>
      <c r="I853" s="4">
        <v>0</v>
      </c>
      <c r="J853" s="4">
        <v>86289.3</v>
      </c>
      <c r="K853" s="4">
        <v>7856421.6299999999</v>
      </c>
      <c r="L853" s="4" t="s">
        <v>2666</v>
      </c>
      <c r="M853" s="4" t="s">
        <v>2667</v>
      </c>
      <c r="N853" s="4" t="s">
        <v>20</v>
      </c>
      <c r="O853" s="4" t="s">
        <v>257</v>
      </c>
      <c r="P853" s="4" t="s">
        <v>257</v>
      </c>
      <c r="Q853" s="8" t="s">
        <v>100</v>
      </c>
      <c r="R853" s="9">
        <f t="shared" si="14"/>
        <v>1.170964009892279E-4</v>
      </c>
      <c r="S853" s="55">
        <f>Tabla3[[#This Row],[Subtotal]]/12</f>
        <v>556212.25</v>
      </c>
    </row>
    <row r="854" spans="1:19" x14ac:dyDescent="0.2">
      <c r="A854" s="4">
        <v>325</v>
      </c>
      <c r="B854" s="2">
        <v>6648338</v>
      </c>
      <c r="C854" s="2">
        <v>0</v>
      </c>
      <c r="D854" s="4" t="s">
        <v>2671</v>
      </c>
      <c r="E854" s="2">
        <v>6648338</v>
      </c>
      <c r="F854" s="2">
        <v>1263184.22</v>
      </c>
      <c r="G854" s="2">
        <v>0</v>
      </c>
      <c r="H854" s="4">
        <v>0</v>
      </c>
      <c r="I854" s="4">
        <v>0</v>
      </c>
      <c r="J854" s="4">
        <v>0</v>
      </c>
      <c r="K854" s="4">
        <v>7911522.2199999997</v>
      </c>
      <c r="L854" s="4" t="s">
        <v>2669</v>
      </c>
      <c r="M854" s="4" t="s">
        <v>2670</v>
      </c>
      <c r="N854" s="4" t="s">
        <v>20</v>
      </c>
      <c r="O854" s="4" t="s">
        <v>631</v>
      </c>
      <c r="P854" s="4" t="s">
        <v>631</v>
      </c>
      <c r="Q854" s="8" t="s">
        <v>100</v>
      </c>
      <c r="R854" s="9">
        <f t="shared" si="14"/>
        <v>1.1663659756383788E-4</v>
      </c>
      <c r="S854" s="55">
        <f>Tabla3[[#This Row],[Subtotal]]/12</f>
        <v>554028.16666666663</v>
      </c>
    </row>
    <row r="855" spans="1:19" x14ac:dyDescent="0.2">
      <c r="A855" s="4">
        <v>478</v>
      </c>
      <c r="B855" s="2">
        <v>6628499</v>
      </c>
      <c r="C855" s="2">
        <v>0</v>
      </c>
      <c r="D855" s="4" t="s">
        <v>2674</v>
      </c>
      <c r="E855" s="2">
        <v>6628499</v>
      </c>
      <c r="F855" s="2">
        <v>1259414.81</v>
      </c>
      <c r="G855" s="2">
        <v>0</v>
      </c>
      <c r="H855" s="4">
        <v>0</v>
      </c>
      <c r="I855" s="4">
        <v>0</v>
      </c>
      <c r="J855" s="4">
        <v>0</v>
      </c>
      <c r="K855" s="4">
        <v>7887913.8099999996</v>
      </c>
      <c r="L855" s="4" t="s">
        <v>2672</v>
      </c>
      <c r="M855" s="4" t="s">
        <v>2673</v>
      </c>
      <c r="N855" s="4" t="s">
        <v>32</v>
      </c>
      <c r="O855" s="4" t="s">
        <v>33</v>
      </c>
      <c r="P855" s="4" t="s">
        <v>33</v>
      </c>
      <c r="Q855" s="8" t="s">
        <v>100</v>
      </c>
      <c r="R855" s="9">
        <f t="shared" si="14"/>
        <v>1.1628854765135314E-4</v>
      </c>
      <c r="S855" s="55">
        <f>Tabla3[[#This Row],[Subtotal]]/12</f>
        <v>552374.91666666663</v>
      </c>
    </row>
    <row r="856" spans="1:19" x14ac:dyDescent="0.2">
      <c r="A856" s="4">
        <v>230</v>
      </c>
      <c r="B856" s="2">
        <v>6620734</v>
      </c>
      <c r="C856" s="2">
        <v>0</v>
      </c>
      <c r="D856" s="4" t="s">
        <v>2677</v>
      </c>
      <c r="E856" s="2">
        <v>6620734</v>
      </c>
      <c r="F856" s="2">
        <v>1257939.46</v>
      </c>
      <c r="G856" s="2">
        <v>0</v>
      </c>
      <c r="H856" s="4">
        <v>0</v>
      </c>
      <c r="I856" s="4">
        <v>0</v>
      </c>
      <c r="J856" s="4">
        <v>0</v>
      </c>
      <c r="K856" s="4">
        <v>7878673.46</v>
      </c>
      <c r="L856" s="4" t="s">
        <v>2675</v>
      </c>
      <c r="M856" s="4" t="s">
        <v>2676</v>
      </c>
      <c r="N856" s="4" t="s">
        <v>20</v>
      </c>
      <c r="O856" s="4" t="s">
        <v>316</v>
      </c>
      <c r="P856" s="4" t="s">
        <v>316</v>
      </c>
      <c r="Q856" s="8" t="s">
        <v>100</v>
      </c>
      <c r="R856" s="9">
        <f t="shared" si="14"/>
        <v>1.1615232064543328E-4</v>
      </c>
      <c r="S856" s="55">
        <f>Tabla3[[#This Row],[Subtotal]]/12</f>
        <v>551727.83333333337</v>
      </c>
    </row>
    <row r="857" spans="1:19" x14ac:dyDescent="0.2">
      <c r="A857" s="4">
        <v>1146</v>
      </c>
      <c r="B857" s="2">
        <v>6593871</v>
      </c>
      <c r="C857" s="2">
        <v>0</v>
      </c>
      <c r="D857" s="4" t="s">
        <v>2680</v>
      </c>
      <c r="E857" s="2">
        <v>6593871</v>
      </c>
      <c r="F857" s="2">
        <v>1252835.49</v>
      </c>
      <c r="G857" s="2">
        <v>0</v>
      </c>
      <c r="H857" s="4">
        <v>0</v>
      </c>
      <c r="I857" s="4">
        <v>0</v>
      </c>
      <c r="J857" s="4">
        <v>0</v>
      </c>
      <c r="K857" s="4">
        <v>7846706.4900000002</v>
      </c>
      <c r="L857" s="4" t="s">
        <v>2678</v>
      </c>
      <c r="M857" s="4" t="s">
        <v>2679</v>
      </c>
      <c r="N857" s="4" t="s">
        <v>1510</v>
      </c>
      <c r="O857" s="4" t="s">
        <v>89</v>
      </c>
      <c r="P857" s="4" t="s">
        <v>89</v>
      </c>
      <c r="Q857" s="8" t="s">
        <v>100</v>
      </c>
      <c r="R857" s="9">
        <f t="shared" si="14"/>
        <v>1.1568104362546868E-4</v>
      </c>
      <c r="S857" s="55">
        <f>Tabla3[[#This Row],[Subtotal]]/12</f>
        <v>549489.25</v>
      </c>
    </row>
    <row r="858" spans="1:19" x14ac:dyDescent="0.2">
      <c r="A858" s="4">
        <v>9</v>
      </c>
      <c r="B858" s="2">
        <v>6581272</v>
      </c>
      <c r="C858" s="2">
        <v>0</v>
      </c>
      <c r="D858" s="4" t="s">
        <v>2682</v>
      </c>
      <c r="E858" s="2">
        <v>6581272</v>
      </c>
      <c r="F858" s="2">
        <v>1250441.68</v>
      </c>
      <c r="G858" s="2">
        <v>164531.79999999999</v>
      </c>
      <c r="H858" s="4">
        <v>0</v>
      </c>
      <c r="I858" s="4">
        <v>0</v>
      </c>
      <c r="J858" s="4">
        <v>164531.79999999999</v>
      </c>
      <c r="K858" s="4">
        <v>7667181.8799999999</v>
      </c>
      <c r="L858" s="4" t="s">
        <v>2681</v>
      </c>
      <c r="M858" s="4" t="s">
        <v>1788</v>
      </c>
      <c r="N858" s="4" t="s">
        <v>1588</v>
      </c>
      <c r="O858" s="4" t="s">
        <v>89</v>
      </c>
      <c r="P858" s="4" t="s">
        <v>89</v>
      </c>
      <c r="Q858" s="8" t="s">
        <v>100</v>
      </c>
      <c r="R858" s="9">
        <f t="shared" si="14"/>
        <v>1.1546001026454347E-4</v>
      </c>
      <c r="S858" s="55">
        <f>Tabla3[[#This Row],[Subtotal]]/12</f>
        <v>548439.33333333337</v>
      </c>
    </row>
    <row r="859" spans="1:19" x14ac:dyDescent="0.2">
      <c r="A859" s="4">
        <v>630</v>
      </c>
      <c r="B859" s="2">
        <v>6566082</v>
      </c>
      <c r="C859" s="2">
        <v>0</v>
      </c>
      <c r="D859" s="4" t="s">
        <v>2685</v>
      </c>
      <c r="E859" s="2">
        <v>6566082</v>
      </c>
      <c r="F859" s="2">
        <v>1247555.58</v>
      </c>
      <c r="G859" s="2">
        <v>0</v>
      </c>
      <c r="H859" s="4">
        <v>0</v>
      </c>
      <c r="I859" s="4">
        <v>0</v>
      </c>
      <c r="J859" s="4">
        <v>0</v>
      </c>
      <c r="K859" s="4">
        <v>7813637.5800000001</v>
      </c>
      <c r="L859" s="4" t="s">
        <v>2683</v>
      </c>
      <c r="M859" s="4" t="s">
        <v>2684</v>
      </c>
      <c r="N859" s="4" t="s">
        <v>20</v>
      </c>
      <c r="O859" s="4" t="s">
        <v>257</v>
      </c>
      <c r="P859" s="4" t="s">
        <v>257</v>
      </c>
      <c r="Q859" s="8" t="s">
        <v>100</v>
      </c>
      <c r="R859" s="9">
        <f t="shared" si="14"/>
        <v>1.1519352111838474E-4</v>
      </c>
      <c r="S859" s="55">
        <f>Tabla3[[#This Row],[Subtotal]]/12</f>
        <v>547173.5</v>
      </c>
    </row>
    <row r="860" spans="1:19" x14ac:dyDescent="0.2">
      <c r="A860" s="4">
        <v>1566</v>
      </c>
      <c r="B860" s="2">
        <v>6560977</v>
      </c>
      <c r="C860" s="2">
        <v>0</v>
      </c>
      <c r="D860" s="4" t="s">
        <v>2688</v>
      </c>
      <c r="E860" s="2">
        <v>6560977</v>
      </c>
      <c r="F860" s="2">
        <v>1246585.6299999999</v>
      </c>
      <c r="G860" s="2">
        <v>0</v>
      </c>
      <c r="H860" s="4">
        <v>0</v>
      </c>
      <c r="I860" s="4">
        <v>0</v>
      </c>
      <c r="J860" s="4">
        <v>0</v>
      </c>
      <c r="K860" s="4">
        <v>7807562.6299999999</v>
      </c>
      <c r="L860" s="4" t="s">
        <v>2686</v>
      </c>
      <c r="M860" s="4" t="s">
        <v>2687</v>
      </c>
      <c r="N860" s="4" t="s">
        <v>32</v>
      </c>
      <c r="O860" s="4" t="s">
        <v>33</v>
      </c>
      <c r="P860" s="4" t="s">
        <v>33</v>
      </c>
      <c r="Q860" s="8" t="s">
        <v>100</v>
      </c>
      <c r="R860" s="9">
        <f t="shared" si="14"/>
        <v>1.1510396041455719E-4</v>
      </c>
      <c r="S860" s="55">
        <f>Tabla3[[#This Row],[Subtotal]]/12</f>
        <v>546748.08333333337</v>
      </c>
    </row>
    <row r="861" spans="1:19" x14ac:dyDescent="0.2">
      <c r="A861" s="4">
        <v>523</v>
      </c>
      <c r="B861" s="2">
        <v>6548270</v>
      </c>
      <c r="C861" s="2">
        <v>0</v>
      </c>
      <c r="D861" s="4" t="s">
        <v>2691</v>
      </c>
      <c r="E861" s="2">
        <v>6548270</v>
      </c>
      <c r="F861" s="2">
        <v>1244171.3</v>
      </c>
      <c r="G861" s="2">
        <v>0</v>
      </c>
      <c r="H861" s="4">
        <v>0</v>
      </c>
      <c r="I861" s="4">
        <v>0</v>
      </c>
      <c r="J861" s="4">
        <v>0</v>
      </c>
      <c r="K861" s="4">
        <v>7792441.2999999998</v>
      </c>
      <c r="L861" s="4" t="s">
        <v>2689</v>
      </c>
      <c r="M861" s="4" t="s">
        <v>2690</v>
      </c>
      <c r="N861" s="4" t="s">
        <v>20</v>
      </c>
      <c r="O861" s="4" t="s">
        <v>631</v>
      </c>
      <c r="P861" s="4" t="s">
        <v>631</v>
      </c>
      <c r="Q861" s="8" t="s">
        <v>100</v>
      </c>
      <c r="R861" s="9">
        <f t="shared" si="14"/>
        <v>1.1488103233159214E-4</v>
      </c>
      <c r="S861" s="55">
        <f>Tabla3[[#This Row],[Subtotal]]/12</f>
        <v>545689.16666666663</v>
      </c>
    </row>
    <row r="862" spans="1:19" x14ac:dyDescent="0.2">
      <c r="A862" s="4">
        <v>1669</v>
      </c>
      <c r="B862" s="2">
        <v>6537985</v>
      </c>
      <c r="C862" s="2">
        <v>0</v>
      </c>
      <c r="D862" s="4" t="s">
        <v>2694</v>
      </c>
      <c r="E862" s="2">
        <v>6537985</v>
      </c>
      <c r="F862" s="2">
        <v>1242217.1499999999</v>
      </c>
      <c r="G862" s="2">
        <v>0</v>
      </c>
      <c r="H862" s="4">
        <v>0</v>
      </c>
      <c r="I862" s="4">
        <v>0</v>
      </c>
      <c r="J862" s="4">
        <v>0</v>
      </c>
      <c r="K862" s="4">
        <v>7780202.1500000004</v>
      </c>
      <c r="L862" s="4" t="s">
        <v>2692</v>
      </c>
      <c r="M862" s="4" t="s">
        <v>2693</v>
      </c>
      <c r="N862" s="4" t="s">
        <v>975</v>
      </c>
      <c r="O862" s="4" t="s">
        <v>89</v>
      </c>
      <c r="P862" s="4" t="s">
        <v>89</v>
      </c>
      <c r="Q862" s="8" t="s">
        <v>100</v>
      </c>
      <c r="R862" s="9">
        <f t="shared" si="14"/>
        <v>1.1470059514474273E-4</v>
      </c>
      <c r="S862" s="55">
        <f>Tabla3[[#This Row],[Subtotal]]/12</f>
        <v>544832.08333333337</v>
      </c>
    </row>
    <row r="863" spans="1:19" x14ac:dyDescent="0.2">
      <c r="A863" s="4">
        <v>615</v>
      </c>
      <c r="B863" s="2">
        <v>6537049</v>
      </c>
      <c r="C863" s="2">
        <v>0</v>
      </c>
      <c r="D863" s="4" t="s">
        <v>2697</v>
      </c>
      <c r="E863" s="2">
        <v>6537049</v>
      </c>
      <c r="F863" s="2">
        <v>1242039.31</v>
      </c>
      <c r="G863" s="2">
        <v>0</v>
      </c>
      <c r="H863" s="4">
        <v>0</v>
      </c>
      <c r="I863" s="4">
        <v>0</v>
      </c>
      <c r="J863" s="4">
        <v>0</v>
      </c>
      <c r="K863" s="4">
        <v>7779088.3099999996</v>
      </c>
      <c r="L863" s="4" t="s">
        <v>2695</v>
      </c>
      <c r="M863" s="4" t="s">
        <v>2696</v>
      </c>
      <c r="N863" s="4" t="s">
        <v>746</v>
      </c>
      <c r="O863" s="4" t="s">
        <v>747</v>
      </c>
      <c r="P863" s="4" t="s">
        <v>747</v>
      </c>
      <c r="Q863" s="8" t="s">
        <v>100</v>
      </c>
      <c r="R863" s="9">
        <f t="shared" si="14"/>
        <v>1.1468417422039746E-4</v>
      </c>
      <c r="S863" s="55">
        <f>Tabla3[[#This Row],[Subtotal]]/12</f>
        <v>544754.08333333337</v>
      </c>
    </row>
    <row r="864" spans="1:19" x14ac:dyDescent="0.2">
      <c r="A864" s="4">
        <v>654</v>
      </c>
      <c r="B864" s="2">
        <v>6526411</v>
      </c>
      <c r="C864" s="2">
        <v>0</v>
      </c>
      <c r="D864" s="4" t="s">
        <v>2700</v>
      </c>
      <c r="E864" s="2">
        <v>6526411</v>
      </c>
      <c r="F864" s="2">
        <v>1240018.0900000001</v>
      </c>
      <c r="G864" s="2">
        <v>0</v>
      </c>
      <c r="H864" s="4">
        <v>0</v>
      </c>
      <c r="I864" s="4">
        <v>0</v>
      </c>
      <c r="J864" s="4">
        <v>0</v>
      </c>
      <c r="K864" s="4">
        <v>7766429.0899999999</v>
      </c>
      <c r="L864" s="4" t="s">
        <v>2698</v>
      </c>
      <c r="M864" s="4" t="s">
        <v>2699</v>
      </c>
      <c r="N864" s="4" t="s">
        <v>2701</v>
      </c>
      <c r="O864" s="4" t="s">
        <v>196</v>
      </c>
      <c r="P864" s="4" t="s">
        <v>196</v>
      </c>
      <c r="Q864" s="8" t="s">
        <v>100</v>
      </c>
      <c r="R864" s="9">
        <f t="shared" si="14"/>
        <v>1.1449754409947339E-4</v>
      </c>
      <c r="S864" s="55">
        <f>Tabla3[[#This Row],[Subtotal]]/12</f>
        <v>543867.58333333337</v>
      </c>
    </row>
    <row r="865" spans="1:19" x14ac:dyDescent="0.2">
      <c r="A865" s="4">
        <v>972</v>
      </c>
      <c r="B865" s="2">
        <v>6524135</v>
      </c>
      <c r="C865" s="2">
        <v>0</v>
      </c>
      <c r="D865" s="4" t="s">
        <v>2704</v>
      </c>
      <c r="E865" s="2">
        <v>6524135</v>
      </c>
      <c r="F865" s="2">
        <v>1239585.6499999999</v>
      </c>
      <c r="G865" s="2">
        <v>59779.76</v>
      </c>
      <c r="H865" s="4">
        <v>0</v>
      </c>
      <c r="I865" s="4">
        <v>0</v>
      </c>
      <c r="J865" s="4">
        <v>59779.76</v>
      </c>
      <c r="K865" s="4">
        <v>7703940.8899999997</v>
      </c>
      <c r="L865" s="4" t="s">
        <v>2702</v>
      </c>
      <c r="M865" s="4" t="s">
        <v>2703</v>
      </c>
      <c r="N865" s="4" t="s">
        <v>648</v>
      </c>
      <c r="O865" s="4" t="s">
        <v>340</v>
      </c>
      <c r="P865" s="4" t="s">
        <v>340</v>
      </c>
      <c r="Q865" s="8" t="s">
        <v>100</v>
      </c>
      <c r="R865" s="9">
        <f t="shared" si="14"/>
        <v>1.1445761458685605E-4</v>
      </c>
      <c r="S865" s="55">
        <f>Tabla3[[#This Row],[Subtotal]]/12</f>
        <v>543677.91666666663</v>
      </c>
    </row>
    <row r="866" spans="1:19" x14ac:dyDescent="0.2">
      <c r="A866" s="4">
        <v>736</v>
      </c>
      <c r="B866" s="2">
        <v>6573468</v>
      </c>
      <c r="C866" s="2">
        <v>88383.6</v>
      </c>
      <c r="D866" s="4" t="s">
        <v>2707</v>
      </c>
      <c r="E866" s="2">
        <v>6485084.4000000004</v>
      </c>
      <c r="F866" s="2">
        <v>1232166.04</v>
      </c>
      <c r="G866" s="2">
        <v>0</v>
      </c>
      <c r="H866" s="4">
        <v>0</v>
      </c>
      <c r="I866" s="4">
        <v>0</v>
      </c>
      <c r="J866" s="4">
        <v>0</v>
      </c>
      <c r="K866" s="4">
        <v>7717250.4400000004</v>
      </c>
      <c r="L866" s="4" t="s">
        <v>2705</v>
      </c>
      <c r="M866" s="4" t="s">
        <v>2706</v>
      </c>
      <c r="N866" s="4" t="s">
        <v>20</v>
      </c>
      <c r="O866" s="4" t="s">
        <v>71</v>
      </c>
      <c r="P866" s="4" t="s">
        <v>71</v>
      </c>
      <c r="Q866" s="8" t="s">
        <v>100</v>
      </c>
      <c r="R866" s="9">
        <f t="shared" si="14"/>
        <v>1.1377252169344023E-4</v>
      </c>
      <c r="S866" s="55">
        <f>Tabla3[[#This Row],[Subtotal]]/12</f>
        <v>540423.70000000007</v>
      </c>
    </row>
    <row r="867" spans="1:19" x14ac:dyDescent="0.2">
      <c r="A867" s="4">
        <v>1234</v>
      </c>
      <c r="B867" s="2">
        <v>6805932.5999999996</v>
      </c>
      <c r="C867" s="2">
        <v>340296.63</v>
      </c>
      <c r="D867" s="4" t="s">
        <v>2710</v>
      </c>
      <c r="E867" s="2">
        <v>6465635.9699999997</v>
      </c>
      <c r="F867" s="2">
        <v>1228470.83</v>
      </c>
      <c r="G867" s="2">
        <v>0</v>
      </c>
      <c r="H867" s="4">
        <v>0</v>
      </c>
      <c r="I867" s="4">
        <v>0</v>
      </c>
      <c r="J867" s="4">
        <v>0</v>
      </c>
      <c r="K867" s="4">
        <v>7694106.7999999998</v>
      </c>
      <c r="L867" s="4" t="s">
        <v>2708</v>
      </c>
      <c r="M867" s="4" t="s">
        <v>2709</v>
      </c>
      <c r="N867" s="4" t="s">
        <v>20</v>
      </c>
      <c r="O867" s="4" t="s">
        <v>900</v>
      </c>
      <c r="P867" s="4" t="s">
        <v>900</v>
      </c>
      <c r="Q867" s="8" t="s">
        <v>144</v>
      </c>
      <c r="R867" s="9">
        <f t="shared" si="14"/>
        <v>1.1343132383268788E-4</v>
      </c>
      <c r="S867" s="55">
        <f>Tabla3[[#This Row],[Subtotal]]/12</f>
        <v>538802.99749999994</v>
      </c>
    </row>
    <row r="868" spans="1:19" x14ac:dyDescent="0.2">
      <c r="A868" s="4">
        <v>1437</v>
      </c>
      <c r="B868" s="2">
        <v>6455840</v>
      </c>
      <c r="C868" s="2">
        <v>0</v>
      </c>
      <c r="D868" s="4" t="s">
        <v>2713</v>
      </c>
      <c r="E868" s="2">
        <v>6455840</v>
      </c>
      <c r="F868" s="2">
        <v>1226609.6000000001</v>
      </c>
      <c r="G868" s="2">
        <v>161396</v>
      </c>
      <c r="H868" s="4">
        <v>0</v>
      </c>
      <c r="I868" s="4">
        <v>0</v>
      </c>
      <c r="J868" s="4">
        <v>161396</v>
      </c>
      <c r="K868" s="4">
        <v>7521053.5999999996</v>
      </c>
      <c r="L868" s="4" t="s">
        <v>2711</v>
      </c>
      <c r="M868" s="4" t="s">
        <v>2712</v>
      </c>
      <c r="N868" s="4" t="s">
        <v>20</v>
      </c>
      <c r="O868" s="4" t="s">
        <v>71</v>
      </c>
      <c r="P868" s="4" t="s">
        <v>71</v>
      </c>
      <c r="Q868" s="8" t="s">
        <v>100</v>
      </c>
      <c r="R868" s="9">
        <f t="shared" si="14"/>
        <v>1.1325946605249719E-4</v>
      </c>
      <c r="S868" s="55">
        <f>Tabla3[[#This Row],[Subtotal]]/12</f>
        <v>537986.66666666663</v>
      </c>
    </row>
    <row r="869" spans="1:19" x14ac:dyDescent="0.2">
      <c r="A869" s="4">
        <v>1420</v>
      </c>
      <c r="B869" s="2">
        <v>6450000</v>
      </c>
      <c r="C869" s="2">
        <v>0</v>
      </c>
      <c r="D869" s="4" t="s">
        <v>2716</v>
      </c>
      <c r="E869" s="2">
        <v>6450000</v>
      </c>
      <c r="F869" s="2">
        <v>1225500</v>
      </c>
      <c r="G869" s="2">
        <v>0</v>
      </c>
      <c r="H869" s="4">
        <v>0</v>
      </c>
      <c r="I869" s="4">
        <v>0</v>
      </c>
      <c r="J869" s="4">
        <v>0</v>
      </c>
      <c r="K869" s="4">
        <v>7675500</v>
      </c>
      <c r="L869" s="4" t="s">
        <v>2714</v>
      </c>
      <c r="M869" s="4" t="s">
        <v>2715</v>
      </c>
      <c r="N869" s="4" t="s">
        <v>63</v>
      </c>
      <c r="O869" s="4" t="s">
        <v>33</v>
      </c>
      <c r="P869" s="4" t="s">
        <v>33</v>
      </c>
      <c r="Q869" s="8" t="s">
        <v>100</v>
      </c>
      <c r="R869" s="9">
        <f t="shared" si="14"/>
        <v>1.1315701071256519E-4</v>
      </c>
      <c r="S869" s="55">
        <f>Tabla3[[#This Row],[Subtotal]]/12</f>
        <v>537500</v>
      </c>
    </row>
    <row r="870" spans="1:19" x14ac:dyDescent="0.2">
      <c r="A870" s="4">
        <v>834</v>
      </c>
      <c r="B870" s="2">
        <v>6436461</v>
      </c>
      <c r="C870" s="2">
        <v>0</v>
      </c>
      <c r="D870" s="4" t="s">
        <v>2719</v>
      </c>
      <c r="E870" s="2">
        <v>6436461</v>
      </c>
      <c r="F870" s="2">
        <v>1222927.5900000001</v>
      </c>
      <c r="G870" s="2">
        <v>0</v>
      </c>
      <c r="H870" s="4">
        <v>0</v>
      </c>
      <c r="I870" s="4">
        <v>0</v>
      </c>
      <c r="J870" s="4">
        <v>0</v>
      </c>
      <c r="K870" s="4">
        <v>7659388.5899999999</v>
      </c>
      <c r="L870" s="4" t="s">
        <v>2717</v>
      </c>
      <c r="M870" s="4" t="s">
        <v>2718</v>
      </c>
      <c r="N870" s="4" t="s">
        <v>20</v>
      </c>
      <c r="O870" s="4" t="s">
        <v>1356</v>
      </c>
      <c r="P870" s="4" t="s">
        <v>1356</v>
      </c>
      <c r="Q870" s="8" t="s">
        <v>100</v>
      </c>
      <c r="R870" s="9">
        <f t="shared" si="14"/>
        <v>1.1291948625240436E-4</v>
      </c>
      <c r="S870" s="55">
        <f>Tabla3[[#This Row],[Subtotal]]/12</f>
        <v>536371.75</v>
      </c>
    </row>
    <row r="871" spans="1:19" x14ac:dyDescent="0.2">
      <c r="A871" s="4">
        <v>1615</v>
      </c>
      <c r="B871" s="2">
        <v>6421181</v>
      </c>
      <c r="C871" s="2">
        <v>0</v>
      </c>
      <c r="D871" s="4" t="s">
        <v>2722</v>
      </c>
      <c r="E871" s="2">
        <v>6421181</v>
      </c>
      <c r="F871" s="2">
        <v>1220024.3899999999</v>
      </c>
      <c r="G871" s="2">
        <v>160529.53</v>
      </c>
      <c r="H871" s="4">
        <v>0</v>
      </c>
      <c r="I871" s="4">
        <v>0</v>
      </c>
      <c r="J871" s="4">
        <v>160529.53</v>
      </c>
      <c r="K871" s="4">
        <v>7480675.8600000003</v>
      </c>
      <c r="L871" s="4" t="s">
        <v>2720</v>
      </c>
      <c r="M871" s="4" t="s">
        <v>2721</v>
      </c>
      <c r="N871" s="4" t="s">
        <v>853</v>
      </c>
      <c r="O871" s="4" t="s">
        <v>196</v>
      </c>
      <c r="P871" s="4" t="s">
        <v>1039</v>
      </c>
      <c r="Q871" s="8" t="s">
        <v>100</v>
      </c>
      <c r="R871" s="9">
        <f t="shared" si="14"/>
        <v>1.1265141817121242E-4</v>
      </c>
      <c r="S871" s="55">
        <f>Tabla3[[#This Row],[Subtotal]]/12</f>
        <v>535098.41666666663</v>
      </c>
    </row>
    <row r="872" spans="1:19" x14ac:dyDescent="0.2">
      <c r="A872" s="4">
        <v>1082</v>
      </c>
      <c r="B872" s="2">
        <v>6417344</v>
      </c>
      <c r="C872" s="2">
        <v>0</v>
      </c>
      <c r="D872" s="4" t="s">
        <v>2725</v>
      </c>
      <c r="E872" s="2">
        <v>6417344</v>
      </c>
      <c r="F872" s="2">
        <v>1219295.3600000001</v>
      </c>
      <c r="G872" s="2">
        <v>0</v>
      </c>
      <c r="H872" s="4">
        <v>0</v>
      </c>
      <c r="I872" s="4">
        <v>0</v>
      </c>
      <c r="J872" s="4">
        <v>0</v>
      </c>
      <c r="K872" s="4">
        <v>7636639.3600000003</v>
      </c>
      <c r="L872" s="4" t="s">
        <v>2723</v>
      </c>
      <c r="M872" s="4" t="s">
        <v>2724</v>
      </c>
      <c r="N872" s="4" t="s">
        <v>272</v>
      </c>
      <c r="O872" s="4" t="s">
        <v>89</v>
      </c>
      <c r="P872" s="4" t="s">
        <v>89</v>
      </c>
      <c r="Q872" s="8" t="s">
        <v>100</v>
      </c>
      <c r="R872" s="9">
        <f t="shared" si="14"/>
        <v>1.1258410290763039E-4</v>
      </c>
      <c r="S872" s="55">
        <f>Tabla3[[#This Row],[Subtotal]]/12</f>
        <v>534778.66666666663</v>
      </c>
    </row>
    <row r="873" spans="1:19" x14ac:dyDescent="0.2">
      <c r="A873" s="4">
        <v>1086</v>
      </c>
      <c r="B873" s="2">
        <v>6404063</v>
      </c>
      <c r="C873" s="2">
        <v>0</v>
      </c>
      <c r="D873" s="4" t="s">
        <v>2728</v>
      </c>
      <c r="E873" s="2">
        <v>6404063</v>
      </c>
      <c r="F873" s="2">
        <v>1216771.97</v>
      </c>
      <c r="G873" s="2">
        <v>0</v>
      </c>
      <c r="H873" s="4">
        <v>0</v>
      </c>
      <c r="I873" s="4">
        <v>0</v>
      </c>
      <c r="J873" s="4">
        <v>0</v>
      </c>
      <c r="K873" s="4">
        <v>7620834.9699999997</v>
      </c>
      <c r="L873" s="4" t="s">
        <v>2726</v>
      </c>
      <c r="M873" s="4" t="s">
        <v>2727</v>
      </c>
      <c r="N873" s="4" t="s">
        <v>20</v>
      </c>
      <c r="O873" s="4" t="s">
        <v>316</v>
      </c>
      <c r="P873" s="4" t="s">
        <v>316</v>
      </c>
      <c r="Q873" s="8" t="s">
        <v>100</v>
      </c>
      <c r="R873" s="9">
        <f t="shared" si="14"/>
        <v>1.1235110472789805E-4</v>
      </c>
      <c r="S873" s="55">
        <f>Tabla3[[#This Row],[Subtotal]]/12</f>
        <v>533671.91666666663</v>
      </c>
    </row>
    <row r="874" spans="1:19" x14ac:dyDescent="0.2">
      <c r="A874" s="4">
        <v>1620</v>
      </c>
      <c r="B874" s="2">
        <v>6380469</v>
      </c>
      <c r="C874" s="2">
        <v>0</v>
      </c>
      <c r="D874" s="4" t="s">
        <v>2731</v>
      </c>
      <c r="E874" s="2">
        <v>6380469</v>
      </c>
      <c r="F874" s="2">
        <v>1212289.1100000001</v>
      </c>
      <c r="G874" s="2">
        <v>0</v>
      </c>
      <c r="H874" s="4">
        <v>0</v>
      </c>
      <c r="I874" s="4">
        <v>0</v>
      </c>
      <c r="J874" s="4">
        <v>0</v>
      </c>
      <c r="K874" s="4">
        <v>7592758.1100000003</v>
      </c>
      <c r="L874" s="4" t="s">
        <v>2729</v>
      </c>
      <c r="M874" s="4" t="s">
        <v>2730</v>
      </c>
      <c r="N874" s="4" t="s">
        <v>427</v>
      </c>
      <c r="O874" s="4" t="s">
        <v>89</v>
      </c>
      <c r="P874" s="4" t="s">
        <v>89</v>
      </c>
      <c r="Q874" s="8" t="s">
        <v>100</v>
      </c>
      <c r="R874" s="9">
        <f t="shared" si="14"/>
        <v>1.1193717813708375E-4</v>
      </c>
      <c r="S874" s="55">
        <f>Tabla3[[#This Row],[Subtotal]]/12</f>
        <v>531705.75</v>
      </c>
    </row>
    <row r="875" spans="1:19" x14ac:dyDescent="0.2">
      <c r="A875" s="4">
        <v>853</v>
      </c>
      <c r="B875" s="2">
        <v>6378256</v>
      </c>
      <c r="C875" s="2">
        <v>0</v>
      </c>
      <c r="D875" s="4" t="s">
        <v>2734</v>
      </c>
      <c r="E875" s="2">
        <v>6378256</v>
      </c>
      <c r="F875" s="2">
        <v>1211868.6399999999</v>
      </c>
      <c r="G875" s="2">
        <v>0</v>
      </c>
      <c r="H875" s="4">
        <v>0</v>
      </c>
      <c r="I875" s="4">
        <v>0</v>
      </c>
      <c r="J875" s="4">
        <v>0</v>
      </c>
      <c r="K875" s="4">
        <v>7590124.6399999997</v>
      </c>
      <c r="L875" s="4" t="s">
        <v>2732</v>
      </c>
      <c r="M875" s="4" t="s">
        <v>2733</v>
      </c>
      <c r="N875" s="4" t="s">
        <v>104</v>
      </c>
      <c r="O875" s="4" t="s">
        <v>105</v>
      </c>
      <c r="P875" s="4" t="s">
        <v>105</v>
      </c>
      <c r="Q875" s="8" t="s">
        <v>100</v>
      </c>
      <c r="R875" s="9">
        <f t="shared" si="14"/>
        <v>1.1189835387898965E-4</v>
      </c>
      <c r="S875" s="55">
        <f>Tabla3[[#This Row],[Subtotal]]/12</f>
        <v>531521.33333333337</v>
      </c>
    </row>
    <row r="876" spans="1:19" x14ac:dyDescent="0.2">
      <c r="A876" s="4">
        <v>1364</v>
      </c>
      <c r="B876" s="2">
        <v>6354799</v>
      </c>
      <c r="C876" s="2">
        <v>0</v>
      </c>
      <c r="D876" s="4" t="s">
        <v>2737</v>
      </c>
      <c r="E876" s="2">
        <v>6354799</v>
      </c>
      <c r="F876" s="2">
        <v>1207411.81</v>
      </c>
      <c r="G876" s="2">
        <v>131309.38</v>
      </c>
      <c r="H876" s="4">
        <v>0</v>
      </c>
      <c r="I876" s="4">
        <v>0</v>
      </c>
      <c r="J876" s="4">
        <v>131309.38</v>
      </c>
      <c r="K876" s="4">
        <v>7430901.4299999997</v>
      </c>
      <c r="L876" s="4" t="s">
        <v>2735</v>
      </c>
      <c r="M876" s="4" t="s">
        <v>2736</v>
      </c>
      <c r="N876" s="4" t="s">
        <v>20</v>
      </c>
      <c r="O876" s="4" t="s">
        <v>1043</v>
      </c>
      <c r="P876" s="4" t="s">
        <v>1043</v>
      </c>
      <c r="Q876" s="8" t="s">
        <v>100</v>
      </c>
      <c r="R876" s="9">
        <f t="shared" si="14"/>
        <v>1.1148683077817032E-4</v>
      </c>
      <c r="S876" s="55">
        <f>Tabla3[[#This Row],[Subtotal]]/12</f>
        <v>529566.58333333337</v>
      </c>
    </row>
    <row r="877" spans="1:19" x14ac:dyDescent="0.2">
      <c r="A877" s="4">
        <v>538</v>
      </c>
      <c r="B877" s="2">
        <v>6351042</v>
      </c>
      <c r="C877" s="2">
        <v>0</v>
      </c>
      <c r="D877" s="4" t="s">
        <v>2739</v>
      </c>
      <c r="E877" s="2">
        <v>6351042</v>
      </c>
      <c r="F877" s="2">
        <v>1206697.98</v>
      </c>
      <c r="G877" s="2">
        <v>16264.65</v>
      </c>
      <c r="H877" s="4">
        <v>0</v>
      </c>
      <c r="I877" s="4">
        <v>0</v>
      </c>
      <c r="J877" s="4">
        <v>16264.65</v>
      </c>
      <c r="K877" s="4">
        <v>7541475.3300000001</v>
      </c>
      <c r="L877" s="4" t="s">
        <v>2738</v>
      </c>
      <c r="M877" s="4" t="s">
        <v>2738</v>
      </c>
      <c r="N877" s="4" t="s">
        <v>20</v>
      </c>
      <c r="O877" s="4" t="s">
        <v>1157</v>
      </c>
      <c r="P877" s="4" t="s">
        <v>1157</v>
      </c>
      <c r="Q877" s="8" t="s">
        <v>100</v>
      </c>
      <c r="R877" s="9">
        <f t="shared" si="14"/>
        <v>1.1142091901239558E-4</v>
      </c>
      <c r="S877" s="55">
        <f>Tabla3[[#This Row],[Subtotal]]/12</f>
        <v>529253.5</v>
      </c>
    </row>
    <row r="878" spans="1:19" x14ac:dyDescent="0.2">
      <c r="A878" s="4">
        <v>1241</v>
      </c>
      <c r="B878" s="2">
        <v>6345777</v>
      </c>
      <c r="C878" s="2">
        <v>0</v>
      </c>
      <c r="D878" s="4" t="s">
        <v>2742</v>
      </c>
      <c r="E878" s="2">
        <v>6345777</v>
      </c>
      <c r="F878" s="2">
        <v>1205697.6299999999</v>
      </c>
      <c r="G878" s="2">
        <v>150714.29999999999</v>
      </c>
      <c r="H878" s="4">
        <v>180854.64</v>
      </c>
      <c r="I878" s="4">
        <v>20430.29</v>
      </c>
      <c r="J878" s="4">
        <v>351999.23</v>
      </c>
      <c r="K878" s="4">
        <v>7199475.4000000004</v>
      </c>
      <c r="L878" s="4" t="s">
        <v>2740</v>
      </c>
      <c r="M878" s="4" t="s">
        <v>2741</v>
      </c>
      <c r="N878" s="4" t="s">
        <v>142</v>
      </c>
      <c r="O878" s="4" t="s">
        <v>386</v>
      </c>
      <c r="P878" s="4" t="s">
        <v>386</v>
      </c>
      <c r="Q878" s="8" t="s">
        <v>408</v>
      </c>
      <c r="R878" s="9">
        <f t="shared" si="14"/>
        <v>1.1132855131295346E-4</v>
      </c>
      <c r="S878" s="55">
        <f>Tabla3[[#This Row],[Subtotal]]/12</f>
        <v>528814.75</v>
      </c>
    </row>
    <row r="879" spans="1:19" x14ac:dyDescent="0.2">
      <c r="A879" s="4">
        <v>436</v>
      </c>
      <c r="B879" s="2">
        <v>6273524.2000000002</v>
      </c>
      <c r="C879" s="2">
        <v>0</v>
      </c>
      <c r="D879" s="4" t="s">
        <v>2745</v>
      </c>
      <c r="E879" s="2">
        <v>6273524.2000000002</v>
      </c>
      <c r="F879" s="2">
        <v>1191969.6000000001</v>
      </c>
      <c r="G879" s="2">
        <v>0</v>
      </c>
      <c r="H879" s="4">
        <v>0</v>
      </c>
      <c r="I879" s="4">
        <v>0</v>
      </c>
      <c r="J879" s="4">
        <v>0</v>
      </c>
      <c r="K879" s="4">
        <v>7465493.7999999998</v>
      </c>
      <c r="L879" s="4" t="s">
        <v>2743</v>
      </c>
      <c r="M879" s="4" t="s">
        <v>2744</v>
      </c>
      <c r="N879" s="4" t="s">
        <v>332</v>
      </c>
      <c r="O879" s="4" t="s">
        <v>1127</v>
      </c>
      <c r="P879" s="4" t="s">
        <v>1127</v>
      </c>
      <c r="Q879" s="8" t="s">
        <v>100</v>
      </c>
      <c r="R879" s="9">
        <f t="shared" si="14"/>
        <v>1.1006096823332357E-4</v>
      </c>
      <c r="S879" s="55">
        <f>Tabla3[[#This Row],[Subtotal]]/12</f>
        <v>522793.68333333335</v>
      </c>
    </row>
    <row r="880" spans="1:19" x14ac:dyDescent="0.2">
      <c r="A880" s="4">
        <v>1259</v>
      </c>
      <c r="B880" s="2">
        <v>6266421</v>
      </c>
      <c r="C880" s="2">
        <v>0</v>
      </c>
      <c r="D880" s="4" t="s">
        <v>2748</v>
      </c>
      <c r="E880" s="2">
        <v>6266421</v>
      </c>
      <c r="F880" s="2">
        <v>1190619.99</v>
      </c>
      <c r="G880" s="2">
        <v>0</v>
      </c>
      <c r="H880" s="4">
        <v>0</v>
      </c>
      <c r="I880" s="4">
        <v>0</v>
      </c>
      <c r="J880" s="4">
        <v>0</v>
      </c>
      <c r="K880" s="4">
        <v>7457040.9900000002</v>
      </c>
      <c r="L880" s="4" t="s">
        <v>2746</v>
      </c>
      <c r="M880" s="4" t="s">
        <v>2747</v>
      </c>
      <c r="N880" s="4" t="s">
        <v>20</v>
      </c>
      <c r="O880" s="4" t="s">
        <v>316</v>
      </c>
      <c r="P880" s="4" t="s">
        <v>316</v>
      </c>
      <c r="Q880" s="8" t="s">
        <v>100</v>
      </c>
      <c r="R880" s="9">
        <f t="shared" si="14"/>
        <v>1.099363516630145E-4</v>
      </c>
      <c r="S880" s="55">
        <f>Tabla3[[#This Row],[Subtotal]]/12</f>
        <v>522201.75</v>
      </c>
    </row>
    <row r="881" spans="1:19" x14ac:dyDescent="0.2">
      <c r="A881" s="4">
        <v>567</v>
      </c>
      <c r="B881" s="2">
        <v>6213023</v>
      </c>
      <c r="C881" s="2">
        <v>0</v>
      </c>
      <c r="D881" s="4" t="s">
        <v>2751</v>
      </c>
      <c r="E881" s="2">
        <v>6213023</v>
      </c>
      <c r="F881" s="2">
        <v>1180474.3700000001</v>
      </c>
      <c r="G881" s="2">
        <v>43173.08</v>
      </c>
      <c r="H881" s="4">
        <v>0</v>
      </c>
      <c r="I881" s="4">
        <v>0</v>
      </c>
      <c r="J881" s="4">
        <v>43173.08</v>
      </c>
      <c r="K881" s="4">
        <v>7350324.29</v>
      </c>
      <c r="L881" s="4" t="s">
        <v>2749</v>
      </c>
      <c r="M881" s="4" t="s">
        <v>2750</v>
      </c>
      <c r="N881" s="4" t="s">
        <v>2167</v>
      </c>
      <c r="O881" s="4" t="s">
        <v>105</v>
      </c>
      <c r="P881" s="4" t="s">
        <v>105</v>
      </c>
      <c r="Q881" s="8" t="s">
        <v>100</v>
      </c>
      <c r="R881" s="9">
        <f t="shared" si="14"/>
        <v>1.0899955196409519E-4</v>
      </c>
      <c r="S881" s="55">
        <f>Tabla3[[#This Row],[Subtotal]]/12</f>
        <v>517751.91666666669</v>
      </c>
    </row>
    <row r="882" spans="1:19" x14ac:dyDescent="0.2">
      <c r="A882" s="4">
        <v>1557</v>
      </c>
      <c r="B882" s="2">
        <v>6176416</v>
      </c>
      <c r="C882" s="2">
        <v>0</v>
      </c>
      <c r="D882" s="4" t="s">
        <v>2754</v>
      </c>
      <c r="E882" s="2">
        <v>6176416</v>
      </c>
      <c r="F882" s="2">
        <v>1173519.04</v>
      </c>
      <c r="G882" s="2">
        <v>0</v>
      </c>
      <c r="H882" s="4">
        <v>0</v>
      </c>
      <c r="I882" s="4">
        <v>0</v>
      </c>
      <c r="J882" s="4">
        <v>0</v>
      </c>
      <c r="K882" s="4">
        <v>7349935.04</v>
      </c>
      <c r="L882" s="4" t="s">
        <v>2752</v>
      </c>
      <c r="M882" s="4" t="s">
        <v>2753</v>
      </c>
      <c r="N882" s="4" t="s">
        <v>979</v>
      </c>
      <c r="O882" s="4" t="s">
        <v>105</v>
      </c>
      <c r="P882" s="4" t="s">
        <v>105</v>
      </c>
      <c r="Q882" s="8" t="s">
        <v>100</v>
      </c>
      <c r="R882" s="9">
        <f t="shared" si="14"/>
        <v>1.0835732891120295E-4</v>
      </c>
      <c r="S882" s="55">
        <f>Tabla3[[#This Row],[Subtotal]]/12</f>
        <v>514701.33333333331</v>
      </c>
    </row>
    <row r="883" spans="1:19" x14ac:dyDescent="0.2">
      <c r="A883" s="4">
        <v>1614</v>
      </c>
      <c r="B883" s="2">
        <v>6191462</v>
      </c>
      <c r="C883" s="2">
        <v>19152.599999999999</v>
      </c>
      <c r="D883" s="4" t="s">
        <v>2757</v>
      </c>
      <c r="E883" s="2">
        <v>6172309.4000000004</v>
      </c>
      <c r="F883" s="2">
        <v>1172738.79</v>
      </c>
      <c r="G883" s="2">
        <v>0</v>
      </c>
      <c r="H883" s="4">
        <v>0</v>
      </c>
      <c r="I883" s="4">
        <v>0</v>
      </c>
      <c r="J883" s="4">
        <v>0</v>
      </c>
      <c r="K883" s="4">
        <v>7345048.1900000004</v>
      </c>
      <c r="L883" s="4" t="s">
        <v>2755</v>
      </c>
      <c r="M883" s="4" t="s">
        <v>2756</v>
      </c>
      <c r="N883" s="4" t="s">
        <v>20</v>
      </c>
      <c r="O883" s="4" t="s">
        <v>540</v>
      </c>
      <c r="P883" s="4" t="s">
        <v>540</v>
      </c>
      <c r="Q883" s="8" t="s">
        <v>100</v>
      </c>
      <c r="R883" s="9">
        <f t="shared" si="14"/>
        <v>1.0828528386001038E-4</v>
      </c>
      <c r="S883" s="55">
        <f>Tabla3[[#This Row],[Subtotal]]/12</f>
        <v>514359.1166666667</v>
      </c>
    </row>
    <row r="884" spans="1:19" x14ac:dyDescent="0.2">
      <c r="A884" s="4">
        <v>758</v>
      </c>
      <c r="B884" s="2">
        <v>6159781</v>
      </c>
      <c r="C884" s="2">
        <v>0</v>
      </c>
      <c r="D884" s="4" t="s">
        <v>2759</v>
      </c>
      <c r="E884" s="2">
        <v>6159781</v>
      </c>
      <c r="F884" s="2">
        <v>1170358.3899999999</v>
      </c>
      <c r="G884" s="2">
        <v>153994.53</v>
      </c>
      <c r="H884" s="4">
        <v>175553.75</v>
      </c>
      <c r="I884" s="4">
        <v>0</v>
      </c>
      <c r="J884" s="4">
        <v>329548.28000000003</v>
      </c>
      <c r="K884" s="4">
        <v>7000591.1100000003</v>
      </c>
      <c r="L884" s="4" t="s">
        <v>2758</v>
      </c>
      <c r="M884" s="4" t="s">
        <v>81</v>
      </c>
      <c r="N884" s="4" t="s">
        <v>20</v>
      </c>
      <c r="O884" s="4" t="s">
        <v>372</v>
      </c>
      <c r="P884" s="4" t="s">
        <v>372</v>
      </c>
      <c r="Q884" s="8" t="s">
        <v>28</v>
      </c>
      <c r="R884" s="9">
        <f t="shared" si="14"/>
        <v>1.0806548908590009E-4</v>
      </c>
      <c r="S884" s="55">
        <f>Tabla3[[#This Row],[Subtotal]]/12</f>
        <v>513315.08333333331</v>
      </c>
    </row>
    <row r="885" spans="1:19" x14ac:dyDescent="0.2">
      <c r="A885" s="4">
        <v>398</v>
      </c>
      <c r="B885" s="2">
        <v>6146476</v>
      </c>
      <c r="C885" s="2">
        <v>0</v>
      </c>
      <c r="D885" s="4" t="s">
        <v>2762</v>
      </c>
      <c r="E885" s="2">
        <v>6146476</v>
      </c>
      <c r="F885" s="2">
        <v>1167830.44</v>
      </c>
      <c r="G885" s="2">
        <v>0</v>
      </c>
      <c r="H885" s="4">
        <v>0</v>
      </c>
      <c r="I885" s="4">
        <v>0</v>
      </c>
      <c r="J885" s="4">
        <v>0</v>
      </c>
      <c r="K885" s="4">
        <v>7314306.4400000004</v>
      </c>
      <c r="L885" s="4" t="s">
        <v>2760</v>
      </c>
      <c r="M885" s="4" t="s">
        <v>2761</v>
      </c>
      <c r="N885" s="4" t="s">
        <v>88</v>
      </c>
      <c r="O885" s="4" t="s">
        <v>76</v>
      </c>
      <c r="P885" s="4" t="s">
        <v>76</v>
      </c>
      <c r="Q885" s="8" t="s">
        <v>408</v>
      </c>
      <c r="R885" s="9">
        <f t="shared" si="14"/>
        <v>1.0783206985682556E-4</v>
      </c>
      <c r="S885" s="55">
        <f>Tabla3[[#This Row],[Subtotal]]/12</f>
        <v>512206.33333333331</v>
      </c>
    </row>
    <row r="886" spans="1:19" x14ac:dyDescent="0.2">
      <c r="A886" s="4">
        <v>1353</v>
      </c>
      <c r="B886" s="2">
        <v>6113804</v>
      </c>
      <c r="C886" s="2">
        <v>0</v>
      </c>
      <c r="D886" s="4" t="s">
        <v>2765</v>
      </c>
      <c r="E886" s="2">
        <v>6113804</v>
      </c>
      <c r="F886" s="2">
        <v>1161622.76</v>
      </c>
      <c r="G886" s="2">
        <v>0</v>
      </c>
      <c r="H886" s="4">
        <v>0</v>
      </c>
      <c r="I886" s="4">
        <v>0</v>
      </c>
      <c r="J886" s="4">
        <v>0</v>
      </c>
      <c r="K886" s="4">
        <v>7275426.7599999998</v>
      </c>
      <c r="L886" s="4" t="s">
        <v>2763</v>
      </c>
      <c r="M886" s="4" t="s">
        <v>2764</v>
      </c>
      <c r="N886" s="4" t="s">
        <v>1107</v>
      </c>
      <c r="O886" s="4" t="s">
        <v>89</v>
      </c>
      <c r="P886" s="4" t="s">
        <v>89</v>
      </c>
      <c r="Q886" s="8" t="s">
        <v>100</v>
      </c>
      <c r="R886" s="9">
        <f t="shared" si="14"/>
        <v>1.0725888135232929E-4</v>
      </c>
      <c r="S886" s="55">
        <f>Tabla3[[#This Row],[Subtotal]]/12</f>
        <v>509483.66666666669</v>
      </c>
    </row>
    <row r="887" spans="1:19" x14ac:dyDescent="0.2">
      <c r="A887" s="4">
        <v>919</v>
      </c>
      <c r="B887" s="2">
        <v>6059028</v>
      </c>
      <c r="C887" s="2">
        <v>0</v>
      </c>
      <c r="D887" s="4" t="s">
        <v>2768</v>
      </c>
      <c r="E887" s="2">
        <v>6059028</v>
      </c>
      <c r="F887" s="2">
        <v>1151215.32</v>
      </c>
      <c r="G887" s="2">
        <v>151475.70000000001</v>
      </c>
      <c r="H887" s="4">
        <v>0</v>
      </c>
      <c r="I887" s="4">
        <v>0</v>
      </c>
      <c r="J887" s="4">
        <v>151475.70000000001</v>
      </c>
      <c r="K887" s="4">
        <v>7058767.6200000001</v>
      </c>
      <c r="L887" s="4" t="s">
        <v>2766</v>
      </c>
      <c r="M887" s="4" t="s">
        <v>2767</v>
      </c>
      <c r="N887" s="4" t="s">
        <v>26</v>
      </c>
      <c r="O887" s="4" t="s">
        <v>27</v>
      </c>
      <c r="P887" s="4" t="s">
        <v>27</v>
      </c>
      <c r="Q887" s="8" t="s">
        <v>100</v>
      </c>
      <c r="R887" s="9">
        <f t="shared" si="14"/>
        <v>1.0629790640367945E-4</v>
      </c>
      <c r="S887" s="55">
        <f>Tabla3[[#This Row],[Subtotal]]/12</f>
        <v>504919</v>
      </c>
    </row>
    <row r="888" spans="1:19" x14ac:dyDescent="0.2">
      <c r="A888" s="4">
        <v>476</v>
      </c>
      <c r="B888" s="2">
        <v>6039355</v>
      </c>
      <c r="C888" s="2">
        <v>0</v>
      </c>
      <c r="D888" s="4" t="s">
        <v>1390</v>
      </c>
      <c r="E888" s="2">
        <v>6039355</v>
      </c>
      <c r="F888" s="2">
        <v>1147477.45</v>
      </c>
      <c r="G888" s="2">
        <v>0</v>
      </c>
      <c r="H888" s="4">
        <v>0</v>
      </c>
      <c r="I888" s="4">
        <v>0</v>
      </c>
      <c r="J888" s="4">
        <v>0</v>
      </c>
      <c r="K888" s="4">
        <v>7186832.4500000002</v>
      </c>
      <c r="L888" s="4" t="s">
        <v>1388</v>
      </c>
      <c r="M888" s="4" t="s">
        <v>1389</v>
      </c>
      <c r="N888" s="4" t="s">
        <v>20</v>
      </c>
      <c r="O888" s="4" t="s">
        <v>316</v>
      </c>
      <c r="P888" s="4" t="s">
        <v>316</v>
      </c>
      <c r="Q888" s="8" t="s">
        <v>28</v>
      </c>
      <c r="R888" s="9">
        <f t="shared" si="14"/>
        <v>1.0595276874914483E-4</v>
      </c>
      <c r="S888" s="55">
        <f>Tabla3[[#This Row],[Subtotal]]/12</f>
        <v>503279.58333333331</v>
      </c>
    </row>
    <row r="889" spans="1:19" x14ac:dyDescent="0.2">
      <c r="A889" s="4">
        <v>1073</v>
      </c>
      <c r="B889" s="2">
        <v>6026890</v>
      </c>
      <c r="C889" s="2">
        <v>0</v>
      </c>
      <c r="D889" s="4" t="s">
        <v>2771</v>
      </c>
      <c r="E889" s="2">
        <v>6026890</v>
      </c>
      <c r="F889" s="2">
        <v>1145109.1000000001</v>
      </c>
      <c r="G889" s="2">
        <v>0</v>
      </c>
      <c r="H889" s="4">
        <v>0</v>
      </c>
      <c r="I889" s="4">
        <v>0</v>
      </c>
      <c r="J889" s="4">
        <v>0</v>
      </c>
      <c r="K889" s="4">
        <v>7171999.0999999996</v>
      </c>
      <c r="L889" s="4" t="s">
        <v>2769</v>
      </c>
      <c r="M889" s="4" t="s">
        <v>2770</v>
      </c>
      <c r="N889" s="4" t="s">
        <v>104</v>
      </c>
      <c r="O889" s="4" t="s">
        <v>105</v>
      </c>
      <c r="P889" s="4" t="s">
        <v>105</v>
      </c>
      <c r="Q889" s="8" t="s">
        <v>100</v>
      </c>
      <c r="R889" s="9">
        <f t="shared" si="14"/>
        <v>1.0573408624704683E-4</v>
      </c>
      <c r="S889" s="55">
        <f>Tabla3[[#This Row],[Subtotal]]/12</f>
        <v>502240.83333333331</v>
      </c>
    </row>
    <row r="890" spans="1:19" x14ac:dyDescent="0.2">
      <c r="A890" s="4">
        <v>850</v>
      </c>
      <c r="B890" s="2">
        <v>6022188</v>
      </c>
      <c r="C890" s="2">
        <v>0</v>
      </c>
      <c r="D890" s="4" t="s">
        <v>2774</v>
      </c>
      <c r="E890" s="2">
        <v>6022188</v>
      </c>
      <c r="F890" s="2">
        <v>1144215.72</v>
      </c>
      <c r="G890" s="2">
        <v>144978.6</v>
      </c>
      <c r="H890" s="4">
        <v>0</v>
      </c>
      <c r="I890" s="4">
        <v>0</v>
      </c>
      <c r="J890" s="4">
        <v>144978.6</v>
      </c>
      <c r="K890" s="4">
        <v>7021425.1200000001</v>
      </c>
      <c r="L890" s="4" t="s">
        <v>2772</v>
      </c>
      <c r="M890" s="4" t="s">
        <v>2773</v>
      </c>
      <c r="N890" s="4" t="s">
        <v>2533</v>
      </c>
      <c r="O890" s="4" t="s">
        <v>76</v>
      </c>
      <c r="P890" s="4" t="s">
        <v>76</v>
      </c>
      <c r="Q890" s="8" t="s">
        <v>408</v>
      </c>
      <c r="R890" s="9">
        <f t="shared" si="14"/>
        <v>1.056515956634235E-4</v>
      </c>
      <c r="S890" s="55">
        <f>Tabla3[[#This Row],[Subtotal]]/12</f>
        <v>501849</v>
      </c>
    </row>
    <row r="891" spans="1:19" x14ac:dyDescent="0.2">
      <c r="A891" s="4">
        <v>804</v>
      </c>
      <c r="B891" s="2">
        <v>6013871</v>
      </c>
      <c r="C891" s="2">
        <v>0</v>
      </c>
      <c r="D891" s="4" t="s">
        <v>2777</v>
      </c>
      <c r="E891" s="2">
        <v>6013871</v>
      </c>
      <c r="F891" s="2">
        <v>1142635.49</v>
      </c>
      <c r="G891" s="2">
        <v>0</v>
      </c>
      <c r="H891" s="4">
        <v>0</v>
      </c>
      <c r="I891" s="4">
        <v>0</v>
      </c>
      <c r="J891" s="4">
        <v>0</v>
      </c>
      <c r="K891" s="4">
        <v>7156506.4900000002</v>
      </c>
      <c r="L891" s="4" t="s">
        <v>2775</v>
      </c>
      <c r="M891" s="4" t="s">
        <v>2776</v>
      </c>
      <c r="N891" s="4" t="s">
        <v>20</v>
      </c>
      <c r="O891" s="4" t="s">
        <v>257</v>
      </c>
      <c r="P891" s="4" t="s">
        <v>257</v>
      </c>
      <c r="Q891" s="8" t="s">
        <v>100</v>
      </c>
      <c r="R891" s="9">
        <f t="shared" si="14"/>
        <v>1.0550568452263336E-4</v>
      </c>
      <c r="S891" s="55">
        <f>Tabla3[[#This Row],[Subtotal]]/12</f>
        <v>501155.91666666669</v>
      </c>
    </row>
    <row r="892" spans="1:19" x14ac:dyDescent="0.2">
      <c r="A892" s="4">
        <v>1637</v>
      </c>
      <c r="B892" s="2">
        <v>6004831</v>
      </c>
      <c r="C892" s="2">
        <v>0</v>
      </c>
      <c r="D892" s="4" t="s">
        <v>2780</v>
      </c>
      <c r="E892" s="2">
        <v>6004831</v>
      </c>
      <c r="F892" s="2">
        <v>1140917.8899999999</v>
      </c>
      <c r="G892" s="2">
        <v>0</v>
      </c>
      <c r="H892" s="4">
        <v>0</v>
      </c>
      <c r="I892" s="4">
        <v>0</v>
      </c>
      <c r="J892" s="4">
        <v>0</v>
      </c>
      <c r="K892" s="4">
        <v>7145748.8899999997</v>
      </c>
      <c r="L892" s="4" t="s">
        <v>2778</v>
      </c>
      <c r="M892" s="4" t="s">
        <v>2779</v>
      </c>
      <c r="N892" s="4" t="s">
        <v>468</v>
      </c>
      <c r="O892" s="4" t="s">
        <v>89</v>
      </c>
      <c r="P892" s="4" t="s">
        <v>89</v>
      </c>
      <c r="Q892" s="8" t="s">
        <v>100</v>
      </c>
      <c r="R892" s="9">
        <f t="shared" si="14"/>
        <v>1.0534708927040986E-4</v>
      </c>
      <c r="S892" s="55">
        <f>Tabla3[[#This Row],[Subtotal]]/12</f>
        <v>500402.58333333331</v>
      </c>
    </row>
    <row r="893" spans="1:19" x14ac:dyDescent="0.2">
      <c r="A893" s="4">
        <v>609</v>
      </c>
      <c r="B893" s="2">
        <v>5973723</v>
      </c>
      <c r="C893" s="2">
        <v>0</v>
      </c>
      <c r="D893" s="4" t="s">
        <v>2783</v>
      </c>
      <c r="E893" s="2">
        <v>5973723</v>
      </c>
      <c r="F893" s="2">
        <v>1135007.3700000001</v>
      </c>
      <c r="G893" s="2">
        <v>140562.07999999999</v>
      </c>
      <c r="H893" s="4">
        <v>0</v>
      </c>
      <c r="I893" s="4">
        <v>0</v>
      </c>
      <c r="J893" s="4">
        <v>140562.07999999999</v>
      </c>
      <c r="K893" s="4">
        <v>6968168.29</v>
      </c>
      <c r="L893" s="4" t="s">
        <v>2781</v>
      </c>
      <c r="M893" s="4" t="s">
        <v>2782</v>
      </c>
      <c r="N893" s="4" t="s">
        <v>124</v>
      </c>
      <c r="O893" s="4" t="s">
        <v>33</v>
      </c>
      <c r="P893" s="4" t="s">
        <v>33</v>
      </c>
      <c r="Q893" s="8" t="s">
        <v>100</v>
      </c>
      <c r="R893" s="9">
        <f t="shared" si="14"/>
        <v>1.0480133914804606E-4</v>
      </c>
      <c r="S893" s="55">
        <f>Tabla3[[#This Row],[Subtotal]]/12</f>
        <v>497810.25</v>
      </c>
    </row>
    <row r="894" spans="1:19" x14ac:dyDescent="0.2">
      <c r="A894" s="4">
        <v>1568</v>
      </c>
      <c r="B894" s="2">
        <v>5971270</v>
      </c>
      <c r="C894" s="2">
        <v>0</v>
      </c>
      <c r="D894" s="4" t="s">
        <v>2786</v>
      </c>
      <c r="E894" s="2">
        <v>5971270</v>
      </c>
      <c r="F894" s="2">
        <v>1134541.3</v>
      </c>
      <c r="G894" s="2">
        <v>0</v>
      </c>
      <c r="H894" s="4">
        <v>0</v>
      </c>
      <c r="I894" s="4">
        <v>0</v>
      </c>
      <c r="J894" s="4">
        <v>0</v>
      </c>
      <c r="K894" s="4">
        <v>7105811.2999999998</v>
      </c>
      <c r="L894" s="4" t="s">
        <v>2784</v>
      </c>
      <c r="M894" s="4" t="s">
        <v>2785</v>
      </c>
      <c r="N894" s="4" t="s">
        <v>2533</v>
      </c>
      <c r="O894" s="4" t="s">
        <v>59</v>
      </c>
      <c r="P894" s="4" t="s">
        <v>59</v>
      </c>
      <c r="Q894" s="8" t="s">
        <v>100</v>
      </c>
      <c r="R894" s="9">
        <f t="shared" si="14"/>
        <v>1.0475830439653011E-4</v>
      </c>
      <c r="S894" s="55">
        <f>Tabla3[[#This Row],[Subtotal]]/12</f>
        <v>497605.83333333331</v>
      </c>
    </row>
    <row r="895" spans="1:19" x14ac:dyDescent="0.2">
      <c r="A895" s="4">
        <v>293</v>
      </c>
      <c r="B895" s="2">
        <v>5921753</v>
      </c>
      <c r="C895" s="2">
        <v>0</v>
      </c>
      <c r="D895" s="4" t="s">
        <v>2789</v>
      </c>
      <c r="E895" s="2">
        <v>5921753</v>
      </c>
      <c r="F895" s="2">
        <v>1125133.07</v>
      </c>
      <c r="G895" s="2">
        <v>129729.13</v>
      </c>
      <c r="H895" s="4">
        <v>0</v>
      </c>
      <c r="I895" s="4">
        <v>0</v>
      </c>
      <c r="J895" s="4">
        <v>129729.13</v>
      </c>
      <c r="K895" s="4">
        <v>6917156.9400000004</v>
      </c>
      <c r="L895" s="4" t="s">
        <v>2787</v>
      </c>
      <c r="M895" s="4" t="s">
        <v>2788</v>
      </c>
      <c r="N895" s="4" t="s">
        <v>20</v>
      </c>
      <c r="O895" s="4" t="s">
        <v>76</v>
      </c>
      <c r="P895" s="4" t="s">
        <v>76</v>
      </c>
      <c r="Q895" s="8" t="s">
        <v>408</v>
      </c>
      <c r="R895" s="9">
        <f t="shared" si="14"/>
        <v>1.0388959188498683E-4</v>
      </c>
      <c r="S895" s="55">
        <f>Tabla3[[#This Row],[Subtotal]]/12</f>
        <v>493479.41666666669</v>
      </c>
    </row>
    <row r="896" spans="1:19" x14ac:dyDescent="0.2">
      <c r="A896" s="4">
        <v>422</v>
      </c>
      <c r="B896" s="2">
        <v>5917447</v>
      </c>
      <c r="C896" s="2">
        <v>0</v>
      </c>
      <c r="D896" s="4" t="s">
        <v>2791</v>
      </c>
      <c r="E896" s="2">
        <v>5917447</v>
      </c>
      <c r="F896" s="2">
        <v>1124314.93</v>
      </c>
      <c r="G896" s="2">
        <v>4934.55</v>
      </c>
      <c r="H896" s="4">
        <v>0</v>
      </c>
      <c r="I896" s="4">
        <v>0</v>
      </c>
      <c r="J896" s="4">
        <v>4934.55</v>
      </c>
      <c r="K896" s="4">
        <v>7036827.3799999999</v>
      </c>
      <c r="L896" s="4" t="s">
        <v>2790</v>
      </c>
      <c r="M896" s="4" t="s">
        <v>1250</v>
      </c>
      <c r="N896" s="4" t="s">
        <v>20</v>
      </c>
      <c r="O896" s="4" t="s">
        <v>359</v>
      </c>
      <c r="P896" s="4" t="s">
        <v>359</v>
      </c>
      <c r="Q896" s="8" t="s">
        <v>100</v>
      </c>
      <c r="R896" s="9">
        <f t="shared" si="14"/>
        <v>1.0381404861550959E-4</v>
      </c>
      <c r="S896" s="55">
        <f>Tabla3[[#This Row],[Subtotal]]/12</f>
        <v>493120.58333333331</v>
      </c>
    </row>
    <row r="897" spans="1:19" x14ac:dyDescent="0.2">
      <c r="A897" s="4">
        <v>1638</v>
      </c>
      <c r="B897" s="2">
        <v>5896604</v>
      </c>
      <c r="C897" s="2">
        <v>0</v>
      </c>
      <c r="D897" s="4" t="s">
        <v>2794</v>
      </c>
      <c r="E897" s="2">
        <v>5896604</v>
      </c>
      <c r="F897" s="2">
        <v>1120354.76</v>
      </c>
      <c r="G897" s="2">
        <v>0</v>
      </c>
      <c r="H897" s="4">
        <v>0</v>
      </c>
      <c r="I897" s="4">
        <v>0</v>
      </c>
      <c r="J897" s="4">
        <v>0</v>
      </c>
      <c r="K897" s="4">
        <v>7016958.7599999998</v>
      </c>
      <c r="L897" s="4" t="s">
        <v>2792</v>
      </c>
      <c r="M897" s="4" t="s">
        <v>2793</v>
      </c>
      <c r="N897" s="4" t="s">
        <v>20</v>
      </c>
      <c r="O897" s="4" t="s">
        <v>316</v>
      </c>
      <c r="P897" s="4" t="s">
        <v>316</v>
      </c>
      <c r="Q897" s="8" t="s">
        <v>100</v>
      </c>
      <c r="R897" s="9">
        <f t="shared" si="14"/>
        <v>1.0344838480554338E-4</v>
      </c>
      <c r="S897" s="55">
        <f>Tabla3[[#This Row],[Subtotal]]/12</f>
        <v>491383.66666666669</v>
      </c>
    </row>
    <row r="898" spans="1:19" x14ac:dyDescent="0.2">
      <c r="A898" s="4">
        <v>1260</v>
      </c>
      <c r="B898" s="2">
        <v>5894024</v>
      </c>
      <c r="C898" s="2">
        <v>0</v>
      </c>
      <c r="D898" s="4" t="s">
        <v>2797</v>
      </c>
      <c r="E898" s="2">
        <v>5894024</v>
      </c>
      <c r="F898" s="2">
        <v>1119864.56</v>
      </c>
      <c r="G898" s="2">
        <v>0</v>
      </c>
      <c r="H898" s="4">
        <v>0</v>
      </c>
      <c r="I898" s="4">
        <v>0</v>
      </c>
      <c r="J898" s="4">
        <v>0</v>
      </c>
      <c r="K898" s="4">
        <v>7013888.5599999996</v>
      </c>
      <c r="L898" s="4" t="s">
        <v>2795</v>
      </c>
      <c r="M898" s="4" t="s">
        <v>2796</v>
      </c>
      <c r="N898" s="4" t="s">
        <v>20</v>
      </c>
      <c r="O898" s="4" t="s">
        <v>1356</v>
      </c>
      <c r="P898" s="4" t="s">
        <v>1356</v>
      </c>
      <c r="Q898" s="8" t="s">
        <v>100</v>
      </c>
      <c r="R898" s="9">
        <f t="shared" si="14"/>
        <v>1.0340312200125835E-4</v>
      </c>
      <c r="S898" s="55">
        <f>Tabla3[[#This Row],[Subtotal]]/12</f>
        <v>491168.66666666669</v>
      </c>
    </row>
    <row r="899" spans="1:19" x14ac:dyDescent="0.2">
      <c r="A899" s="4">
        <v>1042</v>
      </c>
      <c r="B899" s="2">
        <v>5891850</v>
      </c>
      <c r="C899" s="2">
        <v>0</v>
      </c>
      <c r="D899" s="4" t="s">
        <v>2800</v>
      </c>
      <c r="E899" s="2">
        <v>5891850</v>
      </c>
      <c r="F899" s="2">
        <v>1119451.5</v>
      </c>
      <c r="G899" s="2">
        <v>93293.91</v>
      </c>
      <c r="H899" s="4">
        <v>0</v>
      </c>
      <c r="I899" s="4">
        <v>0</v>
      </c>
      <c r="J899" s="4">
        <v>93293.91</v>
      </c>
      <c r="K899" s="4">
        <v>6918007.5899999999</v>
      </c>
      <c r="L899" s="4" t="s">
        <v>2798</v>
      </c>
      <c r="M899" s="4" t="s">
        <v>2799</v>
      </c>
      <c r="N899" s="4" t="s">
        <v>20</v>
      </c>
      <c r="O899" s="4" t="s">
        <v>692</v>
      </c>
      <c r="P899" s="4" t="s">
        <v>692</v>
      </c>
      <c r="Q899" s="8" t="s">
        <v>100</v>
      </c>
      <c r="R899" s="9">
        <f t="shared" ref="R899:R962" si="15">E899/$E$1757</f>
        <v>1.0336498194834532E-4</v>
      </c>
      <c r="S899" s="55">
        <f>Tabla3[[#This Row],[Subtotal]]/12</f>
        <v>490987.5</v>
      </c>
    </row>
    <row r="900" spans="1:19" x14ac:dyDescent="0.2">
      <c r="A900" s="4">
        <v>382</v>
      </c>
      <c r="B900" s="2">
        <v>5858600</v>
      </c>
      <c r="C900" s="2">
        <v>0</v>
      </c>
      <c r="D900" s="4" t="s">
        <v>2802</v>
      </c>
      <c r="E900" s="2">
        <v>5858600</v>
      </c>
      <c r="F900" s="2">
        <v>1113134</v>
      </c>
      <c r="G900" s="2">
        <v>146465</v>
      </c>
      <c r="H900" s="4">
        <v>166970.1</v>
      </c>
      <c r="I900" s="4">
        <v>0</v>
      </c>
      <c r="J900" s="4">
        <v>313435.09999999998</v>
      </c>
      <c r="K900" s="4">
        <v>6658298.9000000004</v>
      </c>
      <c r="L900" s="4" t="s">
        <v>2801</v>
      </c>
      <c r="M900" s="4" t="s">
        <v>137</v>
      </c>
      <c r="N900" s="4" t="s">
        <v>2803</v>
      </c>
      <c r="O900" s="4" t="s">
        <v>59</v>
      </c>
      <c r="P900" s="4" t="s">
        <v>59</v>
      </c>
      <c r="Q900" s="8" t="s">
        <v>22</v>
      </c>
      <c r="R900" s="9">
        <f t="shared" si="15"/>
        <v>1.0278165317219139E-4</v>
      </c>
      <c r="S900" s="55">
        <f>Tabla3[[#This Row],[Subtotal]]/12</f>
        <v>488216.66666666669</v>
      </c>
    </row>
    <row r="901" spans="1:19" x14ac:dyDescent="0.2">
      <c r="A901" s="4">
        <v>539</v>
      </c>
      <c r="B901" s="2">
        <v>5855831</v>
      </c>
      <c r="C901" s="2">
        <v>0</v>
      </c>
      <c r="D901" s="4" t="s">
        <v>2806</v>
      </c>
      <c r="E901" s="2">
        <v>5855831</v>
      </c>
      <c r="F901" s="2">
        <v>1112607.8899999999</v>
      </c>
      <c r="G901" s="2">
        <v>0</v>
      </c>
      <c r="H901" s="4">
        <v>0</v>
      </c>
      <c r="I901" s="4">
        <v>0</v>
      </c>
      <c r="J901" s="4">
        <v>0</v>
      </c>
      <c r="K901" s="4">
        <v>6968438.8899999997</v>
      </c>
      <c r="L901" s="4" t="s">
        <v>2804</v>
      </c>
      <c r="M901" s="4" t="s">
        <v>2805</v>
      </c>
      <c r="N901" s="4" t="s">
        <v>791</v>
      </c>
      <c r="O901" s="4" t="s">
        <v>59</v>
      </c>
      <c r="P901" s="4" t="s">
        <v>59</v>
      </c>
      <c r="Q901" s="8" t="s">
        <v>100</v>
      </c>
      <c r="R901" s="9">
        <f t="shared" si="15"/>
        <v>1.0273307460433665E-4</v>
      </c>
      <c r="S901" s="55">
        <f>Tabla3[[#This Row],[Subtotal]]/12</f>
        <v>487985.91666666669</v>
      </c>
    </row>
    <row r="902" spans="1:19" x14ac:dyDescent="0.2">
      <c r="A902" s="4">
        <v>1141</v>
      </c>
      <c r="B902" s="2">
        <v>5841320</v>
      </c>
      <c r="C902" s="2">
        <v>0</v>
      </c>
      <c r="D902" s="4" t="s">
        <v>2809</v>
      </c>
      <c r="E902" s="2">
        <v>5841320</v>
      </c>
      <c r="F902" s="2">
        <v>1109850.8</v>
      </c>
      <c r="G902" s="2">
        <v>146033</v>
      </c>
      <c r="H902" s="4">
        <v>0</v>
      </c>
      <c r="I902" s="4">
        <v>0</v>
      </c>
      <c r="J902" s="4">
        <v>146033</v>
      </c>
      <c r="K902" s="4">
        <v>6805137.7999999998</v>
      </c>
      <c r="L902" s="4" t="s">
        <v>2807</v>
      </c>
      <c r="M902" s="4" t="s">
        <v>2808</v>
      </c>
      <c r="N902" s="4" t="s">
        <v>32</v>
      </c>
      <c r="O902" s="4" t="s">
        <v>1188</v>
      </c>
      <c r="P902" s="4" t="s">
        <v>1188</v>
      </c>
      <c r="Q902" s="8" t="s">
        <v>100</v>
      </c>
      <c r="R902" s="9">
        <f t="shared" si="15"/>
        <v>1.0247849764581726E-4</v>
      </c>
      <c r="S902" s="55">
        <f>Tabla3[[#This Row],[Subtotal]]/12</f>
        <v>486776.66666666669</v>
      </c>
    </row>
    <row r="903" spans="1:19" x14ac:dyDescent="0.2">
      <c r="A903" s="4">
        <v>1496</v>
      </c>
      <c r="B903" s="2">
        <v>5830747</v>
      </c>
      <c r="C903" s="2">
        <v>0</v>
      </c>
      <c r="D903" s="4" t="s">
        <v>2812</v>
      </c>
      <c r="E903" s="2">
        <v>5830747</v>
      </c>
      <c r="F903" s="2">
        <v>1107841.93</v>
      </c>
      <c r="G903" s="2">
        <v>0</v>
      </c>
      <c r="H903" s="4">
        <v>0</v>
      </c>
      <c r="I903" s="4">
        <v>0</v>
      </c>
      <c r="J903" s="4">
        <v>0</v>
      </c>
      <c r="K903" s="4">
        <v>6938588.9299999997</v>
      </c>
      <c r="L903" s="4" t="s">
        <v>2810</v>
      </c>
      <c r="M903" s="4" t="s">
        <v>2811</v>
      </c>
      <c r="N903" s="4" t="s">
        <v>1269</v>
      </c>
      <c r="O903" s="4" t="s">
        <v>89</v>
      </c>
      <c r="P903" s="4" t="s">
        <v>89</v>
      </c>
      <c r="Q903" s="8" t="s">
        <v>100</v>
      </c>
      <c r="R903" s="9">
        <f t="shared" si="15"/>
        <v>1.0229300786686161E-4</v>
      </c>
      <c r="S903" s="55">
        <f>Tabla3[[#This Row],[Subtotal]]/12</f>
        <v>485895.58333333331</v>
      </c>
    </row>
    <row r="904" spans="1:19" x14ac:dyDescent="0.2">
      <c r="A904" s="4">
        <v>946</v>
      </c>
      <c r="B904" s="2">
        <v>5859211</v>
      </c>
      <c r="C904" s="2">
        <v>33255.480000000003</v>
      </c>
      <c r="D904" s="4" t="s">
        <v>2814</v>
      </c>
      <c r="E904" s="2">
        <v>5825955.5199999996</v>
      </c>
      <c r="F904" s="2">
        <v>1106931.55</v>
      </c>
      <c r="G904" s="2">
        <v>145648.89000000001</v>
      </c>
      <c r="H904" s="4">
        <v>0</v>
      </c>
      <c r="I904" s="4">
        <v>0</v>
      </c>
      <c r="J904" s="4">
        <v>145648.89000000001</v>
      </c>
      <c r="K904" s="4">
        <v>6787238.1799999997</v>
      </c>
      <c r="L904" s="4" t="s">
        <v>2813</v>
      </c>
      <c r="M904" s="4" t="s">
        <v>44</v>
      </c>
      <c r="N904" s="4" t="s">
        <v>20</v>
      </c>
      <c r="O904" s="4" t="s">
        <v>1043</v>
      </c>
      <c r="P904" s="4" t="s">
        <v>1043</v>
      </c>
      <c r="Q904" s="8" t="s">
        <v>22</v>
      </c>
      <c r="R904" s="9">
        <f t="shared" si="15"/>
        <v>1.0220894747094082E-4</v>
      </c>
      <c r="S904" s="55">
        <f>Tabla3[[#This Row],[Subtotal]]/12</f>
        <v>485496.29333333328</v>
      </c>
    </row>
    <row r="905" spans="1:19" x14ac:dyDescent="0.2">
      <c r="A905" s="4">
        <v>625</v>
      </c>
      <c r="B905" s="2">
        <v>5972500</v>
      </c>
      <c r="C905" s="2">
        <v>179175</v>
      </c>
      <c r="D905" s="4" t="s">
        <v>2817</v>
      </c>
      <c r="E905" s="2">
        <v>5793325</v>
      </c>
      <c r="F905" s="2">
        <v>1100731.75</v>
      </c>
      <c r="G905" s="2">
        <v>144833.13</v>
      </c>
      <c r="H905" s="4">
        <v>0</v>
      </c>
      <c r="I905" s="4">
        <v>0</v>
      </c>
      <c r="J905" s="4">
        <v>144833.13</v>
      </c>
      <c r="K905" s="4">
        <v>6749223.6200000001</v>
      </c>
      <c r="L905" s="4" t="s">
        <v>2815</v>
      </c>
      <c r="M905" s="4" t="s">
        <v>2816</v>
      </c>
      <c r="N905" s="4" t="s">
        <v>504</v>
      </c>
      <c r="O905" s="4" t="s">
        <v>2025</v>
      </c>
      <c r="P905" s="4" t="s">
        <v>2025</v>
      </c>
      <c r="Q905" s="8" t="s">
        <v>100</v>
      </c>
      <c r="R905" s="9">
        <f t="shared" si="15"/>
        <v>1.0163648668005764E-4</v>
      </c>
      <c r="S905" s="55">
        <f>Tabla3[[#This Row],[Subtotal]]/12</f>
        <v>482777.08333333331</v>
      </c>
    </row>
    <row r="906" spans="1:19" x14ac:dyDescent="0.2">
      <c r="A906" s="4">
        <v>1478</v>
      </c>
      <c r="B906" s="2">
        <v>5791327</v>
      </c>
      <c r="C906" s="2">
        <v>0</v>
      </c>
      <c r="D906" s="4" t="s">
        <v>2820</v>
      </c>
      <c r="E906" s="2">
        <v>5791327</v>
      </c>
      <c r="F906" s="2">
        <v>1100352.1299999999</v>
      </c>
      <c r="G906" s="2">
        <v>0</v>
      </c>
      <c r="H906" s="4">
        <v>0</v>
      </c>
      <c r="I906" s="4">
        <v>0</v>
      </c>
      <c r="J906" s="4">
        <v>0</v>
      </c>
      <c r="K906" s="4">
        <v>6891679.1299999999</v>
      </c>
      <c r="L906" s="4" t="s">
        <v>2818</v>
      </c>
      <c r="M906" s="4" t="s">
        <v>2819</v>
      </c>
      <c r="N906" s="4" t="s">
        <v>512</v>
      </c>
      <c r="O906" s="4" t="s">
        <v>59</v>
      </c>
      <c r="P906" s="4" t="s">
        <v>59</v>
      </c>
      <c r="Q906" s="8" t="s">
        <v>100</v>
      </c>
      <c r="R906" s="9">
        <f t="shared" si="15"/>
        <v>1.0160143432232063E-4</v>
      </c>
      <c r="S906" s="55">
        <f>Tabla3[[#This Row],[Subtotal]]/12</f>
        <v>482610.58333333331</v>
      </c>
    </row>
    <row r="907" spans="1:19" x14ac:dyDescent="0.2">
      <c r="A907" s="4">
        <v>193</v>
      </c>
      <c r="B907" s="2">
        <v>5757294</v>
      </c>
      <c r="C907" s="2">
        <v>0</v>
      </c>
      <c r="D907" s="4" t="s">
        <v>2823</v>
      </c>
      <c r="E907" s="2">
        <v>5757294</v>
      </c>
      <c r="F907" s="2">
        <v>1093885.8600000001</v>
      </c>
      <c r="G907" s="2">
        <v>0</v>
      </c>
      <c r="H907" s="4">
        <v>0</v>
      </c>
      <c r="I907" s="4">
        <v>0</v>
      </c>
      <c r="J907" s="4">
        <v>0</v>
      </c>
      <c r="K907" s="4">
        <v>6851179.8600000003</v>
      </c>
      <c r="L907" s="4" t="s">
        <v>2821</v>
      </c>
      <c r="M907" s="4" t="s">
        <v>2822</v>
      </c>
      <c r="N907" s="4" t="s">
        <v>20</v>
      </c>
      <c r="O907" s="4" t="s">
        <v>372</v>
      </c>
      <c r="P907" s="4" t="s">
        <v>372</v>
      </c>
      <c r="Q907" s="8" t="s">
        <v>100</v>
      </c>
      <c r="R907" s="9">
        <f t="shared" si="15"/>
        <v>1.0100436881137788E-4</v>
      </c>
      <c r="S907" s="55">
        <f>Tabla3[[#This Row],[Subtotal]]/12</f>
        <v>479774.5</v>
      </c>
    </row>
    <row r="908" spans="1:19" x14ac:dyDescent="0.2">
      <c r="A908" s="4">
        <v>557</v>
      </c>
      <c r="B908" s="2">
        <v>5727648</v>
      </c>
      <c r="C908" s="2">
        <v>0</v>
      </c>
      <c r="D908" s="4" t="s">
        <v>2826</v>
      </c>
      <c r="E908" s="2">
        <v>5727648</v>
      </c>
      <c r="F908" s="2">
        <v>1088253.1200000001</v>
      </c>
      <c r="G908" s="2">
        <v>0</v>
      </c>
      <c r="H908" s="4">
        <v>0</v>
      </c>
      <c r="I908" s="4">
        <v>0</v>
      </c>
      <c r="J908" s="4">
        <v>0</v>
      </c>
      <c r="K908" s="4">
        <v>6815901.1200000001</v>
      </c>
      <c r="L908" s="4" t="s">
        <v>2824</v>
      </c>
      <c r="M908" s="4" t="s">
        <v>2825</v>
      </c>
      <c r="N908" s="4" t="s">
        <v>293</v>
      </c>
      <c r="O908" s="4" t="s">
        <v>229</v>
      </c>
      <c r="P908" s="4" t="s">
        <v>229</v>
      </c>
      <c r="Q908" s="8" t="s">
        <v>100</v>
      </c>
      <c r="R908" s="9">
        <f t="shared" si="15"/>
        <v>1.0048426761144227E-4</v>
      </c>
      <c r="S908" s="55">
        <f>Tabla3[[#This Row],[Subtotal]]/12</f>
        <v>477304</v>
      </c>
    </row>
    <row r="909" spans="1:19" x14ac:dyDescent="0.2">
      <c r="A909" s="4">
        <v>763</v>
      </c>
      <c r="B909" s="2">
        <v>5721983</v>
      </c>
      <c r="C909" s="2">
        <v>0</v>
      </c>
      <c r="D909" s="4" t="s">
        <v>2828</v>
      </c>
      <c r="E909" s="2">
        <v>5721983</v>
      </c>
      <c r="F909" s="2">
        <v>1087176.77</v>
      </c>
      <c r="G909" s="2">
        <v>109241.63</v>
      </c>
      <c r="H909" s="4">
        <v>163076.51</v>
      </c>
      <c r="I909" s="4">
        <v>0</v>
      </c>
      <c r="J909" s="4">
        <v>272318.14</v>
      </c>
      <c r="K909" s="4">
        <v>6536841.6299999999</v>
      </c>
      <c r="L909" s="4" t="s">
        <v>2827</v>
      </c>
      <c r="M909" s="4" t="s">
        <v>81</v>
      </c>
      <c r="N909" s="4" t="s">
        <v>200</v>
      </c>
      <c r="O909" s="4" t="s">
        <v>201</v>
      </c>
      <c r="P909" s="4" t="s">
        <v>201</v>
      </c>
      <c r="Q909" s="8" t="s">
        <v>28</v>
      </c>
      <c r="R909" s="9">
        <f t="shared" si="15"/>
        <v>1.0038488242296371E-4</v>
      </c>
      <c r="S909" s="55">
        <f>Tabla3[[#This Row],[Subtotal]]/12</f>
        <v>476831.91666666669</v>
      </c>
    </row>
    <row r="910" spans="1:19" x14ac:dyDescent="0.2">
      <c r="A910" s="4">
        <v>133</v>
      </c>
      <c r="B910" s="2">
        <v>5714008</v>
      </c>
      <c r="C910" s="2">
        <v>0</v>
      </c>
      <c r="D910" s="4" t="s">
        <v>2831</v>
      </c>
      <c r="E910" s="2">
        <v>5714008</v>
      </c>
      <c r="F910" s="2">
        <v>1085661.52</v>
      </c>
      <c r="G910" s="2">
        <v>0</v>
      </c>
      <c r="H910" s="4">
        <v>0</v>
      </c>
      <c r="I910" s="4">
        <v>0</v>
      </c>
      <c r="J910" s="4">
        <v>0</v>
      </c>
      <c r="K910" s="4">
        <v>6799669.5199999996</v>
      </c>
      <c r="L910" s="4" t="s">
        <v>2829</v>
      </c>
      <c r="M910" s="4" t="s">
        <v>2830</v>
      </c>
      <c r="N910" s="4" t="s">
        <v>2832</v>
      </c>
      <c r="O910" s="4" t="s">
        <v>89</v>
      </c>
      <c r="P910" s="4" t="s">
        <v>89</v>
      </c>
      <c r="Q910" s="8" t="s">
        <v>100</v>
      </c>
      <c r="R910" s="9">
        <f t="shared" si="15"/>
        <v>1.0024497123529973E-4</v>
      </c>
      <c r="S910" s="55">
        <f>Tabla3[[#This Row],[Subtotal]]/12</f>
        <v>476167.33333333331</v>
      </c>
    </row>
    <row r="911" spans="1:19" x14ac:dyDescent="0.2">
      <c r="A911" s="4">
        <v>434</v>
      </c>
      <c r="B911" s="2">
        <v>5702180</v>
      </c>
      <c r="C911" s="2">
        <v>0</v>
      </c>
      <c r="D911" s="4" t="s">
        <v>2835</v>
      </c>
      <c r="E911" s="2">
        <v>5702180</v>
      </c>
      <c r="F911" s="2">
        <v>1083414.2</v>
      </c>
      <c r="G911" s="2">
        <v>0</v>
      </c>
      <c r="H911" s="4">
        <v>0</v>
      </c>
      <c r="I911" s="4">
        <v>0</v>
      </c>
      <c r="J911" s="4">
        <v>0</v>
      </c>
      <c r="K911" s="4">
        <v>6785594.2000000002</v>
      </c>
      <c r="L911" s="4" t="s">
        <v>2833</v>
      </c>
      <c r="M911" s="4" t="s">
        <v>2834</v>
      </c>
      <c r="N911" s="4" t="s">
        <v>572</v>
      </c>
      <c r="O911" s="4" t="s">
        <v>105</v>
      </c>
      <c r="P911" s="4" t="s">
        <v>1039</v>
      </c>
      <c r="Q911" s="8" t="s">
        <v>100</v>
      </c>
      <c r="R911" s="9">
        <f t="shared" si="15"/>
        <v>1.0003746408449225E-4</v>
      </c>
      <c r="S911" s="55">
        <f>Tabla3[[#This Row],[Subtotal]]/12</f>
        <v>475181.66666666669</v>
      </c>
    </row>
    <row r="912" spans="1:19" x14ac:dyDescent="0.2">
      <c r="A912" s="4">
        <v>734</v>
      </c>
      <c r="B912" s="2">
        <v>5690313.6299999999</v>
      </c>
      <c r="C912" s="2">
        <v>0</v>
      </c>
      <c r="D912" s="4" t="s">
        <v>2838</v>
      </c>
      <c r="E912" s="2">
        <v>5690313.6299999999</v>
      </c>
      <c r="F912" s="2">
        <v>1081159.5900000001</v>
      </c>
      <c r="G912" s="2">
        <v>142257.84</v>
      </c>
      <c r="H912" s="4">
        <v>0</v>
      </c>
      <c r="I912" s="4">
        <v>0</v>
      </c>
      <c r="J912" s="4">
        <v>142257.84</v>
      </c>
      <c r="K912" s="4">
        <v>6629215.3799999999</v>
      </c>
      <c r="L912" s="4" t="s">
        <v>2836</v>
      </c>
      <c r="M912" s="4" t="s">
        <v>2837</v>
      </c>
      <c r="N912" s="4" t="s">
        <v>20</v>
      </c>
      <c r="O912" s="4" t="s">
        <v>900</v>
      </c>
      <c r="P912" s="4" t="s">
        <v>900</v>
      </c>
      <c r="Q912" s="8" t="s">
        <v>144</v>
      </c>
      <c r="R912" s="9">
        <f t="shared" si="15"/>
        <v>9.9829283781048948E-5</v>
      </c>
      <c r="S912" s="55">
        <f>Tabla3[[#This Row],[Subtotal]]/12</f>
        <v>474192.80249999999</v>
      </c>
    </row>
    <row r="913" spans="1:19" x14ac:dyDescent="0.2">
      <c r="A913" s="4">
        <v>1690</v>
      </c>
      <c r="B913" s="2">
        <v>5672878</v>
      </c>
      <c r="C913" s="2">
        <v>0</v>
      </c>
      <c r="D913" s="4" t="s">
        <v>2841</v>
      </c>
      <c r="E913" s="2">
        <v>5672878</v>
      </c>
      <c r="F913" s="2">
        <v>1077846.82</v>
      </c>
      <c r="G913" s="2">
        <v>0</v>
      </c>
      <c r="H913" s="4">
        <v>0</v>
      </c>
      <c r="I913" s="4">
        <v>0</v>
      </c>
      <c r="J913" s="4">
        <v>0</v>
      </c>
      <c r="K913" s="4">
        <v>6750724.8200000003</v>
      </c>
      <c r="L913" s="4" t="s">
        <v>2839</v>
      </c>
      <c r="M913" s="4" t="s">
        <v>2840</v>
      </c>
      <c r="N913" s="4" t="s">
        <v>746</v>
      </c>
      <c r="O913" s="4" t="s">
        <v>747</v>
      </c>
      <c r="P913" s="4" t="s">
        <v>747</v>
      </c>
      <c r="Q913" s="8" t="s">
        <v>100</v>
      </c>
      <c r="R913" s="9">
        <f t="shared" si="15"/>
        <v>9.9523397925127977E-5</v>
      </c>
      <c r="S913" s="55">
        <f>Tabla3[[#This Row],[Subtotal]]/12</f>
        <v>472739.83333333331</v>
      </c>
    </row>
    <row r="914" spans="1:19" x14ac:dyDescent="0.2">
      <c r="A914" s="4">
        <v>1170</v>
      </c>
      <c r="B914" s="2">
        <v>5650589</v>
      </c>
      <c r="C914" s="2">
        <v>0</v>
      </c>
      <c r="D914" s="4" t="s">
        <v>2844</v>
      </c>
      <c r="E914" s="2">
        <v>5650589</v>
      </c>
      <c r="F914" s="2">
        <v>1073611.9099999999</v>
      </c>
      <c r="G914" s="2">
        <v>57218.1</v>
      </c>
      <c r="H914" s="4">
        <v>0</v>
      </c>
      <c r="I914" s="4">
        <v>0</v>
      </c>
      <c r="J914" s="4">
        <v>57218.1</v>
      </c>
      <c r="K914" s="4">
        <v>6666982.8099999996</v>
      </c>
      <c r="L914" s="4" t="s">
        <v>2842</v>
      </c>
      <c r="M914" s="4" t="s">
        <v>2843</v>
      </c>
      <c r="N914" s="4" t="s">
        <v>1273</v>
      </c>
      <c r="O914" s="4" t="s">
        <v>2025</v>
      </c>
      <c r="P914" s="4" t="s">
        <v>2025</v>
      </c>
      <c r="Q914" s="8" t="s">
        <v>100</v>
      </c>
      <c r="R914" s="9">
        <f t="shared" si="15"/>
        <v>9.9132365892295045E-5</v>
      </c>
      <c r="S914" s="55">
        <f>Tabla3[[#This Row],[Subtotal]]/12</f>
        <v>470882.41666666669</v>
      </c>
    </row>
    <row r="915" spans="1:19" x14ac:dyDescent="0.2">
      <c r="A915" s="4">
        <v>1323</v>
      </c>
      <c r="B915" s="2">
        <v>5637995</v>
      </c>
      <c r="C915" s="2">
        <v>0</v>
      </c>
      <c r="D915" s="4" t="s">
        <v>2847</v>
      </c>
      <c r="E915" s="2">
        <v>5637995</v>
      </c>
      <c r="F915" s="2">
        <v>1071219.05</v>
      </c>
      <c r="G915" s="2">
        <v>0</v>
      </c>
      <c r="H915" s="4">
        <v>0</v>
      </c>
      <c r="I915" s="4">
        <v>0</v>
      </c>
      <c r="J915" s="4">
        <v>0</v>
      </c>
      <c r="K915" s="4">
        <v>6709214.0499999998</v>
      </c>
      <c r="L915" s="4" t="s">
        <v>2845</v>
      </c>
      <c r="M915" s="4" t="s">
        <v>2846</v>
      </c>
      <c r="N915" s="4" t="s">
        <v>20</v>
      </c>
      <c r="O915" s="4" t="s">
        <v>372</v>
      </c>
      <c r="P915" s="4" t="s">
        <v>372</v>
      </c>
      <c r="Q915" s="8" t="s">
        <v>100</v>
      </c>
      <c r="R915" s="9">
        <f t="shared" si="15"/>
        <v>9.8911420249982792E-5</v>
      </c>
      <c r="S915" s="55">
        <f>Tabla3[[#This Row],[Subtotal]]/12</f>
        <v>469832.91666666669</v>
      </c>
    </row>
    <row r="916" spans="1:19" x14ac:dyDescent="0.2">
      <c r="A916" s="4">
        <v>1387</v>
      </c>
      <c r="B916" s="2">
        <v>5610210</v>
      </c>
      <c r="C916" s="2">
        <v>0</v>
      </c>
      <c r="D916" s="4" t="s">
        <v>2850</v>
      </c>
      <c r="E916" s="2">
        <v>5610210</v>
      </c>
      <c r="F916" s="2">
        <v>1065939.8999999999</v>
      </c>
      <c r="G916" s="2">
        <v>0</v>
      </c>
      <c r="H916" s="4">
        <v>0</v>
      </c>
      <c r="I916" s="4">
        <v>0</v>
      </c>
      <c r="J916" s="4">
        <v>0</v>
      </c>
      <c r="K916" s="4">
        <v>6676149.9000000004</v>
      </c>
      <c r="L916" s="4" t="s">
        <v>2848</v>
      </c>
      <c r="M916" s="4" t="s">
        <v>2849</v>
      </c>
      <c r="N916" s="4" t="s">
        <v>20</v>
      </c>
      <c r="O916" s="4" t="s">
        <v>1356</v>
      </c>
      <c r="P916" s="4" t="s">
        <v>1356</v>
      </c>
      <c r="Q916" s="8" t="s">
        <v>100</v>
      </c>
      <c r="R916" s="9">
        <f t="shared" si="15"/>
        <v>9.8423967917789216E-5</v>
      </c>
      <c r="S916" s="55">
        <f>Tabla3[[#This Row],[Subtotal]]/12</f>
        <v>467517.5</v>
      </c>
    </row>
    <row r="917" spans="1:19" x14ac:dyDescent="0.2">
      <c r="A917" s="4">
        <v>167</v>
      </c>
      <c r="B917" s="2">
        <v>5597880</v>
      </c>
      <c r="C917" s="2">
        <v>0</v>
      </c>
      <c r="D917" s="4" t="s">
        <v>2853</v>
      </c>
      <c r="E917" s="2">
        <v>5597880</v>
      </c>
      <c r="F917" s="2">
        <v>1063597.2</v>
      </c>
      <c r="G917" s="2">
        <v>139947</v>
      </c>
      <c r="H917" s="4">
        <v>0</v>
      </c>
      <c r="I917" s="4">
        <v>0</v>
      </c>
      <c r="J917" s="4">
        <v>139947</v>
      </c>
      <c r="K917" s="4">
        <v>6521530.2000000002</v>
      </c>
      <c r="L917" s="4" t="s">
        <v>2851</v>
      </c>
      <c r="M917" s="4" t="s">
        <v>2852</v>
      </c>
      <c r="N917" s="4" t="s">
        <v>20</v>
      </c>
      <c r="O917" s="4" t="s">
        <v>386</v>
      </c>
      <c r="P917" s="4" t="s">
        <v>386</v>
      </c>
      <c r="Q917" s="8" t="s">
        <v>585</v>
      </c>
      <c r="R917" s="9">
        <f t="shared" si="15"/>
        <v>9.8207653818241006E-5</v>
      </c>
      <c r="S917" s="55">
        <f>Tabla3[[#This Row],[Subtotal]]/12</f>
        <v>466490</v>
      </c>
    </row>
    <row r="918" spans="1:19" x14ac:dyDescent="0.2">
      <c r="A918" s="4">
        <v>998</v>
      </c>
      <c r="B918" s="2">
        <v>5579419</v>
      </c>
      <c r="C918" s="2">
        <v>0</v>
      </c>
      <c r="D918" s="4" t="s">
        <v>2856</v>
      </c>
      <c r="E918" s="2">
        <v>5579419</v>
      </c>
      <c r="F918" s="2">
        <v>1060089.6100000001</v>
      </c>
      <c r="G918" s="2">
        <v>0</v>
      </c>
      <c r="H918" s="4">
        <v>0</v>
      </c>
      <c r="I918" s="4">
        <v>0</v>
      </c>
      <c r="J918" s="4">
        <v>0</v>
      </c>
      <c r="K918" s="4">
        <v>6639508.6100000003</v>
      </c>
      <c r="L918" s="4" t="s">
        <v>2854</v>
      </c>
      <c r="M918" s="4" t="s">
        <v>2855</v>
      </c>
      <c r="N918" s="4" t="s">
        <v>20</v>
      </c>
      <c r="O918" s="4" t="s">
        <v>257</v>
      </c>
      <c r="P918" s="4" t="s">
        <v>257</v>
      </c>
      <c r="Q918" s="8" t="s">
        <v>100</v>
      </c>
      <c r="R918" s="9">
        <f t="shared" si="15"/>
        <v>9.7883779155486791E-5</v>
      </c>
      <c r="S918" s="55">
        <f>Tabla3[[#This Row],[Subtotal]]/12</f>
        <v>464951.58333333331</v>
      </c>
    </row>
    <row r="919" spans="1:19" x14ac:dyDescent="0.2">
      <c r="A919" s="4">
        <v>71</v>
      </c>
      <c r="B919" s="2">
        <v>5576450</v>
      </c>
      <c r="C919" s="2">
        <v>0</v>
      </c>
      <c r="D919" s="4" t="s">
        <v>2859</v>
      </c>
      <c r="E919" s="2">
        <v>5576450</v>
      </c>
      <c r="F919" s="2">
        <v>1059525.5</v>
      </c>
      <c r="G919" s="2">
        <v>0</v>
      </c>
      <c r="H919" s="4">
        <v>0</v>
      </c>
      <c r="I919" s="4">
        <v>0</v>
      </c>
      <c r="J919" s="4">
        <v>0</v>
      </c>
      <c r="K919" s="4">
        <v>6635975.5</v>
      </c>
      <c r="L919" s="4" t="s">
        <v>2857</v>
      </c>
      <c r="M919" s="4" t="s">
        <v>2858</v>
      </c>
      <c r="N919" s="4" t="s">
        <v>112</v>
      </c>
      <c r="O919" s="4" t="s">
        <v>113</v>
      </c>
      <c r="P919" s="4" t="s">
        <v>113</v>
      </c>
      <c r="Q919" s="8" t="s">
        <v>100</v>
      </c>
      <c r="R919" s="9">
        <f t="shared" si="15"/>
        <v>9.7831691843113823E-5</v>
      </c>
      <c r="S919" s="55">
        <f>Tabla3[[#This Row],[Subtotal]]/12</f>
        <v>464704.16666666669</v>
      </c>
    </row>
    <row r="920" spans="1:19" x14ac:dyDescent="0.2">
      <c r="A920" s="4">
        <v>115</v>
      </c>
      <c r="B920" s="2">
        <v>5565216</v>
      </c>
      <c r="C920" s="2">
        <v>0</v>
      </c>
      <c r="D920" s="4" t="s">
        <v>2862</v>
      </c>
      <c r="E920" s="2">
        <v>5565216</v>
      </c>
      <c r="F920" s="2">
        <v>1057391.04</v>
      </c>
      <c r="G920" s="2">
        <v>0</v>
      </c>
      <c r="H920" s="4">
        <v>0</v>
      </c>
      <c r="I920" s="4">
        <v>0</v>
      </c>
      <c r="J920" s="4">
        <v>0</v>
      </c>
      <c r="K920" s="4">
        <v>6622607.04</v>
      </c>
      <c r="L920" s="4" t="s">
        <v>2860</v>
      </c>
      <c r="M920" s="4" t="s">
        <v>2861</v>
      </c>
      <c r="N920" s="4" t="s">
        <v>20</v>
      </c>
      <c r="O920" s="4" t="s">
        <v>2863</v>
      </c>
      <c r="P920" s="4" t="s">
        <v>2863</v>
      </c>
      <c r="Q920" s="8" t="s">
        <v>100</v>
      </c>
      <c r="R920" s="9">
        <f t="shared" si="15"/>
        <v>9.7634605663525457E-5</v>
      </c>
      <c r="S920" s="55">
        <f>Tabla3[[#This Row],[Subtotal]]/12</f>
        <v>463768</v>
      </c>
    </row>
    <row r="921" spans="1:19" x14ac:dyDescent="0.2">
      <c r="A921" s="4">
        <v>108</v>
      </c>
      <c r="B921" s="2">
        <v>5585199</v>
      </c>
      <c r="C921" s="2">
        <v>26222.16</v>
      </c>
      <c r="D921" s="4" t="s">
        <v>2866</v>
      </c>
      <c r="E921" s="2">
        <v>5558976.8399999999</v>
      </c>
      <c r="F921" s="2">
        <v>1056205.6000000001</v>
      </c>
      <c r="G921" s="2">
        <v>0</v>
      </c>
      <c r="H921" s="4">
        <v>0</v>
      </c>
      <c r="I921" s="4">
        <v>0</v>
      </c>
      <c r="J921" s="4">
        <v>0</v>
      </c>
      <c r="K921" s="4">
        <v>6615182.4400000004</v>
      </c>
      <c r="L921" s="4" t="s">
        <v>2864</v>
      </c>
      <c r="M921" s="4" t="s">
        <v>2865</v>
      </c>
      <c r="N921" s="4" t="s">
        <v>20</v>
      </c>
      <c r="O921" s="4" t="s">
        <v>71</v>
      </c>
      <c r="P921" s="4" t="s">
        <v>71</v>
      </c>
      <c r="Q921" s="8" t="s">
        <v>100</v>
      </c>
      <c r="R921" s="9">
        <f t="shared" si="15"/>
        <v>9.7525147571284008E-5</v>
      </c>
      <c r="S921" s="55">
        <f>Tabla3[[#This Row],[Subtotal]]/12</f>
        <v>463248.07</v>
      </c>
    </row>
    <row r="922" spans="1:19" x14ac:dyDescent="0.2">
      <c r="A922" s="4">
        <v>892</v>
      </c>
      <c r="B922" s="2">
        <v>5542678</v>
      </c>
      <c r="C922" s="2">
        <v>0</v>
      </c>
      <c r="D922" s="4" t="s">
        <v>2869</v>
      </c>
      <c r="E922" s="2">
        <v>5542678</v>
      </c>
      <c r="F922" s="2">
        <v>1053108.82</v>
      </c>
      <c r="G922" s="2">
        <v>0</v>
      </c>
      <c r="H922" s="4">
        <v>0</v>
      </c>
      <c r="I922" s="4">
        <v>0</v>
      </c>
      <c r="J922" s="4">
        <v>0</v>
      </c>
      <c r="K922" s="4">
        <v>6595786.8200000003</v>
      </c>
      <c r="L922" s="4" t="s">
        <v>2867</v>
      </c>
      <c r="M922" s="4" t="s">
        <v>2868</v>
      </c>
      <c r="N922" s="4" t="s">
        <v>20</v>
      </c>
      <c r="O922" s="4" t="s">
        <v>257</v>
      </c>
      <c r="P922" s="4" t="s">
        <v>257</v>
      </c>
      <c r="Q922" s="8" t="s">
        <v>100</v>
      </c>
      <c r="R922" s="9">
        <f t="shared" si="15"/>
        <v>9.7239205243767357E-5</v>
      </c>
      <c r="S922" s="55">
        <f>Tabla3[[#This Row],[Subtotal]]/12</f>
        <v>461889.83333333331</v>
      </c>
    </row>
    <row r="923" spans="1:19" x14ac:dyDescent="0.2">
      <c r="A923" s="4">
        <v>1330</v>
      </c>
      <c r="B923" s="2">
        <v>5525748</v>
      </c>
      <c r="C923" s="2">
        <v>0</v>
      </c>
      <c r="D923" s="4" t="s">
        <v>2872</v>
      </c>
      <c r="E923" s="2">
        <v>5525748</v>
      </c>
      <c r="F923" s="2">
        <v>1049892.1200000001</v>
      </c>
      <c r="G923" s="2">
        <v>0</v>
      </c>
      <c r="H923" s="4">
        <v>0</v>
      </c>
      <c r="I923" s="4">
        <v>0</v>
      </c>
      <c r="J923" s="4">
        <v>0</v>
      </c>
      <c r="K923" s="4">
        <v>6575640.1200000001</v>
      </c>
      <c r="L923" s="4" t="s">
        <v>2870</v>
      </c>
      <c r="M923" s="4" t="s">
        <v>2871</v>
      </c>
      <c r="N923" s="4" t="s">
        <v>674</v>
      </c>
      <c r="O923" s="4" t="s">
        <v>89</v>
      </c>
      <c r="P923" s="4" t="s">
        <v>89</v>
      </c>
      <c r="Q923" s="8" t="s">
        <v>100</v>
      </c>
      <c r="R923" s="9">
        <f t="shared" si="15"/>
        <v>9.6942190020300108E-5</v>
      </c>
      <c r="S923" s="55">
        <f>Tabla3[[#This Row],[Subtotal]]/12</f>
        <v>460479</v>
      </c>
    </row>
    <row r="924" spans="1:19" x14ac:dyDescent="0.2">
      <c r="A924" s="4">
        <v>1360</v>
      </c>
      <c r="B924" s="2">
        <v>5513322</v>
      </c>
      <c r="C924" s="2">
        <v>0</v>
      </c>
      <c r="D924" s="4" t="s">
        <v>1484</v>
      </c>
      <c r="E924" s="2">
        <v>5513322</v>
      </c>
      <c r="F924" s="2">
        <v>1047531.18</v>
      </c>
      <c r="G924" s="2">
        <v>137833.04999999999</v>
      </c>
      <c r="H924" s="4">
        <v>0</v>
      </c>
      <c r="I924" s="4">
        <v>0</v>
      </c>
      <c r="J924" s="4">
        <v>137833.04999999999</v>
      </c>
      <c r="K924" s="4">
        <v>6423020.1299999999</v>
      </c>
      <c r="L924" s="4" t="s">
        <v>1482</v>
      </c>
      <c r="M924" s="4" t="s">
        <v>1483</v>
      </c>
      <c r="N924" s="4" t="s">
        <v>20</v>
      </c>
      <c r="O924" s="4" t="s">
        <v>1517</v>
      </c>
      <c r="P924" s="4" t="s">
        <v>603</v>
      </c>
      <c r="Q924" s="8" t="s">
        <v>28</v>
      </c>
      <c r="R924" s="9">
        <f t="shared" si="15"/>
        <v>9.6724191723383159E-5</v>
      </c>
      <c r="S924" s="55">
        <f>Tabla3[[#This Row],[Subtotal]]/12</f>
        <v>459443.5</v>
      </c>
    </row>
    <row r="925" spans="1:19" x14ac:dyDescent="0.2">
      <c r="A925" s="4">
        <v>777</v>
      </c>
      <c r="B925" s="2">
        <v>5497059</v>
      </c>
      <c r="C925" s="2">
        <v>0</v>
      </c>
      <c r="D925" s="4" t="s">
        <v>2875</v>
      </c>
      <c r="E925" s="2">
        <v>5497059</v>
      </c>
      <c r="F925" s="2">
        <v>1044441.21</v>
      </c>
      <c r="G925" s="2">
        <v>101765.65</v>
      </c>
      <c r="H925" s="4">
        <v>0</v>
      </c>
      <c r="I925" s="4">
        <v>0</v>
      </c>
      <c r="J925" s="4">
        <v>101765.65</v>
      </c>
      <c r="K925" s="4">
        <v>6439734.5599999996</v>
      </c>
      <c r="L925" s="4" t="s">
        <v>2873</v>
      </c>
      <c r="M925" s="4" t="s">
        <v>2874</v>
      </c>
      <c r="N925" s="4" t="s">
        <v>20</v>
      </c>
      <c r="O925" s="4" t="s">
        <v>1043</v>
      </c>
      <c r="P925" s="4" t="s">
        <v>1043</v>
      </c>
      <c r="Q925" s="8" t="s">
        <v>100</v>
      </c>
      <c r="R925" s="9">
        <f t="shared" si="15"/>
        <v>9.6438878162884181E-5</v>
      </c>
      <c r="S925" s="55">
        <f>Tabla3[[#This Row],[Subtotal]]/12</f>
        <v>458088.25</v>
      </c>
    </row>
    <row r="926" spans="1:19" x14ac:dyDescent="0.2">
      <c r="A926" s="4">
        <v>548</v>
      </c>
      <c r="B926" s="2">
        <v>5488249.3799999999</v>
      </c>
      <c r="C926" s="2">
        <v>0</v>
      </c>
      <c r="D926" s="4" t="s">
        <v>2878</v>
      </c>
      <c r="E926" s="2">
        <v>5488249.3799999999</v>
      </c>
      <c r="F926" s="2">
        <v>1042767.38</v>
      </c>
      <c r="G926" s="2">
        <v>137206.24</v>
      </c>
      <c r="H926" s="4">
        <v>0</v>
      </c>
      <c r="I926" s="4">
        <v>0</v>
      </c>
      <c r="J926" s="4">
        <v>137206.24</v>
      </c>
      <c r="K926" s="4">
        <v>6393810.5199999996</v>
      </c>
      <c r="L926" s="4" t="s">
        <v>2876</v>
      </c>
      <c r="M926" s="4" t="s">
        <v>2877</v>
      </c>
      <c r="N926" s="4" t="s">
        <v>20</v>
      </c>
      <c r="O926" s="4" t="s">
        <v>900</v>
      </c>
      <c r="P926" s="4" t="s">
        <v>900</v>
      </c>
      <c r="Q926" s="8" t="s">
        <v>144</v>
      </c>
      <c r="R926" s="9">
        <f t="shared" si="15"/>
        <v>9.6284324633471202E-5</v>
      </c>
      <c r="S926" s="55">
        <f>Tabla3[[#This Row],[Subtotal]]/12</f>
        <v>457354.11499999999</v>
      </c>
    </row>
    <row r="927" spans="1:19" x14ac:dyDescent="0.2">
      <c r="A927" s="4">
        <v>1489</v>
      </c>
      <c r="B927" s="2">
        <v>5440381</v>
      </c>
      <c r="C927" s="2">
        <v>0</v>
      </c>
      <c r="D927" s="4" t="s">
        <v>2881</v>
      </c>
      <c r="E927" s="2">
        <v>5440381</v>
      </c>
      <c r="F927" s="2">
        <v>1033672.39</v>
      </c>
      <c r="G927" s="2">
        <v>0</v>
      </c>
      <c r="H927" s="4">
        <v>0</v>
      </c>
      <c r="I927" s="4">
        <v>0</v>
      </c>
      <c r="J927" s="4">
        <v>0</v>
      </c>
      <c r="K927" s="4">
        <v>6474053.3899999997</v>
      </c>
      <c r="L927" s="4" t="s">
        <v>2879</v>
      </c>
      <c r="M927" s="4" t="s">
        <v>2880</v>
      </c>
      <c r="N927" s="4" t="s">
        <v>20</v>
      </c>
      <c r="O927" s="4" t="s">
        <v>316</v>
      </c>
      <c r="P927" s="4" t="s">
        <v>316</v>
      </c>
      <c r="Q927" s="8" t="s">
        <v>100</v>
      </c>
      <c r="R927" s="9">
        <f t="shared" si="15"/>
        <v>9.5444535053866071E-5</v>
      </c>
      <c r="S927" s="55">
        <f>Tabla3[[#This Row],[Subtotal]]/12</f>
        <v>453365.08333333331</v>
      </c>
    </row>
    <row r="928" spans="1:19" x14ac:dyDescent="0.2">
      <c r="A928" s="4">
        <v>729</v>
      </c>
      <c r="B928" s="2">
        <v>5422713</v>
      </c>
      <c r="C928" s="2">
        <v>0</v>
      </c>
      <c r="D928" s="4" t="s">
        <v>2884</v>
      </c>
      <c r="E928" s="2">
        <v>5422713</v>
      </c>
      <c r="F928" s="2">
        <v>1030315.47</v>
      </c>
      <c r="G928" s="2">
        <v>0</v>
      </c>
      <c r="H928" s="4">
        <v>0</v>
      </c>
      <c r="I928" s="4">
        <v>0</v>
      </c>
      <c r="J928" s="4">
        <v>0</v>
      </c>
      <c r="K928" s="4">
        <v>6453028.4699999997</v>
      </c>
      <c r="L928" s="4" t="s">
        <v>2882</v>
      </c>
      <c r="M928" s="4" t="s">
        <v>2883</v>
      </c>
      <c r="N928" s="4" t="s">
        <v>20</v>
      </c>
      <c r="O928" s="4" t="s">
        <v>540</v>
      </c>
      <c r="P928" s="4" t="s">
        <v>540</v>
      </c>
      <c r="Q928" s="8" t="s">
        <v>100</v>
      </c>
      <c r="R928" s="9">
        <f t="shared" si="15"/>
        <v>9.5134572563126605E-5</v>
      </c>
      <c r="S928" s="55">
        <f>Tabla3[[#This Row],[Subtotal]]/12</f>
        <v>451892.75</v>
      </c>
    </row>
    <row r="929" spans="1:19" x14ac:dyDescent="0.2">
      <c r="A929" s="4">
        <v>819</v>
      </c>
      <c r="B929" s="2">
        <v>5419718</v>
      </c>
      <c r="C929" s="2">
        <v>0</v>
      </c>
      <c r="D929" s="4" t="s">
        <v>2887</v>
      </c>
      <c r="E929" s="2">
        <v>5419718</v>
      </c>
      <c r="F929" s="2">
        <v>1029746.42</v>
      </c>
      <c r="G929" s="2">
        <v>0</v>
      </c>
      <c r="H929" s="4">
        <v>0</v>
      </c>
      <c r="I929" s="4">
        <v>0</v>
      </c>
      <c r="J929" s="4">
        <v>0</v>
      </c>
      <c r="K929" s="4">
        <v>6449464.4199999999</v>
      </c>
      <c r="L929" s="4" t="s">
        <v>2885</v>
      </c>
      <c r="M929" s="4" t="s">
        <v>2886</v>
      </c>
      <c r="N929" s="4" t="s">
        <v>20</v>
      </c>
      <c r="O929" s="4" t="s">
        <v>603</v>
      </c>
      <c r="P929" s="4" t="s">
        <v>603</v>
      </c>
      <c r="Q929" s="8" t="s">
        <v>100</v>
      </c>
      <c r="R929" s="9">
        <f t="shared" si="15"/>
        <v>9.5082029113966265E-5</v>
      </c>
      <c r="S929" s="55">
        <f>Tabla3[[#This Row],[Subtotal]]/12</f>
        <v>451643.16666666669</v>
      </c>
    </row>
    <row r="930" spans="1:19" x14ac:dyDescent="0.2">
      <c r="A930" s="4">
        <v>5</v>
      </c>
      <c r="B930" s="2">
        <v>5418132</v>
      </c>
      <c r="C930" s="2">
        <v>0</v>
      </c>
      <c r="D930" s="4" t="s">
        <v>2890</v>
      </c>
      <c r="E930" s="2">
        <v>5418132</v>
      </c>
      <c r="F930" s="2">
        <v>1029445.08</v>
      </c>
      <c r="G930" s="2">
        <v>135453.29999999999</v>
      </c>
      <c r="H930" s="4">
        <v>0</v>
      </c>
      <c r="I930" s="4">
        <v>0</v>
      </c>
      <c r="J930" s="4">
        <v>135453.29999999999</v>
      </c>
      <c r="K930" s="4">
        <v>6312123.7800000003</v>
      </c>
      <c r="L930" s="4" t="s">
        <v>2888</v>
      </c>
      <c r="M930" s="4" t="s">
        <v>2889</v>
      </c>
      <c r="N930" s="4" t="s">
        <v>2803</v>
      </c>
      <c r="O930" s="4" t="s">
        <v>59</v>
      </c>
      <c r="P930" s="4" t="s">
        <v>59</v>
      </c>
      <c r="Q930" s="8" t="s">
        <v>28</v>
      </c>
      <c r="R930" s="9">
        <f t="shared" si="15"/>
        <v>9.5054204769936794E-5</v>
      </c>
      <c r="S930" s="55">
        <f>Tabla3[[#This Row],[Subtotal]]/12</f>
        <v>451511</v>
      </c>
    </row>
    <row r="931" spans="1:19" x14ac:dyDescent="0.2">
      <c r="A931" s="4">
        <v>381</v>
      </c>
      <c r="B931" s="2">
        <v>5413620</v>
      </c>
      <c r="C931" s="2">
        <v>0</v>
      </c>
      <c r="D931" s="4" t="s">
        <v>2893</v>
      </c>
      <c r="E931" s="2">
        <v>5413620</v>
      </c>
      <c r="F931" s="2">
        <v>1028587.8</v>
      </c>
      <c r="G931" s="2">
        <v>0</v>
      </c>
      <c r="H931" s="4">
        <v>0</v>
      </c>
      <c r="I931" s="4">
        <v>0</v>
      </c>
      <c r="J931" s="4">
        <v>0</v>
      </c>
      <c r="K931" s="4">
        <v>6442207.7999999998</v>
      </c>
      <c r="L931" s="4" t="s">
        <v>2891</v>
      </c>
      <c r="M931" s="4" t="s">
        <v>2892</v>
      </c>
      <c r="N931" s="4" t="s">
        <v>20</v>
      </c>
      <c r="O931" s="4" t="s">
        <v>1517</v>
      </c>
      <c r="P931" s="4" t="s">
        <v>1517</v>
      </c>
      <c r="Q931" s="8" t="s">
        <v>100</v>
      </c>
      <c r="R931" s="9">
        <f t="shared" si="15"/>
        <v>9.4975047493605773E-5</v>
      </c>
      <c r="S931" s="55">
        <f>Tabla3[[#This Row],[Subtotal]]/12</f>
        <v>451135</v>
      </c>
    </row>
    <row r="932" spans="1:19" x14ac:dyDescent="0.2">
      <c r="A932" s="4">
        <v>1532</v>
      </c>
      <c r="B932" s="2">
        <v>5409657</v>
      </c>
      <c r="C932" s="2">
        <v>0</v>
      </c>
      <c r="D932" s="4" t="s">
        <v>2896</v>
      </c>
      <c r="E932" s="2">
        <v>5409657</v>
      </c>
      <c r="F932" s="2">
        <v>1027834.83</v>
      </c>
      <c r="G932" s="2">
        <v>0</v>
      </c>
      <c r="H932" s="4">
        <v>0</v>
      </c>
      <c r="I932" s="4">
        <v>0</v>
      </c>
      <c r="J932" s="4">
        <v>0</v>
      </c>
      <c r="K932" s="4">
        <v>6437491.8300000001</v>
      </c>
      <c r="L932" s="4" t="s">
        <v>2894</v>
      </c>
      <c r="M932" s="4" t="s">
        <v>2895</v>
      </c>
      <c r="N932" s="4" t="s">
        <v>186</v>
      </c>
      <c r="O932" s="4" t="s">
        <v>59</v>
      </c>
      <c r="P932" s="4" t="s">
        <v>59</v>
      </c>
      <c r="Q932" s="8" t="s">
        <v>100</v>
      </c>
      <c r="R932" s="9">
        <f t="shared" si="15"/>
        <v>9.4905521720977252E-5</v>
      </c>
      <c r="S932" s="55">
        <f>Tabla3[[#This Row],[Subtotal]]/12</f>
        <v>450804.75</v>
      </c>
    </row>
    <row r="933" spans="1:19" x14ac:dyDescent="0.2">
      <c r="A933" s="4">
        <v>944</v>
      </c>
      <c r="B933" s="2">
        <v>5406586</v>
      </c>
      <c r="C933" s="2">
        <v>0</v>
      </c>
      <c r="D933" s="4" t="s">
        <v>2899</v>
      </c>
      <c r="E933" s="2">
        <v>5406586</v>
      </c>
      <c r="F933" s="2">
        <v>1027251.34</v>
      </c>
      <c r="G933" s="2">
        <v>90008.8</v>
      </c>
      <c r="H933" s="4">
        <v>0</v>
      </c>
      <c r="I933" s="4">
        <v>0</v>
      </c>
      <c r="J933" s="4">
        <v>90008.8</v>
      </c>
      <c r="K933" s="4">
        <v>6343828.54</v>
      </c>
      <c r="L933" s="4" t="s">
        <v>2897</v>
      </c>
      <c r="M933" s="4" t="s">
        <v>2898</v>
      </c>
      <c r="N933" s="4" t="s">
        <v>20</v>
      </c>
      <c r="O933" s="4" t="s">
        <v>257</v>
      </c>
      <c r="P933" s="4" t="s">
        <v>257</v>
      </c>
      <c r="Q933" s="8" t="s">
        <v>100</v>
      </c>
      <c r="R933" s="9">
        <f t="shared" si="15"/>
        <v>9.4851644948900008E-5</v>
      </c>
      <c r="S933" s="55">
        <f>Tabla3[[#This Row],[Subtotal]]/12</f>
        <v>450548.83333333331</v>
      </c>
    </row>
    <row r="934" spans="1:19" x14ac:dyDescent="0.2">
      <c r="A934" s="4">
        <v>1022</v>
      </c>
      <c r="B934" s="2">
        <v>5404654</v>
      </c>
      <c r="C934" s="2">
        <v>0</v>
      </c>
      <c r="D934" s="4" t="s">
        <v>2902</v>
      </c>
      <c r="E934" s="2">
        <v>5404654</v>
      </c>
      <c r="F934" s="2">
        <v>1026884.26</v>
      </c>
      <c r="G934" s="2">
        <v>30438.5</v>
      </c>
      <c r="H934" s="4">
        <v>0</v>
      </c>
      <c r="I934" s="4">
        <v>0</v>
      </c>
      <c r="J934" s="4">
        <v>30438.5</v>
      </c>
      <c r="K934" s="4">
        <v>6401099.7599999998</v>
      </c>
      <c r="L934" s="4" t="s">
        <v>2900</v>
      </c>
      <c r="M934" s="4" t="s">
        <v>2901</v>
      </c>
      <c r="N934" s="4" t="s">
        <v>20</v>
      </c>
      <c r="O934" s="4" t="s">
        <v>76</v>
      </c>
      <c r="P934" s="4" t="s">
        <v>76</v>
      </c>
      <c r="Q934" s="8" t="s">
        <v>1378</v>
      </c>
      <c r="R934" s="9">
        <f t="shared" si="15"/>
        <v>9.4817750476854012E-5</v>
      </c>
      <c r="S934" s="55">
        <f>Tabla3[[#This Row],[Subtotal]]/12</f>
        <v>450387.83333333331</v>
      </c>
    </row>
    <row r="935" spans="1:19" x14ac:dyDescent="0.2">
      <c r="A935" s="4">
        <v>380</v>
      </c>
      <c r="B935" s="2">
        <v>5381544</v>
      </c>
      <c r="C935" s="2">
        <v>0</v>
      </c>
      <c r="D935" s="4" t="s">
        <v>2905</v>
      </c>
      <c r="E935" s="2">
        <v>5381544</v>
      </c>
      <c r="F935" s="2">
        <v>1022493.36</v>
      </c>
      <c r="G935" s="2">
        <v>0</v>
      </c>
      <c r="H935" s="4">
        <v>0</v>
      </c>
      <c r="I935" s="4">
        <v>0</v>
      </c>
      <c r="J935" s="4">
        <v>0</v>
      </c>
      <c r="K935" s="4">
        <v>6404037.3600000003</v>
      </c>
      <c r="L935" s="4" t="s">
        <v>2903</v>
      </c>
      <c r="M935" s="4" t="s">
        <v>2904</v>
      </c>
      <c r="N935" s="4" t="s">
        <v>2906</v>
      </c>
      <c r="O935" s="4" t="s">
        <v>33</v>
      </c>
      <c r="P935" s="4" t="s">
        <v>33</v>
      </c>
      <c r="Q935" s="8" t="s">
        <v>100</v>
      </c>
      <c r="R935" s="9">
        <f t="shared" si="15"/>
        <v>9.4412315047773788E-5</v>
      </c>
      <c r="S935" s="55">
        <f>Tabla3[[#This Row],[Subtotal]]/12</f>
        <v>448462</v>
      </c>
    </row>
    <row r="936" spans="1:19" x14ac:dyDescent="0.2">
      <c r="A936" s="4">
        <v>1440</v>
      </c>
      <c r="B936" s="2">
        <v>5352750</v>
      </c>
      <c r="C936" s="2">
        <v>0</v>
      </c>
      <c r="D936" s="4" t="s">
        <v>2909</v>
      </c>
      <c r="E936" s="2">
        <v>5352750</v>
      </c>
      <c r="F936" s="2">
        <v>1017022.5</v>
      </c>
      <c r="G936" s="2">
        <v>0</v>
      </c>
      <c r="H936" s="4">
        <v>0</v>
      </c>
      <c r="I936" s="4">
        <v>0</v>
      </c>
      <c r="J936" s="4">
        <v>0</v>
      </c>
      <c r="K936" s="4">
        <v>6369772.5</v>
      </c>
      <c r="L936" s="4" t="s">
        <v>2907</v>
      </c>
      <c r="M936" s="4" t="s">
        <v>2908</v>
      </c>
      <c r="N936" s="4" t="s">
        <v>20</v>
      </c>
      <c r="O936" s="4" t="s">
        <v>631</v>
      </c>
      <c r="P936" s="4" t="s">
        <v>631</v>
      </c>
      <c r="Q936" s="8" t="s">
        <v>100</v>
      </c>
      <c r="R936" s="9">
        <f t="shared" si="15"/>
        <v>9.3907161099485796E-5</v>
      </c>
      <c r="S936" s="55">
        <f>Tabla3[[#This Row],[Subtotal]]/12</f>
        <v>446062.5</v>
      </c>
    </row>
    <row r="937" spans="1:19" x14ac:dyDescent="0.2">
      <c r="A937" s="4">
        <v>496</v>
      </c>
      <c r="B937" s="2">
        <v>5318228</v>
      </c>
      <c r="C937" s="2">
        <v>0</v>
      </c>
      <c r="D937" s="4" t="s">
        <v>2912</v>
      </c>
      <c r="E937" s="2">
        <v>5318228</v>
      </c>
      <c r="F937" s="2">
        <v>1010463.32</v>
      </c>
      <c r="G937" s="2">
        <v>0</v>
      </c>
      <c r="H937" s="4">
        <v>0</v>
      </c>
      <c r="I937" s="4">
        <v>0</v>
      </c>
      <c r="J937" s="4">
        <v>0</v>
      </c>
      <c r="K937" s="4">
        <v>6328691.3200000003</v>
      </c>
      <c r="L937" s="4" t="s">
        <v>2910</v>
      </c>
      <c r="M937" s="4" t="s">
        <v>2911</v>
      </c>
      <c r="N937" s="4" t="s">
        <v>1714</v>
      </c>
      <c r="O937" s="4" t="s">
        <v>559</v>
      </c>
      <c r="P937" s="4" t="s">
        <v>559</v>
      </c>
      <c r="Q937" s="8" t="s">
        <v>100</v>
      </c>
      <c r="R937" s="9">
        <f t="shared" si="15"/>
        <v>9.3301516708195999E-5</v>
      </c>
      <c r="S937" s="55">
        <f>Tabla3[[#This Row],[Subtotal]]/12</f>
        <v>443185.66666666669</v>
      </c>
    </row>
    <row r="938" spans="1:19" x14ac:dyDescent="0.2">
      <c r="A938" s="4">
        <v>1105</v>
      </c>
      <c r="B938" s="2">
        <v>5313332</v>
      </c>
      <c r="C938" s="2">
        <v>0</v>
      </c>
      <c r="D938" s="4" t="s">
        <v>2915</v>
      </c>
      <c r="E938" s="2">
        <v>5313332</v>
      </c>
      <c r="F938" s="2">
        <v>1009533.08</v>
      </c>
      <c r="G938" s="2">
        <v>132833.29999999999</v>
      </c>
      <c r="H938" s="4">
        <v>0</v>
      </c>
      <c r="I938" s="4">
        <v>0</v>
      </c>
      <c r="J938" s="4">
        <v>132833.29999999999</v>
      </c>
      <c r="K938" s="4">
        <v>6190031.7800000003</v>
      </c>
      <c r="L938" s="4" t="s">
        <v>2913</v>
      </c>
      <c r="M938" s="4" t="s">
        <v>2914</v>
      </c>
      <c r="N938" s="4" t="s">
        <v>2916</v>
      </c>
      <c r="O938" s="4" t="s">
        <v>27</v>
      </c>
      <c r="P938" s="4" t="s">
        <v>27</v>
      </c>
      <c r="Q938" s="8" t="s">
        <v>100</v>
      </c>
      <c r="R938" s="9">
        <f t="shared" si="15"/>
        <v>9.3215622642389993E-5</v>
      </c>
      <c r="S938" s="55">
        <f>Tabla3[[#This Row],[Subtotal]]/12</f>
        <v>442777.66666666669</v>
      </c>
    </row>
    <row r="939" spans="1:19" x14ac:dyDescent="0.2">
      <c r="A939" s="4">
        <v>1494</v>
      </c>
      <c r="B939" s="2">
        <v>5304034</v>
      </c>
      <c r="C939" s="2">
        <v>0</v>
      </c>
      <c r="D939" s="4" t="s">
        <v>2919</v>
      </c>
      <c r="E939" s="2">
        <v>5304034</v>
      </c>
      <c r="F939" s="2">
        <v>1007766.46</v>
      </c>
      <c r="G939" s="2">
        <v>0</v>
      </c>
      <c r="H939" s="4">
        <v>0</v>
      </c>
      <c r="I939" s="4">
        <v>0</v>
      </c>
      <c r="J939" s="4">
        <v>0</v>
      </c>
      <c r="K939" s="4">
        <v>6311800.46</v>
      </c>
      <c r="L939" s="4" t="s">
        <v>2917</v>
      </c>
      <c r="M939" s="4" t="s">
        <v>2918</v>
      </c>
      <c r="N939" s="4" t="s">
        <v>20</v>
      </c>
      <c r="O939" s="4" t="s">
        <v>1356</v>
      </c>
      <c r="P939" s="4" t="s">
        <v>1356</v>
      </c>
      <c r="Q939" s="8" t="s">
        <v>100</v>
      </c>
      <c r="R939" s="9">
        <f t="shared" si="15"/>
        <v>9.305250110973799E-5</v>
      </c>
      <c r="S939" s="55">
        <f>Tabla3[[#This Row],[Subtotal]]/12</f>
        <v>442002.83333333331</v>
      </c>
    </row>
    <row r="940" spans="1:19" x14ac:dyDescent="0.2">
      <c r="A940" s="4">
        <v>481</v>
      </c>
      <c r="B940" s="2">
        <v>5277814</v>
      </c>
      <c r="C940" s="2">
        <v>0</v>
      </c>
      <c r="D940" s="4" t="s">
        <v>2922</v>
      </c>
      <c r="E940" s="2">
        <v>5277814</v>
      </c>
      <c r="F940" s="2">
        <v>1002784.66</v>
      </c>
      <c r="G940" s="2">
        <v>39015.199999999997</v>
      </c>
      <c r="H940" s="4">
        <v>0</v>
      </c>
      <c r="I940" s="4">
        <v>0</v>
      </c>
      <c r="J940" s="4">
        <v>39015.199999999997</v>
      </c>
      <c r="K940" s="4">
        <v>6241583.46</v>
      </c>
      <c r="L940" s="4" t="s">
        <v>2920</v>
      </c>
      <c r="M940" s="4" t="s">
        <v>2921</v>
      </c>
      <c r="N940" s="4" t="s">
        <v>20</v>
      </c>
      <c r="O940" s="4" t="s">
        <v>900</v>
      </c>
      <c r="P940" s="4" t="s">
        <v>900</v>
      </c>
      <c r="Q940" s="8" t="s">
        <v>1378</v>
      </c>
      <c r="R940" s="9">
        <f t="shared" si="15"/>
        <v>9.2592504703399472E-5</v>
      </c>
      <c r="S940" s="55">
        <f>Tabla3[[#This Row],[Subtotal]]/12</f>
        <v>439817.83333333331</v>
      </c>
    </row>
    <row r="941" spans="1:19" x14ac:dyDescent="0.2">
      <c r="A941" s="4">
        <v>691</v>
      </c>
      <c r="B941" s="2">
        <v>5265974</v>
      </c>
      <c r="C941" s="2">
        <v>0</v>
      </c>
      <c r="D941" s="4" t="s">
        <v>2925</v>
      </c>
      <c r="E941" s="2">
        <v>5265974</v>
      </c>
      <c r="F941" s="2">
        <v>1000535.06</v>
      </c>
      <c r="G941" s="2">
        <v>100797.74</v>
      </c>
      <c r="H941" s="4">
        <v>0</v>
      </c>
      <c r="I941" s="4">
        <v>0</v>
      </c>
      <c r="J941" s="4">
        <v>100797.74</v>
      </c>
      <c r="K941" s="4">
        <v>6165711.3200000003</v>
      </c>
      <c r="L941" s="4" t="s">
        <v>2923</v>
      </c>
      <c r="M941" s="4" t="s">
        <v>2924</v>
      </c>
      <c r="N941" s="4" t="s">
        <v>20</v>
      </c>
      <c r="O941" s="4" t="s">
        <v>1157</v>
      </c>
      <c r="P941" s="4" t="s">
        <v>1157</v>
      </c>
      <c r="Q941" s="8" t="s">
        <v>100</v>
      </c>
      <c r="R941" s="9">
        <f t="shared" si="15"/>
        <v>9.2384787027920904E-5</v>
      </c>
      <c r="S941" s="55">
        <f>Tabla3[[#This Row],[Subtotal]]/12</f>
        <v>438831.16666666669</v>
      </c>
    </row>
    <row r="942" spans="1:19" x14ac:dyDescent="0.2">
      <c r="A942" s="4">
        <v>594</v>
      </c>
      <c r="B942" s="2">
        <v>5248085</v>
      </c>
      <c r="C942" s="2">
        <v>0</v>
      </c>
      <c r="D942" s="4" t="s">
        <v>2928</v>
      </c>
      <c r="E942" s="2">
        <v>5248085</v>
      </c>
      <c r="F942" s="2">
        <v>997136.15</v>
      </c>
      <c r="G942" s="2">
        <v>131202.13</v>
      </c>
      <c r="H942" s="4">
        <v>0</v>
      </c>
      <c r="I942" s="4">
        <v>0</v>
      </c>
      <c r="J942" s="4">
        <v>131202.13</v>
      </c>
      <c r="K942" s="4">
        <v>6114019.0199999996</v>
      </c>
      <c r="L942" s="4" t="s">
        <v>2926</v>
      </c>
      <c r="M942" s="4" t="s">
        <v>2927</v>
      </c>
      <c r="N942" s="4" t="s">
        <v>195</v>
      </c>
      <c r="O942" s="4" t="s">
        <v>196</v>
      </c>
      <c r="P942" s="4" t="s">
        <v>196</v>
      </c>
      <c r="Q942" s="8" t="s">
        <v>100</v>
      </c>
      <c r="R942" s="9">
        <f t="shared" si="15"/>
        <v>9.2070947374488799E-5</v>
      </c>
      <c r="S942" s="55">
        <f>Tabla3[[#This Row],[Subtotal]]/12</f>
        <v>437340.41666666669</v>
      </c>
    </row>
    <row r="943" spans="1:19" x14ac:dyDescent="0.2">
      <c r="A943" s="4">
        <v>474</v>
      </c>
      <c r="B943" s="2">
        <v>5222686</v>
      </c>
      <c r="C943" s="2">
        <v>0</v>
      </c>
      <c r="D943" s="4" t="s">
        <v>2931</v>
      </c>
      <c r="E943" s="2">
        <v>5222686</v>
      </c>
      <c r="F943" s="2">
        <v>992310.34</v>
      </c>
      <c r="G943" s="2">
        <v>130567.15</v>
      </c>
      <c r="H943" s="4">
        <v>0</v>
      </c>
      <c r="I943" s="4">
        <v>0</v>
      </c>
      <c r="J943" s="4">
        <v>130567.15</v>
      </c>
      <c r="K943" s="4">
        <v>6084429.1900000004</v>
      </c>
      <c r="L943" s="4" t="s">
        <v>2929</v>
      </c>
      <c r="M943" s="4" t="s">
        <v>2930</v>
      </c>
      <c r="N943" s="4" t="s">
        <v>975</v>
      </c>
      <c r="O943" s="4" t="s">
        <v>89</v>
      </c>
      <c r="P943" s="4" t="s">
        <v>89</v>
      </c>
      <c r="Q943" s="8" t="s">
        <v>100</v>
      </c>
      <c r="R943" s="9">
        <f t="shared" si="15"/>
        <v>9.1625354364397558E-5</v>
      </c>
      <c r="S943" s="55">
        <f>Tabla3[[#This Row],[Subtotal]]/12</f>
        <v>435223.83333333331</v>
      </c>
    </row>
    <row r="944" spans="1:19" x14ac:dyDescent="0.2">
      <c r="A944" s="4">
        <v>883</v>
      </c>
      <c r="B944" s="2">
        <v>5201029</v>
      </c>
      <c r="C944" s="2">
        <v>0</v>
      </c>
      <c r="D944" s="4" t="s">
        <v>2934</v>
      </c>
      <c r="E944" s="2">
        <v>5201029</v>
      </c>
      <c r="F944" s="2">
        <v>988195.51</v>
      </c>
      <c r="G944" s="2">
        <v>0</v>
      </c>
      <c r="H944" s="4">
        <v>0</v>
      </c>
      <c r="I944" s="4">
        <v>0</v>
      </c>
      <c r="J944" s="4">
        <v>0</v>
      </c>
      <c r="K944" s="4">
        <v>6189224.5099999998</v>
      </c>
      <c r="L944" s="4" t="s">
        <v>2932</v>
      </c>
      <c r="M944" s="4" t="s">
        <v>2933</v>
      </c>
      <c r="N944" s="4" t="s">
        <v>779</v>
      </c>
      <c r="O944" s="4" t="s">
        <v>33</v>
      </c>
      <c r="P944" s="4" t="s">
        <v>33</v>
      </c>
      <c r="Q944" s="8" t="s">
        <v>100</v>
      </c>
      <c r="R944" s="9">
        <f t="shared" si="15"/>
        <v>9.1245409964242212E-5</v>
      </c>
      <c r="S944" s="55">
        <f>Tabla3[[#This Row],[Subtotal]]/12</f>
        <v>433419.08333333331</v>
      </c>
    </row>
    <row r="945" spans="1:19" x14ac:dyDescent="0.2">
      <c r="A945" s="4">
        <v>1303</v>
      </c>
      <c r="B945" s="2">
        <v>5162211</v>
      </c>
      <c r="C945" s="2">
        <v>0</v>
      </c>
      <c r="D945" s="4" t="s">
        <v>2937</v>
      </c>
      <c r="E945" s="2">
        <v>5162211</v>
      </c>
      <c r="F945" s="2">
        <v>980820.09</v>
      </c>
      <c r="G945" s="2">
        <v>0</v>
      </c>
      <c r="H945" s="4">
        <v>0</v>
      </c>
      <c r="I945" s="4">
        <v>0</v>
      </c>
      <c r="J945" s="4">
        <v>0</v>
      </c>
      <c r="K945" s="4">
        <v>6143031.0899999999</v>
      </c>
      <c r="L945" s="4" t="s">
        <v>2935</v>
      </c>
      <c r="M945" s="4" t="s">
        <v>2936</v>
      </c>
      <c r="N945" s="4" t="s">
        <v>20</v>
      </c>
      <c r="O945" s="4" t="s">
        <v>692</v>
      </c>
      <c r="P945" s="4" t="s">
        <v>692</v>
      </c>
      <c r="Q945" s="8" t="s">
        <v>100</v>
      </c>
      <c r="R945" s="9">
        <f t="shared" si="15"/>
        <v>9.0564397740701074E-5</v>
      </c>
      <c r="S945" s="55">
        <f>Tabla3[[#This Row],[Subtotal]]/12</f>
        <v>430184.25</v>
      </c>
    </row>
    <row r="946" spans="1:19" x14ac:dyDescent="0.2">
      <c r="A946" s="4">
        <v>1284</v>
      </c>
      <c r="B946" s="2">
        <v>5138651</v>
      </c>
      <c r="C946" s="2">
        <v>0</v>
      </c>
      <c r="D946" s="4" t="s">
        <v>2940</v>
      </c>
      <c r="E946" s="2">
        <v>5138651</v>
      </c>
      <c r="F946" s="2">
        <v>976343.69</v>
      </c>
      <c r="G946" s="2">
        <v>0</v>
      </c>
      <c r="H946" s="4">
        <v>0</v>
      </c>
      <c r="I946" s="4">
        <v>0</v>
      </c>
      <c r="J946" s="4">
        <v>0</v>
      </c>
      <c r="K946" s="4">
        <v>6114994.6900000004</v>
      </c>
      <c r="L946" s="4" t="s">
        <v>2938</v>
      </c>
      <c r="M946" s="4" t="s">
        <v>2939</v>
      </c>
      <c r="N946" s="4" t="s">
        <v>142</v>
      </c>
      <c r="O946" s="4" t="s">
        <v>340</v>
      </c>
      <c r="P946" s="4" t="s">
        <v>340</v>
      </c>
      <c r="Q946" s="8" t="s">
        <v>100</v>
      </c>
      <c r="R946" s="9">
        <f t="shared" si="15"/>
        <v>9.0151067636454866E-5</v>
      </c>
      <c r="S946" s="55">
        <f>Tabla3[[#This Row],[Subtotal]]/12</f>
        <v>428220.91666666669</v>
      </c>
    </row>
    <row r="947" spans="1:19" x14ac:dyDescent="0.2">
      <c r="A947" s="4">
        <v>482</v>
      </c>
      <c r="B947" s="2">
        <v>5114914</v>
      </c>
      <c r="C947" s="2">
        <v>0</v>
      </c>
      <c r="D947" s="4" t="s">
        <v>2943</v>
      </c>
      <c r="E947" s="2">
        <v>5114914</v>
      </c>
      <c r="F947" s="2">
        <v>971833.66</v>
      </c>
      <c r="G947" s="2">
        <v>127872.85</v>
      </c>
      <c r="H947" s="4">
        <v>0</v>
      </c>
      <c r="I947" s="4">
        <v>0</v>
      </c>
      <c r="J947" s="4">
        <v>127872.85</v>
      </c>
      <c r="K947" s="4">
        <v>5958874.8099999996</v>
      </c>
      <c r="L947" s="4" t="s">
        <v>2941</v>
      </c>
      <c r="M947" s="4" t="s">
        <v>2942</v>
      </c>
      <c r="N947" s="4" t="s">
        <v>572</v>
      </c>
      <c r="O947" s="4" t="s">
        <v>105</v>
      </c>
      <c r="P947" s="4" t="s">
        <v>105</v>
      </c>
      <c r="Q947" s="8" t="s">
        <v>100</v>
      </c>
      <c r="R947" s="9">
        <f t="shared" si="15"/>
        <v>8.9734632293310027E-5</v>
      </c>
      <c r="S947" s="55">
        <f>Tabla3[[#This Row],[Subtotal]]/12</f>
        <v>426242.83333333331</v>
      </c>
    </row>
    <row r="948" spans="1:19" x14ac:dyDescent="0.2">
      <c r="A948" s="4">
        <v>1744</v>
      </c>
      <c r="B948" s="2">
        <v>5103530</v>
      </c>
      <c r="C948" s="2">
        <v>0</v>
      </c>
      <c r="D948" s="4" t="s">
        <v>2946</v>
      </c>
      <c r="E948" s="2">
        <v>5103530</v>
      </c>
      <c r="F948" s="2">
        <v>969670.7</v>
      </c>
      <c r="G948" s="2">
        <v>127588.25</v>
      </c>
      <c r="H948" s="4">
        <v>0</v>
      </c>
      <c r="I948" s="4">
        <v>0</v>
      </c>
      <c r="J948" s="4">
        <v>127588.25</v>
      </c>
      <c r="K948" s="4">
        <v>5945612.4500000002</v>
      </c>
      <c r="L948" s="4" t="s">
        <v>2944</v>
      </c>
      <c r="M948" s="4" t="s">
        <v>2945</v>
      </c>
      <c r="N948" s="4" t="s">
        <v>63</v>
      </c>
      <c r="O948" s="4" t="s">
        <v>33</v>
      </c>
      <c r="P948" s="4" t="s">
        <v>33</v>
      </c>
      <c r="Q948" s="8" t="s">
        <v>100</v>
      </c>
      <c r="R948" s="9">
        <f t="shared" si="15"/>
        <v>8.9534914555333009E-5</v>
      </c>
      <c r="S948" s="55">
        <f>Tabla3[[#This Row],[Subtotal]]/12</f>
        <v>425294.16666666669</v>
      </c>
    </row>
    <row r="949" spans="1:19" x14ac:dyDescent="0.2">
      <c r="A949" s="4">
        <v>867</v>
      </c>
      <c r="B949" s="2">
        <v>5102044</v>
      </c>
      <c r="C949" s="2">
        <v>0</v>
      </c>
      <c r="D949" s="4" t="s">
        <v>2949</v>
      </c>
      <c r="E949" s="2">
        <v>5102044</v>
      </c>
      <c r="F949" s="2">
        <v>969388.36</v>
      </c>
      <c r="G949" s="2">
        <v>0</v>
      </c>
      <c r="H949" s="4">
        <v>0</v>
      </c>
      <c r="I949" s="4">
        <v>0</v>
      </c>
      <c r="J949" s="4">
        <v>0</v>
      </c>
      <c r="K949" s="4">
        <v>6071432.3600000003</v>
      </c>
      <c r="L949" s="4" t="s">
        <v>2947</v>
      </c>
      <c r="M949" s="4" t="s">
        <v>2948</v>
      </c>
      <c r="N949" s="4" t="s">
        <v>20</v>
      </c>
      <c r="O949" s="4" t="s">
        <v>316</v>
      </c>
      <c r="P949" s="4" t="s">
        <v>316</v>
      </c>
      <c r="Q949" s="8" t="s">
        <v>100</v>
      </c>
      <c r="R949" s="9">
        <f t="shared" si="15"/>
        <v>8.950884458356263E-5</v>
      </c>
      <c r="S949" s="55">
        <f>Tabla3[[#This Row],[Subtotal]]/12</f>
        <v>425170.33333333331</v>
      </c>
    </row>
    <row r="950" spans="1:19" x14ac:dyDescent="0.2">
      <c r="A950" s="4">
        <v>311</v>
      </c>
      <c r="B950" s="2">
        <v>5086080</v>
      </c>
      <c r="C950" s="2">
        <v>0</v>
      </c>
      <c r="D950" s="4" t="s">
        <v>2952</v>
      </c>
      <c r="E950" s="2">
        <v>5086080</v>
      </c>
      <c r="F950" s="2">
        <v>966355.2</v>
      </c>
      <c r="G950" s="2">
        <v>124423.88</v>
      </c>
      <c r="H950" s="4">
        <v>0</v>
      </c>
      <c r="I950" s="4">
        <v>0</v>
      </c>
      <c r="J950" s="4">
        <v>124423.88</v>
      </c>
      <c r="K950" s="4">
        <v>5928011.3200000003</v>
      </c>
      <c r="L950" s="4" t="s">
        <v>2950</v>
      </c>
      <c r="M950" s="4" t="s">
        <v>2951</v>
      </c>
      <c r="N950" s="4" t="s">
        <v>1131</v>
      </c>
      <c r="O950" s="4" t="s">
        <v>2025</v>
      </c>
      <c r="P950" s="4" t="s">
        <v>2025</v>
      </c>
      <c r="Q950" s="8" t="s">
        <v>100</v>
      </c>
      <c r="R950" s="9">
        <f t="shared" si="15"/>
        <v>8.9228776596118393E-5</v>
      </c>
      <c r="S950" s="55">
        <f>Tabla3[[#This Row],[Subtotal]]/12</f>
        <v>423840</v>
      </c>
    </row>
    <row r="951" spans="1:19" x14ac:dyDescent="0.2">
      <c r="A951" s="4">
        <v>1625</v>
      </c>
      <c r="B951" s="2">
        <v>5082008</v>
      </c>
      <c r="C951" s="2">
        <v>0</v>
      </c>
      <c r="D951" s="4" t="s">
        <v>2955</v>
      </c>
      <c r="E951" s="2">
        <v>5082008</v>
      </c>
      <c r="F951" s="2">
        <v>965581.52</v>
      </c>
      <c r="G951" s="2">
        <v>0</v>
      </c>
      <c r="H951" s="4">
        <v>0</v>
      </c>
      <c r="I951" s="4">
        <v>0</v>
      </c>
      <c r="J951" s="4">
        <v>0</v>
      </c>
      <c r="K951" s="4">
        <v>6047589.5199999996</v>
      </c>
      <c r="L951" s="4" t="s">
        <v>2953</v>
      </c>
      <c r="M951" s="4" t="s">
        <v>2954</v>
      </c>
      <c r="N951" s="4" t="s">
        <v>329</v>
      </c>
      <c r="O951" s="4" t="s">
        <v>89</v>
      </c>
      <c r="P951" s="4" t="s">
        <v>89</v>
      </c>
      <c r="Q951" s="8" t="s">
        <v>100</v>
      </c>
      <c r="R951" s="9">
        <f t="shared" si="15"/>
        <v>8.9157338557727453E-5</v>
      </c>
      <c r="S951" s="55">
        <f>Tabla3[[#This Row],[Subtotal]]/12</f>
        <v>423500.66666666669</v>
      </c>
    </row>
    <row r="952" spans="1:19" x14ac:dyDescent="0.2">
      <c r="A952" s="4">
        <v>1318</v>
      </c>
      <c r="B952" s="2">
        <v>5077383</v>
      </c>
      <c r="C952" s="2">
        <v>0</v>
      </c>
      <c r="D952" s="4" t="s">
        <v>2958</v>
      </c>
      <c r="E952" s="2">
        <v>5077383</v>
      </c>
      <c r="F952" s="2">
        <v>964702.77</v>
      </c>
      <c r="G952" s="2">
        <v>0</v>
      </c>
      <c r="H952" s="4">
        <v>0</v>
      </c>
      <c r="I952" s="4">
        <v>0</v>
      </c>
      <c r="J952" s="4">
        <v>0</v>
      </c>
      <c r="K952" s="4">
        <v>6042085.7699999996</v>
      </c>
      <c r="L952" s="4" t="s">
        <v>2956</v>
      </c>
      <c r="M952" s="4" t="s">
        <v>2957</v>
      </c>
      <c r="N952" s="4" t="s">
        <v>117</v>
      </c>
      <c r="O952" s="4" t="s">
        <v>1188</v>
      </c>
      <c r="P952" s="4" t="s">
        <v>1188</v>
      </c>
      <c r="Q952" s="8" t="s">
        <v>100</v>
      </c>
      <c r="R952" s="9">
        <f t="shared" si="15"/>
        <v>8.9076198840743633E-5</v>
      </c>
      <c r="S952" s="55">
        <f>Tabla3[[#This Row],[Subtotal]]/12</f>
        <v>423115.25</v>
      </c>
    </row>
    <row r="953" spans="1:19" x14ac:dyDescent="0.2">
      <c r="A953" s="4">
        <v>579</v>
      </c>
      <c r="B953" s="2">
        <v>5047872</v>
      </c>
      <c r="C953" s="2">
        <v>0</v>
      </c>
      <c r="D953" s="4" t="s">
        <v>2960</v>
      </c>
      <c r="E953" s="2">
        <v>5047872</v>
      </c>
      <c r="F953" s="2">
        <v>959095.68</v>
      </c>
      <c r="G953" s="2">
        <v>60418.1</v>
      </c>
      <c r="H953" s="4">
        <v>0</v>
      </c>
      <c r="I953" s="4">
        <v>0</v>
      </c>
      <c r="J953" s="4">
        <v>60418.1</v>
      </c>
      <c r="K953" s="4">
        <v>5946549.5800000001</v>
      </c>
      <c r="L953" s="4" t="s">
        <v>2959</v>
      </c>
      <c r="M953" s="4" t="s">
        <v>2667</v>
      </c>
      <c r="N953" s="4" t="s">
        <v>20</v>
      </c>
      <c r="O953" s="4" t="s">
        <v>257</v>
      </c>
      <c r="P953" s="4" t="s">
        <v>257</v>
      </c>
      <c r="Q953" s="8" t="s">
        <v>100</v>
      </c>
      <c r="R953" s="9">
        <f t="shared" si="15"/>
        <v>8.855846604335781E-5</v>
      </c>
      <c r="S953" s="55">
        <f>Tabla3[[#This Row],[Subtotal]]/12</f>
        <v>420656</v>
      </c>
    </row>
    <row r="954" spans="1:19" x14ac:dyDescent="0.2">
      <c r="A954" s="4">
        <v>662</v>
      </c>
      <c r="B954" s="2">
        <v>5033513</v>
      </c>
      <c r="C954" s="2">
        <v>0</v>
      </c>
      <c r="D954" s="4" t="s">
        <v>2963</v>
      </c>
      <c r="E954" s="2">
        <v>5033513</v>
      </c>
      <c r="F954" s="2">
        <v>956367.47</v>
      </c>
      <c r="G954" s="2">
        <v>37972.43</v>
      </c>
      <c r="H954" s="4">
        <v>0</v>
      </c>
      <c r="I954" s="4">
        <v>0</v>
      </c>
      <c r="J954" s="4">
        <v>37972.43</v>
      </c>
      <c r="K954" s="4">
        <v>5951908.04</v>
      </c>
      <c r="L954" s="4" t="s">
        <v>2961</v>
      </c>
      <c r="M954" s="4" t="s">
        <v>2962</v>
      </c>
      <c r="N954" s="4" t="s">
        <v>779</v>
      </c>
      <c r="O954" s="4" t="s">
        <v>33</v>
      </c>
      <c r="P954" s="4" t="s">
        <v>33</v>
      </c>
      <c r="Q954" s="8" t="s">
        <v>100</v>
      </c>
      <c r="R954" s="9">
        <f t="shared" si="15"/>
        <v>8.8306555730672273E-5</v>
      </c>
      <c r="S954" s="55">
        <f>Tabla3[[#This Row],[Subtotal]]/12</f>
        <v>419459.41666666669</v>
      </c>
    </row>
    <row r="955" spans="1:19" x14ac:dyDescent="0.2">
      <c r="A955" s="4">
        <v>1416</v>
      </c>
      <c r="B955" s="2">
        <v>5021809</v>
      </c>
      <c r="C955" s="2">
        <v>0</v>
      </c>
      <c r="D955" s="4" t="s">
        <v>2966</v>
      </c>
      <c r="E955" s="2">
        <v>5021809</v>
      </c>
      <c r="F955" s="2">
        <v>954143.71</v>
      </c>
      <c r="G955" s="2">
        <v>15995.63</v>
      </c>
      <c r="H955" s="4">
        <v>0</v>
      </c>
      <c r="I955" s="4">
        <v>0</v>
      </c>
      <c r="J955" s="4">
        <v>15995.63</v>
      </c>
      <c r="K955" s="4">
        <v>5959957.0800000001</v>
      </c>
      <c r="L955" s="4" t="s">
        <v>2964</v>
      </c>
      <c r="M955" s="4" t="s">
        <v>2965</v>
      </c>
      <c r="N955" s="4" t="s">
        <v>20</v>
      </c>
      <c r="O955" s="4" t="s">
        <v>516</v>
      </c>
      <c r="P955" s="4" t="s">
        <v>516</v>
      </c>
      <c r="Q955" s="8" t="s">
        <v>100</v>
      </c>
      <c r="R955" s="9">
        <f t="shared" si="15"/>
        <v>8.8101224001466101E-5</v>
      </c>
      <c r="S955" s="55">
        <f>Tabla3[[#This Row],[Subtotal]]/12</f>
        <v>418484.08333333331</v>
      </c>
    </row>
    <row r="956" spans="1:19" x14ac:dyDescent="0.2">
      <c r="A956" s="4">
        <v>343</v>
      </c>
      <c r="B956" s="2">
        <v>5020723</v>
      </c>
      <c r="C956" s="2">
        <v>0</v>
      </c>
      <c r="D956" s="4" t="s">
        <v>2969</v>
      </c>
      <c r="E956" s="2">
        <v>5020723</v>
      </c>
      <c r="F956" s="2">
        <v>953937.37</v>
      </c>
      <c r="G956" s="2">
        <v>125518.08</v>
      </c>
      <c r="H956" s="4">
        <v>0</v>
      </c>
      <c r="I956" s="4">
        <v>0</v>
      </c>
      <c r="J956" s="4">
        <v>125518.08</v>
      </c>
      <c r="K956" s="4">
        <v>5849142.29</v>
      </c>
      <c r="L956" s="4" t="s">
        <v>2967</v>
      </c>
      <c r="M956" s="4" t="s">
        <v>2968</v>
      </c>
      <c r="N956" s="4" t="s">
        <v>200</v>
      </c>
      <c r="O956" s="4" t="s">
        <v>201</v>
      </c>
      <c r="P956" s="4" t="s">
        <v>201</v>
      </c>
      <c r="Q956" s="8" t="s">
        <v>28</v>
      </c>
      <c r="R956" s="9">
        <f t="shared" si="15"/>
        <v>8.8082171518732161E-5</v>
      </c>
      <c r="S956" s="55">
        <f>Tabla3[[#This Row],[Subtotal]]/12</f>
        <v>418393.58333333331</v>
      </c>
    </row>
    <row r="957" spans="1:19" x14ac:dyDescent="0.2">
      <c r="A957" s="4">
        <v>1077</v>
      </c>
      <c r="B957" s="2">
        <v>5012916</v>
      </c>
      <c r="C957" s="2">
        <v>0</v>
      </c>
      <c r="D957" s="4" t="s">
        <v>2972</v>
      </c>
      <c r="E957" s="2">
        <v>5012916</v>
      </c>
      <c r="F957" s="2">
        <v>952454.04</v>
      </c>
      <c r="G957" s="2">
        <v>0</v>
      </c>
      <c r="H957" s="4">
        <v>0</v>
      </c>
      <c r="I957" s="4">
        <v>0</v>
      </c>
      <c r="J957" s="4">
        <v>0</v>
      </c>
      <c r="K957" s="4">
        <v>5965370.04</v>
      </c>
      <c r="L957" s="4" t="s">
        <v>2970</v>
      </c>
      <c r="M957" s="4" t="s">
        <v>2971</v>
      </c>
      <c r="N957" s="4" t="s">
        <v>20</v>
      </c>
      <c r="O957" s="4" t="s">
        <v>316</v>
      </c>
      <c r="P957" s="4" t="s">
        <v>316</v>
      </c>
      <c r="Q957" s="8" t="s">
        <v>100</v>
      </c>
      <c r="R957" s="9">
        <f t="shared" si="15"/>
        <v>8.7945207676463482E-5</v>
      </c>
      <c r="S957" s="55">
        <f>Tabla3[[#This Row],[Subtotal]]/12</f>
        <v>417743</v>
      </c>
    </row>
    <row r="958" spans="1:19" x14ac:dyDescent="0.2">
      <c r="A958" s="4">
        <v>214</v>
      </c>
      <c r="B958" s="2">
        <v>5010063</v>
      </c>
      <c r="C958" s="2">
        <v>0</v>
      </c>
      <c r="D958" s="4" t="s">
        <v>2975</v>
      </c>
      <c r="E958" s="2">
        <v>5010063</v>
      </c>
      <c r="F958" s="2">
        <v>951911.97</v>
      </c>
      <c r="G958" s="2">
        <v>8955.2999999999993</v>
      </c>
      <c r="H958" s="4">
        <v>0</v>
      </c>
      <c r="I958" s="4">
        <v>0</v>
      </c>
      <c r="J958" s="4">
        <v>8955.2999999999993</v>
      </c>
      <c r="K958" s="4">
        <v>5953019.6699999999</v>
      </c>
      <c r="L958" s="4" t="s">
        <v>2973</v>
      </c>
      <c r="M958" s="4" t="s">
        <v>2974</v>
      </c>
      <c r="N958" s="4" t="s">
        <v>1421</v>
      </c>
      <c r="O958" s="4" t="s">
        <v>340</v>
      </c>
      <c r="P958" s="4" t="s">
        <v>340</v>
      </c>
      <c r="Q958" s="8" t="s">
        <v>100</v>
      </c>
      <c r="R958" s="9">
        <f t="shared" si="15"/>
        <v>8.7895155435911088E-5</v>
      </c>
      <c r="S958" s="55">
        <f>Tabla3[[#This Row],[Subtotal]]/12</f>
        <v>417505.25</v>
      </c>
    </row>
    <row r="959" spans="1:19" x14ac:dyDescent="0.2">
      <c r="A959" s="4">
        <v>1397</v>
      </c>
      <c r="B959" s="2">
        <v>5004367</v>
      </c>
      <c r="C959" s="2">
        <v>0</v>
      </c>
      <c r="D959" s="4" t="s">
        <v>2978</v>
      </c>
      <c r="E959" s="2">
        <v>5004367</v>
      </c>
      <c r="F959" s="2">
        <v>950829.73</v>
      </c>
      <c r="G959" s="2">
        <v>0</v>
      </c>
      <c r="H959" s="4">
        <v>0</v>
      </c>
      <c r="I959" s="4">
        <v>0</v>
      </c>
      <c r="J959" s="4">
        <v>0</v>
      </c>
      <c r="K959" s="4">
        <v>5955196.7300000004</v>
      </c>
      <c r="L959" s="4" t="s">
        <v>2976</v>
      </c>
      <c r="M959" s="4" t="s">
        <v>2977</v>
      </c>
      <c r="N959" s="4" t="s">
        <v>104</v>
      </c>
      <c r="O959" s="4" t="s">
        <v>105</v>
      </c>
      <c r="P959" s="4" t="s">
        <v>105</v>
      </c>
      <c r="Q959" s="8" t="s">
        <v>100</v>
      </c>
      <c r="R959" s="9">
        <f t="shared" si="15"/>
        <v>8.7795226392032205E-5</v>
      </c>
      <c r="S959" s="55">
        <f>Tabla3[[#This Row],[Subtotal]]/12</f>
        <v>417030.58333333331</v>
      </c>
    </row>
    <row r="960" spans="1:19" x14ac:dyDescent="0.2">
      <c r="A960" s="4">
        <v>414</v>
      </c>
      <c r="B960" s="2">
        <v>4979431</v>
      </c>
      <c r="C960" s="2">
        <v>0</v>
      </c>
      <c r="D960" s="4" t="s">
        <v>2981</v>
      </c>
      <c r="E960" s="2">
        <v>4979431</v>
      </c>
      <c r="F960" s="2">
        <v>946091.89</v>
      </c>
      <c r="G960" s="2">
        <v>0</v>
      </c>
      <c r="H960" s="4">
        <v>0</v>
      </c>
      <c r="I960" s="4">
        <v>0</v>
      </c>
      <c r="J960" s="4">
        <v>0</v>
      </c>
      <c r="K960" s="4">
        <v>5925522.8899999997</v>
      </c>
      <c r="L960" s="4" t="s">
        <v>2979</v>
      </c>
      <c r="M960" s="4" t="s">
        <v>2980</v>
      </c>
      <c r="N960" s="4" t="s">
        <v>329</v>
      </c>
      <c r="O960" s="4" t="s">
        <v>89</v>
      </c>
      <c r="P960" s="4" t="s">
        <v>1039</v>
      </c>
      <c r="Q960" s="8" t="s">
        <v>100</v>
      </c>
      <c r="R960" s="9">
        <f t="shared" si="15"/>
        <v>8.7357756125500656E-5</v>
      </c>
      <c r="S960" s="55">
        <f>Tabla3[[#This Row],[Subtotal]]/12</f>
        <v>414952.58333333331</v>
      </c>
    </row>
    <row r="961" spans="1:19" x14ac:dyDescent="0.2">
      <c r="A961" s="4">
        <v>64</v>
      </c>
      <c r="B961" s="2">
        <v>4936014</v>
      </c>
      <c r="C961" s="2">
        <v>0</v>
      </c>
      <c r="D961" s="4" t="s">
        <v>2984</v>
      </c>
      <c r="E961" s="2">
        <v>4936014</v>
      </c>
      <c r="F961" s="2">
        <v>937842.66</v>
      </c>
      <c r="G961" s="2">
        <v>0</v>
      </c>
      <c r="H961" s="4">
        <v>0</v>
      </c>
      <c r="I961" s="4">
        <v>0</v>
      </c>
      <c r="J961" s="4">
        <v>0</v>
      </c>
      <c r="K961" s="4">
        <v>5873856.6600000001</v>
      </c>
      <c r="L961" s="4" t="s">
        <v>2982</v>
      </c>
      <c r="M961" s="4" t="s">
        <v>2983</v>
      </c>
      <c r="N961" s="4" t="s">
        <v>648</v>
      </c>
      <c r="O961" s="4" t="s">
        <v>340</v>
      </c>
      <c r="P961" s="4" t="s">
        <v>340</v>
      </c>
      <c r="Q961" s="8" t="s">
        <v>100</v>
      </c>
      <c r="R961" s="9">
        <f t="shared" si="15"/>
        <v>8.659606032176307E-5</v>
      </c>
      <c r="S961" s="55">
        <f>Tabla3[[#This Row],[Subtotal]]/12</f>
        <v>411334.5</v>
      </c>
    </row>
    <row r="962" spans="1:19" x14ac:dyDescent="0.2">
      <c r="A962" s="4">
        <v>1281</v>
      </c>
      <c r="B962" s="2">
        <v>4881136</v>
      </c>
      <c r="C962" s="2">
        <v>0</v>
      </c>
      <c r="D962" s="4" t="s">
        <v>2987</v>
      </c>
      <c r="E962" s="2">
        <v>4881136</v>
      </c>
      <c r="F962" s="2">
        <v>927415.84</v>
      </c>
      <c r="G962" s="2">
        <v>122028.4</v>
      </c>
      <c r="H962" s="4">
        <v>0</v>
      </c>
      <c r="I962" s="4">
        <v>0</v>
      </c>
      <c r="J962" s="4">
        <v>122028.4</v>
      </c>
      <c r="K962" s="4">
        <v>5686523.4400000004</v>
      </c>
      <c r="L962" s="4" t="s">
        <v>2985</v>
      </c>
      <c r="M962" s="4" t="s">
        <v>2986</v>
      </c>
      <c r="N962" s="4" t="s">
        <v>2988</v>
      </c>
      <c r="O962" s="4" t="s">
        <v>940</v>
      </c>
      <c r="P962" s="4" t="s">
        <v>940</v>
      </c>
      <c r="Q962" s="8" t="s">
        <v>100</v>
      </c>
      <c r="R962" s="9">
        <f t="shared" si="15"/>
        <v>8.5633295913408941E-5</v>
      </c>
      <c r="S962" s="55">
        <f>Tabla3[[#This Row],[Subtotal]]/12</f>
        <v>406761.33333333331</v>
      </c>
    </row>
    <row r="963" spans="1:19" x14ac:dyDescent="0.2">
      <c r="A963" s="4">
        <v>666</v>
      </c>
      <c r="B963" s="2">
        <v>4874208</v>
      </c>
      <c r="C963" s="2">
        <v>0</v>
      </c>
      <c r="D963" s="4" t="s">
        <v>2991</v>
      </c>
      <c r="E963" s="2">
        <v>4874208</v>
      </c>
      <c r="F963" s="2">
        <v>926099.52</v>
      </c>
      <c r="G963" s="2">
        <v>87289.74</v>
      </c>
      <c r="H963" s="4">
        <v>0</v>
      </c>
      <c r="I963" s="4">
        <v>0</v>
      </c>
      <c r="J963" s="4">
        <v>87289.74</v>
      </c>
      <c r="K963" s="4">
        <v>5713017.7800000003</v>
      </c>
      <c r="L963" s="4" t="s">
        <v>2989</v>
      </c>
      <c r="M963" s="4" t="s">
        <v>2990</v>
      </c>
      <c r="N963" s="4" t="s">
        <v>329</v>
      </c>
      <c r="O963" s="4" t="s">
        <v>89</v>
      </c>
      <c r="P963" s="4" t="s">
        <v>89</v>
      </c>
      <c r="Q963" s="8" t="s">
        <v>100</v>
      </c>
      <c r="R963" s="9">
        <f t="shared" ref="R963:R1026" si="16">E963/$E$1757</f>
        <v>8.5511753003297833E-5</v>
      </c>
      <c r="S963" s="55">
        <f>Tabla3[[#This Row],[Subtotal]]/12</f>
        <v>406184</v>
      </c>
    </row>
    <row r="964" spans="1:19" x14ac:dyDescent="0.2">
      <c r="A964" s="4">
        <v>86</v>
      </c>
      <c r="B964" s="2">
        <v>4873948.1399999997</v>
      </c>
      <c r="C964" s="2">
        <v>0</v>
      </c>
      <c r="D964" s="4" t="s">
        <v>2994</v>
      </c>
      <c r="E964" s="2">
        <v>4873948.1399999997</v>
      </c>
      <c r="F964" s="2">
        <v>926050.14</v>
      </c>
      <c r="G964" s="2">
        <v>0</v>
      </c>
      <c r="H964" s="4">
        <v>0</v>
      </c>
      <c r="I964" s="4">
        <v>0</v>
      </c>
      <c r="J964" s="4">
        <v>0</v>
      </c>
      <c r="K964" s="4">
        <v>5799998.2800000003</v>
      </c>
      <c r="L964" s="4" t="s">
        <v>2992</v>
      </c>
      <c r="M964" s="4" t="s">
        <v>2993</v>
      </c>
      <c r="N964" s="4" t="s">
        <v>20</v>
      </c>
      <c r="O964" s="4" t="s">
        <v>1891</v>
      </c>
      <c r="P964" s="4" t="s">
        <v>143</v>
      </c>
      <c r="Q964" s="8" t="s">
        <v>1378</v>
      </c>
      <c r="R964" s="9">
        <f t="shared" si="16"/>
        <v>8.5507194091545305E-5</v>
      </c>
      <c r="S964" s="55">
        <f>Tabla3[[#This Row],[Subtotal]]/12</f>
        <v>406162.34499999997</v>
      </c>
    </row>
    <row r="965" spans="1:19" x14ac:dyDescent="0.2">
      <c r="A965" s="4">
        <v>470</v>
      </c>
      <c r="B965" s="2">
        <v>4836140</v>
      </c>
      <c r="C965" s="2">
        <v>0</v>
      </c>
      <c r="D965" s="4" t="s">
        <v>2997</v>
      </c>
      <c r="E965" s="2">
        <v>4836140</v>
      </c>
      <c r="F965" s="2">
        <v>918866.6</v>
      </c>
      <c r="G965" s="2">
        <v>0</v>
      </c>
      <c r="H965" s="4">
        <v>0</v>
      </c>
      <c r="I965" s="4">
        <v>0</v>
      </c>
      <c r="J965" s="4">
        <v>0</v>
      </c>
      <c r="K965" s="4">
        <v>5755006.5999999996</v>
      </c>
      <c r="L965" s="4" t="s">
        <v>2995</v>
      </c>
      <c r="M965" s="4" t="s">
        <v>2996</v>
      </c>
      <c r="N965" s="4" t="s">
        <v>20</v>
      </c>
      <c r="O965" s="4" t="s">
        <v>1356</v>
      </c>
      <c r="P965" s="4" t="s">
        <v>1356</v>
      </c>
      <c r="Q965" s="8" t="s">
        <v>100</v>
      </c>
      <c r="R965" s="9">
        <f t="shared" si="16"/>
        <v>8.4843898571700013E-5</v>
      </c>
      <c r="S965" s="55">
        <f>Tabla3[[#This Row],[Subtotal]]/12</f>
        <v>403011.66666666669</v>
      </c>
    </row>
    <row r="966" spans="1:19" x14ac:dyDescent="0.2">
      <c r="A966" s="4">
        <v>97</v>
      </c>
      <c r="B966" s="2">
        <v>4832796</v>
      </c>
      <c r="C966" s="2">
        <v>0</v>
      </c>
      <c r="D966" s="4" t="s">
        <v>3000</v>
      </c>
      <c r="E966" s="2">
        <v>4832796</v>
      </c>
      <c r="F966" s="2">
        <v>918231.24</v>
      </c>
      <c r="G966" s="2">
        <v>120819.9</v>
      </c>
      <c r="H966" s="4">
        <v>0</v>
      </c>
      <c r="I966" s="4">
        <v>0</v>
      </c>
      <c r="J966" s="4">
        <v>120819.9</v>
      </c>
      <c r="K966" s="4">
        <v>5630207.3399999999</v>
      </c>
      <c r="L966" s="4" t="s">
        <v>2998</v>
      </c>
      <c r="M966" s="4" t="s">
        <v>2999</v>
      </c>
      <c r="N966" s="4" t="s">
        <v>58</v>
      </c>
      <c r="O966" s="4" t="s">
        <v>59</v>
      </c>
      <c r="P966" s="4" t="s">
        <v>59</v>
      </c>
      <c r="Q966" s="8" t="s">
        <v>100</v>
      </c>
      <c r="R966" s="9">
        <f t="shared" si="16"/>
        <v>8.4785232363355386E-5</v>
      </c>
      <c r="S966" s="55">
        <f>Tabla3[[#This Row],[Subtotal]]/12</f>
        <v>402733</v>
      </c>
    </row>
    <row r="967" spans="1:19" x14ac:dyDescent="0.2">
      <c r="A967" s="4">
        <v>80</v>
      </c>
      <c r="B967" s="2">
        <v>4827040</v>
      </c>
      <c r="C967" s="2">
        <v>0</v>
      </c>
      <c r="D967" s="4" t="s">
        <v>3003</v>
      </c>
      <c r="E967" s="2">
        <v>4827040</v>
      </c>
      <c r="F967" s="2">
        <v>917137.6</v>
      </c>
      <c r="G967" s="2">
        <v>15920.08</v>
      </c>
      <c r="H967" s="4">
        <v>0</v>
      </c>
      <c r="I967" s="4">
        <v>0</v>
      </c>
      <c r="J967" s="4">
        <v>15920.08</v>
      </c>
      <c r="K967" s="4">
        <v>5728257.5199999996</v>
      </c>
      <c r="L967" s="4" t="s">
        <v>3001</v>
      </c>
      <c r="M967" s="4" t="s">
        <v>3002</v>
      </c>
      <c r="N967" s="4" t="s">
        <v>20</v>
      </c>
      <c r="O967" s="4" t="s">
        <v>1157</v>
      </c>
      <c r="P967" s="4" t="s">
        <v>1157</v>
      </c>
      <c r="Q967" s="8" t="s">
        <v>100</v>
      </c>
      <c r="R967" s="9">
        <f t="shared" si="16"/>
        <v>8.4684250696121039E-5</v>
      </c>
      <c r="S967" s="55">
        <f>Tabla3[[#This Row],[Subtotal]]/12</f>
        <v>402253.33333333331</v>
      </c>
    </row>
    <row r="968" spans="1:19" x14ac:dyDescent="0.2">
      <c r="A968" s="4">
        <v>1002</v>
      </c>
      <c r="B968" s="2">
        <v>4815658</v>
      </c>
      <c r="C968" s="2">
        <v>0</v>
      </c>
      <c r="D968" s="4" t="s">
        <v>3006</v>
      </c>
      <c r="E968" s="2">
        <v>4815658</v>
      </c>
      <c r="F968" s="2">
        <v>914975.02</v>
      </c>
      <c r="G968" s="2">
        <v>0</v>
      </c>
      <c r="H968" s="4">
        <v>0</v>
      </c>
      <c r="I968" s="4">
        <v>0</v>
      </c>
      <c r="J968" s="4">
        <v>0</v>
      </c>
      <c r="K968" s="4">
        <v>5730633.0199999996</v>
      </c>
      <c r="L968" s="4" t="s">
        <v>3004</v>
      </c>
      <c r="M968" s="4" t="s">
        <v>3005</v>
      </c>
      <c r="N968" s="4" t="s">
        <v>20</v>
      </c>
      <c r="O968" s="4" t="s">
        <v>768</v>
      </c>
      <c r="P968" s="4" t="s">
        <v>768</v>
      </c>
      <c r="Q968" s="8" t="s">
        <v>100</v>
      </c>
      <c r="R968" s="9">
        <f t="shared" si="16"/>
        <v>8.448456804558919E-5</v>
      </c>
      <c r="S968" s="55">
        <f>Tabla3[[#This Row],[Subtotal]]/12</f>
        <v>401304.83333333331</v>
      </c>
    </row>
    <row r="969" spans="1:19" x14ac:dyDescent="0.2">
      <c r="A969" s="4">
        <v>891</v>
      </c>
      <c r="B969" s="2">
        <v>4808457</v>
      </c>
      <c r="C969" s="2">
        <v>0</v>
      </c>
      <c r="D969" s="4" t="s">
        <v>3009</v>
      </c>
      <c r="E969" s="2">
        <v>4808457</v>
      </c>
      <c r="F969" s="2">
        <v>913606.83</v>
      </c>
      <c r="G969" s="2">
        <v>0</v>
      </c>
      <c r="H969" s="4">
        <v>0</v>
      </c>
      <c r="I969" s="4">
        <v>0</v>
      </c>
      <c r="J969" s="4">
        <v>0</v>
      </c>
      <c r="K969" s="4">
        <v>5722063.8300000001</v>
      </c>
      <c r="L969" s="4" t="s">
        <v>3007</v>
      </c>
      <c r="M969" s="4" t="s">
        <v>3008</v>
      </c>
      <c r="N969" s="4" t="s">
        <v>20</v>
      </c>
      <c r="O969" s="4" t="s">
        <v>768</v>
      </c>
      <c r="P969" s="4" t="s">
        <v>768</v>
      </c>
      <c r="Q969" s="8" t="s">
        <v>100</v>
      </c>
      <c r="R969" s="9">
        <f t="shared" si="16"/>
        <v>8.4358235699210713E-5</v>
      </c>
      <c r="S969" s="55">
        <f>Tabla3[[#This Row],[Subtotal]]/12</f>
        <v>400704.75</v>
      </c>
    </row>
    <row r="970" spans="1:19" x14ac:dyDescent="0.2">
      <c r="A970" s="4">
        <v>1726</v>
      </c>
      <c r="B970" s="2">
        <v>4780481</v>
      </c>
      <c r="C970" s="2">
        <v>0</v>
      </c>
      <c r="D970" s="4" t="s">
        <v>3012</v>
      </c>
      <c r="E970" s="2">
        <v>4780481</v>
      </c>
      <c r="F970" s="2">
        <v>908291.39</v>
      </c>
      <c r="G970" s="2">
        <v>0</v>
      </c>
      <c r="H970" s="4">
        <v>0</v>
      </c>
      <c r="I970" s="4">
        <v>0</v>
      </c>
      <c r="J970" s="4">
        <v>0</v>
      </c>
      <c r="K970" s="4">
        <v>5688772.3899999997</v>
      </c>
      <c r="L970" s="4" t="s">
        <v>3010</v>
      </c>
      <c r="M970" s="4" t="s">
        <v>3011</v>
      </c>
      <c r="N970" s="4" t="s">
        <v>20</v>
      </c>
      <c r="O970" s="4" t="s">
        <v>261</v>
      </c>
      <c r="P970" s="4" t="s">
        <v>261</v>
      </c>
      <c r="Q970" s="8" t="s">
        <v>100</v>
      </c>
      <c r="R970" s="9">
        <f t="shared" si="16"/>
        <v>8.3867432516002236E-5</v>
      </c>
      <c r="S970" s="55">
        <f>Tabla3[[#This Row],[Subtotal]]/12</f>
        <v>398373.41666666669</v>
      </c>
    </row>
    <row r="971" spans="1:19" x14ac:dyDescent="0.2">
      <c r="A971" s="4">
        <v>1561</v>
      </c>
      <c r="B971" s="2">
        <v>4777383</v>
      </c>
      <c r="C971" s="2">
        <v>0</v>
      </c>
      <c r="D971" s="4" t="s">
        <v>3015</v>
      </c>
      <c r="E971" s="2">
        <v>4777383</v>
      </c>
      <c r="F971" s="2">
        <v>907702.77</v>
      </c>
      <c r="G971" s="2">
        <v>0</v>
      </c>
      <c r="H971" s="4">
        <v>0</v>
      </c>
      <c r="I971" s="4">
        <v>0</v>
      </c>
      <c r="J971" s="4">
        <v>0</v>
      </c>
      <c r="K971" s="4">
        <v>5685085.7699999996</v>
      </c>
      <c r="L971" s="4" t="s">
        <v>3013</v>
      </c>
      <c r="M971" s="4" t="s">
        <v>3014</v>
      </c>
      <c r="N971" s="4" t="s">
        <v>329</v>
      </c>
      <c r="O971" s="4" t="s">
        <v>89</v>
      </c>
      <c r="P971" s="4" t="s">
        <v>89</v>
      </c>
      <c r="Q971" s="8" t="s">
        <v>100</v>
      </c>
      <c r="R971" s="9">
        <f t="shared" si="16"/>
        <v>8.3813082063415015E-5</v>
      </c>
      <c r="S971" s="55">
        <f>Tabla3[[#This Row],[Subtotal]]/12</f>
        <v>398115.25</v>
      </c>
    </row>
    <row r="972" spans="1:19" x14ac:dyDescent="0.2">
      <c r="A972" s="4">
        <v>1585</v>
      </c>
      <c r="B972" s="2">
        <v>4773681</v>
      </c>
      <c r="C972" s="2">
        <v>0</v>
      </c>
      <c r="D972" s="4" t="s">
        <v>3018</v>
      </c>
      <c r="E972" s="2">
        <v>4773681</v>
      </c>
      <c r="F972" s="2">
        <v>906999.39</v>
      </c>
      <c r="G972" s="2">
        <v>119342.03</v>
      </c>
      <c r="H972" s="4">
        <v>0</v>
      </c>
      <c r="I972" s="4">
        <v>0</v>
      </c>
      <c r="J972" s="4">
        <v>119342.03</v>
      </c>
      <c r="K972" s="4">
        <v>5561338.3600000003</v>
      </c>
      <c r="L972" s="4" t="s">
        <v>3016</v>
      </c>
      <c r="M972" s="4" t="s">
        <v>3017</v>
      </c>
      <c r="N972" s="4" t="s">
        <v>20</v>
      </c>
      <c r="O972" s="4" t="s">
        <v>386</v>
      </c>
      <c r="P972" s="4" t="s">
        <v>386</v>
      </c>
      <c r="Q972" s="8" t="s">
        <v>408</v>
      </c>
      <c r="R972" s="9">
        <f t="shared" si="16"/>
        <v>8.3748135202382776E-5</v>
      </c>
      <c r="S972" s="55">
        <f>Tabla3[[#This Row],[Subtotal]]/12</f>
        <v>397806.75</v>
      </c>
    </row>
    <row r="973" spans="1:19" x14ac:dyDescent="0.2">
      <c r="A973" s="4">
        <v>938</v>
      </c>
      <c r="B973" s="2">
        <v>4737409.05</v>
      </c>
      <c r="C973" s="2">
        <v>0</v>
      </c>
      <c r="D973" s="4" t="s">
        <v>3021</v>
      </c>
      <c r="E973" s="2">
        <v>4737409.05</v>
      </c>
      <c r="F973" s="2">
        <v>900107.72</v>
      </c>
      <c r="G973" s="2">
        <v>0</v>
      </c>
      <c r="H973" s="4">
        <v>0</v>
      </c>
      <c r="I973" s="4">
        <v>0</v>
      </c>
      <c r="J973" s="4">
        <v>0</v>
      </c>
      <c r="K973" s="4">
        <v>5637516.7699999996</v>
      </c>
      <c r="L973" s="4" t="s">
        <v>3019</v>
      </c>
      <c r="M973" s="4" t="s">
        <v>3020</v>
      </c>
      <c r="N973" s="4" t="s">
        <v>142</v>
      </c>
      <c r="O973" s="4" t="s">
        <v>76</v>
      </c>
      <c r="P973" s="4" t="s">
        <v>76</v>
      </c>
      <c r="Q973" s="8" t="s">
        <v>144</v>
      </c>
      <c r="R973" s="9">
        <f t="shared" si="16"/>
        <v>8.3111790173744698E-5</v>
      </c>
      <c r="S973" s="55">
        <f>Tabla3[[#This Row],[Subtotal]]/12</f>
        <v>394784.08749999997</v>
      </c>
    </row>
    <row r="974" spans="1:19" x14ac:dyDescent="0.2">
      <c r="A974" s="4">
        <v>1004</v>
      </c>
      <c r="B974" s="2">
        <v>4735725</v>
      </c>
      <c r="C974" s="2">
        <v>0</v>
      </c>
      <c r="D974" s="4" t="s">
        <v>3024</v>
      </c>
      <c r="E974" s="2">
        <v>4735725</v>
      </c>
      <c r="F974" s="2">
        <v>899787.75</v>
      </c>
      <c r="G974" s="2">
        <v>0</v>
      </c>
      <c r="H974" s="4">
        <v>0</v>
      </c>
      <c r="I974" s="4">
        <v>0</v>
      </c>
      <c r="J974" s="4">
        <v>0</v>
      </c>
      <c r="K974" s="4">
        <v>5635512.75</v>
      </c>
      <c r="L974" s="4" t="s">
        <v>3022</v>
      </c>
      <c r="M974" s="4" t="s">
        <v>3023</v>
      </c>
      <c r="N974" s="4" t="s">
        <v>2206</v>
      </c>
      <c r="O974" s="4" t="s">
        <v>196</v>
      </c>
      <c r="P974" s="4" t="s">
        <v>196</v>
      </c>
      <c r="Q974" s="8" t="s">
        <v>100</v>
      </c>
      <c r="R974" s="9">
        <f t="shared" si="16"/>
        <v>8.3082245667715163E-5</v>
      </c>
      <c r="S974" s="55">
        <f>Tabla3[[#This Row],[Subtotal]]/12</f>
        <v>394643.75</v>
      </c>
    </row>
    <row r="975" spans="1:19" x14ac:dyDescent="0.2">
      <c r="A975" s="4">
        <v>1685</v>
      </c>
      <c r="B975" s="2">
        <v>4717570</v>
      </c>
      <c r="C975" s="2">
        <v>0</v>
      </c>
      <c r="D975" s="4" t="s">
        <v>3027</v>
      </c>
      <c r="E975" s="2">
        <v>4717570</v>
      </c>
      <c r="F975" s="2">
        <v>896338.3</v>
      </c>
      <c r="G975" s="2">
        <v>117939.25</v>
      </c>
      <c r="H975" s="4">
        <v>0</v>
      </c>
      <c r="I975" s="4">
        <v>0</v>
      </c>
      <c r="J975" s="4">
        <v>117939.25</v>
      </c>
      <c r="K975" s="4">
        <v>5495969.0499999998</v>
      </c>
      <c r="L975" s="4" t="s">
        <v>3025</v>
      </c>
      <c r="M975" s="4" t="s">
        <v>3026</v>
      </c>
      <c r="N975" s="4" t="s">
        <v>20</v>
      </c>
      <c r="O975" s="4" t="s">
        <v>71</v>
      </c>
      <c r="P975" s="4" t="s">
        <v>71</v>
      </c>
      <c r="Q975" s="8" t="s">
        <v>100</v>
      </c>
      <c r="R975" s="9">
        <f t="shared" si="16"/>
        <v>8.2763739384073831E-5</v>
      </c>
      <c r="S975" s="55">
        <f>Tabla3[[#This Row],[Subtotal]]/12</f>
        <v>393130.83333333331</v>
      </c>
    </row>
    <row r="976" spans="1:19" x14ac:dyDescent="0.2">
      <c r="A976" s="4">
        <v>1541</v>
      </c>
      <c r="B976" s="2">
        <v>4716585</v>
      </c>
      <c r="C976" s="2">
        <v>0</v>
      </c>
      <c r="D976" s="4" t="s">
        <v>3029</v>
      </c>
      <c r="E976" s="2">
        <v>4716585</v>
      </c>
      <c r="F976" s="2">
        <v>896151.15</v>
      </c>
      <c r="G976" s="2">
        <v>117914.63</v>
      </c>
      <c r="H976" s="4">
        <v>0</v>
      </c>
      <c r="I976" s="4">
        <v>0</v>
      </c>
      <c r="J976" s="4">
        <v>117914.63</v>
      </c>
      <c r="K976" s="4">
        <v>5494821.5199999996</v>
      </c>
      <c r="L976" s="4" t="s">
        <v>3028</v>
      </c>
      <c r="M976" s="4" t="s">
        <v>1600</v>
      </c>
      <c r="N976" s="4" t="s">
        <v>1161</v>
      </c>
      <c r="O976" s="4" t="s">
        <v>113</v>
      </c>
      <c r="P976" s="4" t="s">
        <v>113</v>
      </c>
      <c r="Q976" s="8" t="s">
        <v>100</v>
      </c>
      <c r="R976" s="9">
        <f t="shared" si="16"/>
        <v>8.2746458817321603E-5</v>
      </c>
      <c r="S976" s="55">
        <f>Tabla3[[#This Row],[Subtotal]]/12</f>
        <v>393048.75</v>
      </c>
    </row>
    <row r="977" spans="1:19" x14ac:dyDescent="0.2">
      <c r="A977" s="4">
        <v>566</v>
      </c>
      <c r="B977" s="2">
        <v>4710729</v>
      </c>
      <c r="C977" s="2">
        <v>0</v>
      </c>
      <c r="D977" s="4" t="s">
        <v>3032</v>
      </c>
      <c r="E977" s="2">
        <v>4710729</v>
      </c>
      <c r="F977" s="2">
        <v>895038.51</v>
      </c>
      <c r="G977" s="2">
        <v>93447.08</v>
      </c>
      <c r="H977" s="4">
        <v>0</v>
      </c>
      <c r="I977" s="4">
        <v>0</v>
      </c>
      <c r="J977" s="4">
        <v>93447.08</v>
      </c>
      <c r="K977" s="4">
        <v>5512320.4299999997</v>
      </c>
      <c r="L977" s="4" t="s">
        <v>3030</v>
      </c>
      <c r="M977" s="4" t="s">
        <v>3031</v>
      </c>
      <c r="N977" s="4" t="s">
        <v>20</v>
      </c>
      <c r="O977" s="4" t="s">
        <v>768</v>
      </c>
      <c r="P977" s="4" t="s">
        <v>768</v>
      </c>
      <c r="Q977" s="8" t="s">
        <v>100</v>
      </c>
      <c r="R977" s="9">
        <f t="shared" si="16"/>
        <v>8.264372277782815E-5</v>
      </c>
      <c r="S977" s="55">
        <f>Tabla3[[#This Row],[Subtotal]]/12</f>
        <v>392560.75</v>
      </c>
    </row>
    <row r="978" spans="1:19" x14ac:dyDescent="0.2">
      <c r="A978" s="4">
        <v>1274</v>
      </c>
      <c r="B978" s="2">
        <v>4706550</v>
      </c>
      <c r="C978" s="2">
        <v>0</v>
      </c>
      <c r="D978" s="4" t="s">
        <v>3035</v>
      </c>
      <c r="E978" s="2">
        <v>4706550</v>
      </c>
      <c r="F978" s="2">
        <v>894244.5</v>
      </c>
      <c r="G978" s="2">
        <v>83235.850000000006</v>
      </c>
      <c r="H978" s="4">
        <v>0</v>
      </c>
      <c r="I978" s="4">
        <v>0</v>
      </c>
      <c r="J978" s="4">
        <v>83235.850000000006</v>
      </c>
      <c r="K978" s="4">
        <v>5517558.6500000004</v>
      </c>
      <c r="L978" s="4" t="s">
        <v>3033</v>
      </c>
      <c r="M978" s="4" t="s">
        <v>3034</v>
      </c>
      <c r="N978" s="4" t="s">
        <v>20</v>
      </c>
      <c r="O978" s="4" t="s">
        <v>76</v>
      </c>
      <c r="P978" s="4" t="s">
        <v>76</v>
      </c>
      <c r="Q978" s="8" t="s">
        <v>585</v>
      </c>
      <c r="R978" s="9">
        <f t="shared" si="16"/>
        <v>8.2570407561119961E-5</v>
      </c>
      <c r="S978" s="55">
        <f>Tabla3[[#This Row],[Subtotal]]/12</f>
        <v>392212.5</v>
      </c>
    </row>
    <row r="979" spans="1:19" x14ac:dyDescent="0.2">
      <c r="A979" s="4">
        <v>728</v>
      </c>
      <c r="B979" s="2">
        <v>4669086</v>
      </c>
      <c r="C979" s="2">
        <v>0</v>
      </c>
      <c r="D979" s="4" t="s">
        <v>3038</v>
      </c>
      <c r="E979" s="2">
        <v>4669086</v>
      </c>
      <c r="F979" s="2">
        <v>887126.34</v>
      </c>
      <c r="G979" s="2">
        <v>0</v>
      </c>
      <c r="H979" s="4">
        <v>0</v>
      </c>
      <c r="I979" s="4">
        <v>0</v>
      </c>
      <c r="J979" s="4">
        <v>0</v>
      </c>
      <c r="K979" s="4">
        <v>5556212.3399999999</v>
      </c>
      <c r="L979" s="4" t="s">
        <v>3036</v>
      </c>
      <c r="M979" s="4" t="s">
        <v>3037</v>
      </c>
      <c r="N979" s="4" t="s">
        <v>975</v>
      </c>
      <c r="O979" s="4" t="s">
        <v>89</v>
      </c>
      <c r="P979" s="4" t="s">
        <v>89</v>
      </c>
      <c r="Q979" s="8" t="s">
        <v>100</v>
      </c>
      <c r="R979" s="9">
        <f t="shared" si="16"/>
        <v>8.191314953796716E-5</v>
      </c>
      <c r="S979" s="55">
        <f>Tabla3[[#This Row],[Subtotal]]/12</f>
        <v>389090.5</v>
      </c>
    </row>
    <row r="980" spans="1:19" x14ac:dyDescent="0.2">
      <c r="A980" s="4">
        <v>1724</v>
      </c>
      <c r="B980" s="2">
        <v>4658175</v>
      </c>
      <c r="C980" s="2">
        <v>0</v>
      </c>
      <c r="D980" s="4" t="s">
        <v>3041</v>
      </c>
      <c r="E980" s="2">
        <v>4658175</v>
      </c>
      <c r="F980" s="2">
        <v>885053.25</v>
      </c>
      <c r="G980" s="2">
        <v>93314.38</v>
      </c>
      <c r="H980" s="4">
        <v>0</v>
      </c>
      <c r="I980" s="4">
        <v>0</v>
      </c>
      <c r="J980" s="4">
        <v>93314.38</v>
      </c>
      <c r="K980" s="4">
        <v>5449913.8700000001</v>
      </c>
      <c r="L980" s="4" t="s">
        <v>3039</v>
      </c>
      <c r="M980" s="4" t="s">
        <v>3040</v>
      </c>
      <c r="N980" s="4" t="s">
        <v>468</v>
      </c>
      <c r="O980" s="4" t="s">
        <v>105</v>
      </c>
      <c r="P980" s="4" t="s">
        <v>105</v>
      </c>
      <c r="Q980" s="8" t="s">
        <v>100</v>
      </c>
      <c r="R980" s="9">
        <f t="shared" si="16"/>
        <v>8.1721729980775723E-5</v>
      </c>
      <c r="S980" s="55">
        <f>Tabla3[[#This Row],[Subtotal]]/12</f>
        <v>388181.25</v>
      </c>
    </row>
    <row r="981" spans="1:19" x14ac:dyDescent="0.2">
      <c r="A981" s="4">
        <v>375</v>
      </c>
      <c r="B981" s="2">
        <v>4626880</v>
      </c>
      <c r="C981" s="2">
        <v>0</v>
      </c>
      <c r="D981" s="4" t="s">
        <v>3044</v>
      </c>
      <c r="E981" s="2">
        <v>4626880</v>
      </c>
      <c r="F981" s="2">
        <v>879107.2</v>
      </c>
      <c r="G981" s="2">
        <v>115672</v>
      </c>
      <c r="H981" s="4">
        <v>0</v>
      </c>
      <c r="I981" s="4">
        <v>0</v>
      </c>
      <c r="J981" s="4">
        <v>115672</v>
      </c>
      <c r="K981" s="4">
        <v>5390315.2000000002</v>
      </c>
      <c r="L981" s="4" t="s">
        <v>3042</v>
      </c>
      <c r="M981" s="4" t="s">
        <v>3043</v>
      </c>
      <c r="N981" s="4" t="s">
        <v>104</v>
      </c>
      <c r="O981" s="4" t="s">
        <v>76</v>
      </c>
      <c r="P981" s="4" t="s">
        <v>76</v>
      </c>
      <c r="Q981" s="8" t="s">
        <v>1378</v>
      </c>
      <c r="R981" s="9">
        <f t="shared" si="16"/>
        <v>8.1172699182287386E-5</v>
      </c>
      <c r="S981" s="55">
        <f>Tabla3[[#This Row],[Subtotal]]/12</f>
        <v>385573.33333333331</v>
      </c>
    </row>
    <row r="982" spans="1:19" x14ac:dyDescent="0.2">
      <c r="A982" s="4">
        <v>1202</v>
      </c>
      <c r="B982" s="2">
        <v>4595060</v>
      </c>
      <c r="C982" s="2">
        <v>0</v>
      </c>
      <c r="D982" s="4" t="s">
        <v>3047</v>
      </c>
      <c r="E982" s="2">
        <v>4595060</v>
      </c>
      <c r="F982" s="2">
        <v>873061.4</v>
      </c>
      <c r="G982" s="2">
        <v>0</v>
      </c>
      <c r="H982" s="4">
        <v>0</v>
      </c>
      <c r="I982" s="4">
        <v>0</v>
      </c>
      <c r="J982" s="4">
        <v>0</v>
      </c>
      <c r="K982" s="4">
        <v>5468121.4000000004</v>
      </c>
      <c r="L982" s="4" t="s">
        <v>3045</v>
      </c>
      <c r="M982" s="4" t="s">
        <v>3046</v>
      </c>
      <c r="N982" s="4" t="s">
        <v>746</v>
      </c>
      <c r="O982" s="4" t="s">
        <v>747</v>
      </c>
      <c r="P982" s="4" t="s">
        <v>747</v>
      </c>
      <c r="Q982" s="8" t="s">
        <v>100</v>
      </c>
      <c r="R982" s="9">
        <f t="shared" si="16"/>
        <v>8.0614457929438737E-5</v>
      </c>
      <c r="S982" s="55">
        <f>Tabla3[[#This Row],[Subtotal]]/12</f>
        <v>382921.66666666669</v>
      </c>
    </row>
    <row r="983" spans="1:19" x14ac:dyDescent="0.2">
      <c r="A983" s="4">
        <v>843</v>
      </c>
      <c r="B983" s="2">
        <v>4584156</v>
      </c>
      <c r="C983" s="2">
        <v>0</v>
      </c>
      <c r="D983" s="4" t="s">
        <v>3050</v>
      </c>
      <c r="E983" s="2">
        <v>4584156</v>
      </c>
      <c r="F983" s="2">
        <v>870989.64</v>
      </c>
      <c r="G983" s="2">
        <v>78202.149999999994</v>
      </c>
      <c r="H983" s="4">
        <v>0</v>
      </c>
      <c r="I983" s="4">
        <v>0</v>
      </c>
      <c r="J983" s="4">
        <v>78202.149999999994</v>
      </c>
      <c r="K983" s="4">
        <v>5376943.4900000002</v>
      </c>
      <c r="L983" s="4" t="s">
        <v>3048</v>
      </c>
      <c r="M983" s="4" t="s">
        <v>3049</v>
      </c>
      <c r="N983" s="4" t="s">
        <v>20</v>
      </c>
      <c r="O983" s="4" t="s">
        <v>76</v>
      </c>
      <c r="P983" s="4" t="s">
        <v>76</v>
      </c>
      <c r="Q983" s="8" t="s">
        <v>1378</v>
      </c>
      <c r="R983" s="9">
        <f t="shared" si="16"/>
        <v>8.0423161178305429E-5</v>
      </c>
      <c r="S983" s="55">
        <f>Tabla3[[#This Row],[Subtotal]]/12</f>
        <v>382013</v>
      </c>
    </row>
    <row r="984" spans="1:19" x14ac:dyDescent="0.2">
      <c r="A984" s="4">
        <v>769</v>
      </c>
      <c r="B984" s="2">
        <v>4563392</v>
      </c>
      <c r="C984" s="2">
        <v>0</v>
      </c>
      <c r="D984" s="4" t="s">
        <v>3053</v>
      </c>
      <c r="E984" s="2">
        <v>4563392</v>
      </c>
      <c r="F984" s="2">
        <v>867044.48</v>
      </c>
      <c r="G984" s="2">
        <v>0</v>
      </c>
      <c r="H984" s="4">
        <v>0</v>
      </c>
      <c r="I984" s="4">
        <v>0</v>
      </c>
      <c r="J984" s="4">
        <v>0</v>
      </c>
      <c r="K984" s="4">
        <v>5430436.4800000004</v>
      </c>
      <c r="L984" s="4" t="s">
        <v>3051</v>
      </c>
      <c r="M984" s="4" t="s">
        <v>3052</v>
      </c>
      <c r="N984" s="4" t="s">
        <v>1421</v>
      </c>
      <c r="O984" s="4" t="s">
        <v>340</v>
      </c>
      <c r="P984" s="4" t="s">
        <v>340</v>
      </c>
      <c r="Q984" s="8" t="s">
        <v>100</v>
      </c>
      <c r="R984" s="9">
        <f t="shared" si="16"/>
        <v>8.0058883322423925E-5</v>
      </c>
      <c r="S984" s="55">
        <f>Tabla3[[#This Row],[Subtotal]]/12</f>
        <v>380282.66666666669</v>
      </c>
    </row>
    <row r="985" spans="1:19" x14ac:dyDescent="0.2">
      <c r="A985" s="4">
        <v>814</v>
      </c>
      <c r="B985" s="2">
        <v>4560146</v>
      </c>
      <c r="C985" s="2">
        <v>0</v>
      </c>
      <c r="D985" s="4" t="s">
        <v>3056</v>
      </c>
      <c r="E985" s="2">
        <v>4560146</v>
      </c>
      <c r="F985" s="2">
        <v>866427.74</v>
      </c>
      <c r="G985" s="2">
        <v>0</v>
      </c>
      <c r="H985" s="4">
        <v>0</v>
      </c>
      <c r="I985" s="4">
        <v>0</v>
      </c>
      <c r="J985" s="4">
        <v>0</v>
      </c>
      <c r="K985" s="4">
        <v>5426573.7400000002</v>
      </c>
      <c r="L985" s="4" t="s">
        <v>3054</v>
      </c>
      <c r="M985" s="4" t="s">
        <v>3055</v>
      </c>
      <c r="N985" s="4" t="s">
        <v>3057</v>
      </c>
      <c r="O985" s="4" t="s">
        <v>89</v>
      </c>
      <c r="P985" s="4" t="s">
        <v>89</v>
      </c>
      <c r="Q985" s="8" t="s">
        <v>100</v>
      </c>
      <c r="R985" s="9">
        <f t="shared" si="16"/>
        <v>8.0001936398893235E-5</v>
      </c>
      <c r="S985" s="55">
        <f>Tabla3[[#This Row],[Subtotal]]/12</f>
        <v>380012.16666666669</v>
      </c>
    </row>
    <row r="986" spans="1:19" x14ac:dyDescent="0.2">
      <c r="A986" s="4">
        <v>802</v>
      </c>
      <c r="B986" s="2">
        <v>4558918</v>
      </c>
      <c r="C986" s="2">
        <v>0</v>
      </c>
      <c r="D986" s="4" t="s">
        <v>3060</v>
      </c>
      <c r="E986" s="2">
        <v>4558918</v>
      </c>
      <c r="F986" s="2">
        <v>866194.42</v>
      </c>
      <c r="G986" s="2">
        <v>0</v>
      </c>
      <c r="H986" s="4">
        <v>0</v>
      </c>
      <c r="I986" s="4">
        <v>0</v>
      </c>
      <c r="J986" s="4">
        <v>0</v>
      </c>
      <c r="K986" s="4">
        <v>5425112.4199999999</v>
      </c>
      <c r="L986" s="4" t="s">
        <v>3058</v>
      </c>
      <c r="M986" s="4" t="s">
        <v>3059</v>
      </c>
      <c r="N986" s="4" t="s">
        <v>2533</v>
      </c>
      <c r="O986" s="4" t="s">
        <v>59</v>
      </c>
      <c r="P986" s="4" t="s">
        <v>1039</v>
      </c>
      <c r="Q986" s="8" t="s">
        <v>100</v>
      </c>
      <c r="R986" s="9">
        <f t="shared" si="16"/>
        <v>7.9980392707551363E-5</v>
      </c>
      <c r="S986" s="55">
        <f>Tabla3[[#This Row],[Subtotal]]/12</f>
        <v>379909.83333333331</v>
      </c>
    </row>
    <row r="987" spans="1:19" x14ac:dyDescent="0.2">
      <c r="A987" s="4">
        <v>726</v>
      </c>
      <c r="B987" s="2">
        <v>4521276</v>
      </c>
      <c r="C987" s="2">
        <v>0</v>
      </c>
      <c r="D987" s="4" t="s">
        <v>3063</v>
      </c>
      <c r="E987" s="2">
        <v>4521276</v>
      </c>
      <c r="F987" s="2">
        <v>859042.44</v>
      </c>
      <c r="G987" s="2">
        <v>0</v>
      </c>
      <c r="H987" s="4">
        <v>0</v>
      </c>
      <c r="I987" s="4">
        <v>0</v>
      </c>
      <c r="J987" s="4">
        <v>0</v>
      </c>
      <c r="K987" s="4">
        <v>5380318.4400000004</v>
      </c>
      <c r="L987" s="4" t="s">
        <v>3061</v>
      </c>
      <c r="M987" s="4" t="s">
        <v>3062</v>
      </c>
      <c r="N987" s="4" t="s">
        <v>975</v>
      </c>
      <c r="O987" s="4" t="s">
        <v>89</v>
      </c>
      <c r="P987" s="4" t="s">
        <v>89</v>
      </c>
      <c r="Q987" s="8" t="s">
        <v>100</v>
      </c>
      <c r="R987" s="9">
        <f t="shared" si="16"/>
        <v>7.9320011901777354E-5</v>
      </c>
      <c r="S987" s="55">
        <f>Tabla3[[#This Row],[Subtotal]]/12</f>
        <v>376773</v>
      </c>
    </row>
    <row r="988" spans="1:19" x14ac:dyDescent="0.2">
      <c r="A988" s="4">
        <v>488</v>
      </c>
      <c r="B988" s="2">
        <v>4479068</v>
      </c>
      <c r="C988" s="2">
        <v>0</v>
      </c>
      <c r="D988" s="4" t="s">
        <v>3066</v>
      </c>
      <c r="E988" s="2">
        <v>4479068</v>
      </c>
      <c r="F988" s="2">
        <v>851022.92</v>
      </c>
      <c r="G988" s="2">
        <v>65654.899999999994</v>
      </c>
      <c r="H988" s="4">
        <v>0</v>
      </c>
      <c r="I988" s="4">
        <v>0</v>
      </c>
      <c r="J988" s="4">
        <v>65654.899999999994</v>
      </c>
      <c r="K988" s="4">
        <v>5264436.0199999996</v>
      </c>
      <c r="L988" s="4" t="s">
        <v>3064</v>
      </c>
      <c r="M988" s="4" t="s">
        <v>3065</v>
      </c>
      <c r="N988" s="4" t="s">
        <v>20</v>
      </c>
      <c r="O988" s="4" t="s">
        <v>1356</v>
      </c>
      <c r="P988" s="4" t="s">
        <v>1356</v>
      </c>
      <c r="Q988" s="8" t="s">
        <v>100</v>
      </c>
      <c r="R988" s="9">
        <f t="shared" si="16"/>
        <v>7.8579526458652396E-5</v>
      </c>
      <c r="S988" s="55">
        <f>Tabla3[[#This Row],[Subtotal]]/12</f>
        <v>373255.66666666669</v>
      </c>
    </row>
    <row r="989" spans="1:19" x14ac:dyDescent="0.2">
      <c r="A989" s="4">
        <v>1709</v>
      </c>
      <c r="B989" s="2">
        <v>4458595</v>
      </c>
      <c r="C989" s="2">
        <v>0</v>
      </c>
      <c r="D989" s="4" t="s">
        <v>3069</v>
      </c>
      <c r="E989" s="2">
        <v>4458595</v>
      </c>
      <c r="F989" s="2">
        <v>847133.05</v>
      </c>
      <c r="G989" s="2">
        <v>0</v>
      </c>
      <c r="H989" s="4">
        <v>0</v>
      </c>
      <c r="I989" s="4">
        <v>0</v>
      </c>
      <c r="J989" s="4">
        <v>0</v>
      </c>
      <c r="K989" s="4">
        <v>5305728.05</v>
      </c>
      <c r="L989" s="4" t="s">
        <v>3067</v>
      </c>
      <c r="M989" s="4" t="s">
        <v>3068</v>
      </c>
      <c r="N989" s="4" t="s">
        <v>20</v>
      </c>
      <c r="O989" s="4" t="s">
        <v>316</v>
      </c>
      <c r="P989" s="4" t="s">
        <v>316</v>
      </c>
      <c r="Q989" s="8" t="s">
        <v>100</v>
      </c>
      <c r="R989" s="9">
        <f t="shared" si="16"/>
        <v>7.8220353826044899E-5</v>
      </c>
      <c r="S989" s="55">
        <f>Tabla3[[#This Row],[Subtotal]]/12</f>
        <v>371549.58333333331</v>
      </c>
    </row>
    <row r="990" spans="1:19" x14ac:dyDescent="0.2">
      <c r="A990" s="4">
        <v>1045</v>
      </c>
      <c r="B990" s="2">
        <v>4457684</v>
      </c>
      <c r="C990" s="2">
        <v>0</v>
      </c>
      <c r="D990" s="4" t="s">
        <v>3072</v>
      </c>
      <c r="E990" s="2">
        <v>4457684</v>
      </c>
      <c r="F990" s="2">
        <v>846959.96</v>
      </c>
      <c r="G990" s="2">
        <v>80253</v>
      </c>
      <c r="H990" s="4">
        <v>0</v>
      </c>
      <c r="I990" s="4">
        <v>0</v>
      </c>
      <c r="J990" s="4">
        <v>80253</v>
      </c>
      <c r="K990" s="4">
        <v>5224390.96</v>
      </c>
      <c r="L990" s="4" t="s">
        <v>3070</v>
      </c>
      <c r="M990" s="4" t="s">
        <v>3071</v>
      </c>
      <c r="N990" s="4" t="s">
        <v>20</v>
      </c>
      <c r="O990" s="4" t="s">
        <v>1356</v>
      </c>
      <c r="P990" s="4" t="s">
        <v>1356</v>
      </c>
      <c r="Q990" s="8" t="s">
        <v>100</v>
      </c>
      <c r="R990" s="9">
        <f t="shared" si="16"/>
        <v>7.820437149476442E-5</v>
      </c>
      <c r="S990" s="55">
        <f>Tabla3[[#This Row],[Subtotal]]/12</f>
        <v>371473.66666666669</v>
      </c>
    </row>
    <row r="991" spans="1:19" x14ac:dyDescent="0.2">
      <c r="A991" s="4">
        <v>173</v>
      </c>
      <c r="B991" s="2">
        <v>4451141</v>
      </c>
      <c r="C991" s="2">
        <v>0</v>
      </c>
      <c r="D991" s="4" t="s">
        <v>3075</v>
      </c>
      <c r="E991" s="2">
        <v>4451141</v>
      </c>
      <c r="F991" s="2">
        <v>845716.79</v>
      </c>
      <c r="G991" s="2">
        <v>0</v>
      </c>
      <c r="H991" s="4">
        <v>0</v>
      </c>
      <c r="I991" s="4">
        <v>0</v>
      </c>
      <c r="J991" s="4">
        <v>0</v>
      </c>
      <c r="K991" s="4">
        <v>5296857.79</v>
      </c>
      <c r="L991" s="4" t="s">
        <v>3073</v>
      </c>
      <c r="M991" s="4" t="s">
        <v>3074</v>
      </c>
      <c r="N991" s="4" t="s">
        <v>20</v>
      </c>
      <c r="O991" s="4" t="s">
        <v>316</v>
      </c>
      <c r="P991" s="4" t="s">
        <v>316</v>
      </c>
      <c r="Q991" s="8" t="s">
        <v>100</v>
      </c>
      <c r="R991" s="9">
        <f t="shared" si="16"/>
        <v>7.8089582917850874E-5</v>
      </c>
      <c r="S991" s="55">
        <f>Tabla3[[#This Row],[Subtotal]]/12</f>
        <v>370928.41666666669</v>
      </c>
    </row>
    <row r="992" spans="1:19" x14ac:dyDescent="0.2">
      <c r="A992" s="4">
        <v>132</v>
      </c>
      <c r="B992" s="2">
        <v>4447680</v>
      </c>
      <c r="C992" s="2">
        <v>0</v>
      </c>
      <c r="D992" s="4" t="s">
        <v>3078</v>
      </c>
      <c r="E992" s="2">
        <v>4447680</v>
      </c>
      <c r="F992" s="2">
        <v>845059.2</v>
      </c>
      <c r="G992" s="2">
        <v>0</v>
      </c>
      <c r="H992" s="4">
        <v>0</v>
      </c>
      <c r="I992" s="4">
        <v>0</v>
      </c>
      <c r="J992" s="4">
        <v>0</v>
      </c>
      <c r="K992" s="4">
        <v>5292739.2</v>
      </c>
      <c r="L992" s="4" t="s">
        <v>3076</v>
      </c>
      <c r="M992" s="4" t="s">
        <v>3077</v>
      </c>
      <c r="N992" s="4" t="s">
        <v>648</v>
      </c>
      <c r="O992" s="4" t="s">
        <v>340</v>
      </c>
      <c r="P992" s="4" t="s">
        <v>1039</v>
      </c>
      <c r="Q992" s="8" t="s">
        <v>100</v>
      </c>
      <c r="R992" s="9">
        <f t="shared" si="16"/>
        <v>7.8028864093963095E-5</v>
      </c>
      <c r="S992" s="55">
        <f>Tabla3[[#This Row],[Subtotal]]/12</f>
        <v>370640</v>
      </c>
    </row>
    <row r="993" spans="1:19" x14ac:dyDescent="0.2">
      <c r="A993" s="4">
        <v>953</v>
      </c>
      <c r="B993" s="2">
        <v>4445460</v>
      </c>
      <c r="C993" s="2">
        <v>0</v>
      </c>
      <c r="D993" s="4" t="s">
        <v>3081</v>
      </c>
      <c r="E993" s="2">
        <v>4445460</v>
      </c>
      <c r="F993" s="2">
        <v>844637.4</v>
      </c>
      <c r="G993" s="2">
        <v>111136.5</v>
      </c>
      <c r="H993" s="4">
        <v>0</v>
      </c>
      <c r="I993" s="4">
        <v>0</v>
      </c>
      <c r="J993" s="4">
        <v>111136.5</v>
      </c>
      <c r="K993" s="4">
        <v>5178960.9000000004</v>
      </c>
      <c r="L993" s="4" t="s">
        <v>3079</v>
      </c>
      <c r="M993" s="4" t="s">
        <v>3080</v>
      </c>
      <c r="N993" s="4" t="s">
        <v>58</v>
      </c>
      <c r="O993" s="4" t="s">
        <v>76</v>
      </c>
      <c r="P993" s="4" t="s">
        <v>76</v>
      </c>
      <c r="Q993" s="8" t="s">
        <v>1378</v>
      </c>
      <c r="R993" s="9">
        <f t="shared" si="16"/>
        <v>7.7989917029810867E-5</v>
      </c>
      <c r="S993" s="55">
        <f>Tabla3[[#This Row],[Subtotal]]/12</f>
        <v>370455</v>
      </c>
    </row>
    <row r="994" spans="1:19" x14ac:dyDescent="0.2">
      <c r="A994" s="4">
        <v>628</v>
      </c>
      <c r="B994" s="2">
        <v>4413274</v>
      </c>
      <c r="C994" s="2">
        <v>0</v>
      </c>
      <c r="D994" s="4" t="s">
        <v>3084</v>
      </c>
      <c r="E994" s="2">
        <v>4413274</v>
      </c>
      <c r="F994" s="2">
        <v>838522.06</v>
      </c>
      <c r="G994" s="2">
        <v>15753.7</v>
      </c>
      <c r="H994" s="4">
        <v>0</v>
      </c>
      <c r="I994" s="4">
        <v>0</v>
      </c>
      <c r="J994" s="4">
        <v>15753.7</v>
      </c>
      <c r="K994" s="4">
        <v>5236042.3600000003</v>
      </c>
      <c r="L994" s="4" t="s">
        <v>3082</v>
      </c>
      <c r="M994" s="4" t="s">
        <v>3083</v>
      </c>
      <c r="N994" s="4" t="s">
        <v>88</v>
      </c>
      <c r="O994" s="4" t="s">
        <v>89</v>
      </c>
      <c r="P994" s="4" t="s">
        <v>89</v>
      </c>
      <c r="Q994" s="8" t="s">
        <v>100</v>
      </c>
      <c r="R994" s="9">
        <f t="shared" si="16"/>
        <v>7.7425254774493872E-5</v>
      </c>
      <c r="S994" s="55">
        <f>Tabla3[[#This Row],[Subtotal]]/12</f>
        <v>367772.83333333331</v>
      </c>
    </row>
    <row r="995" spans="1:19" x14ac:dyDescent="0.2">
      <c r="A995" s="4">
        <v>848</v>
      </c>
      <c r="B995" s="2">
        <v>4397150</v>
      </c>
      <c r="C995" s="2">
        <v>0</v>
      </c>
      <c r="D995" s="4" t="s">
        <v>3087</v>
      </c>
      <c r="E995" s="2">
        <v>4397150</v>
      </c>
      <c r="F995" s="2">
        <v>835458.5</v>
      </c>
      <c r="G995" s="2">
        <v>109928.75</v>
      </c>
      <c r="H995" s="4">
        <v>0</v>
      </c>
      <c r="I995" s="4">
        <v>0</v>
      </c>
      <c r="J995" s="4">
        <v>109928.75</v>
      </c>
      <c r="K995" s="4">
        <v>5122679.75</v>
      </c>
      <c r="L995" s="4" t="s">
        <v>3085</v>
      </c>
      <c r="M995" s="4" t="s">
        <v>3086</v>
      </c>
      <c r="N995" s="4" t="s">
        <v>293</v>
      </c>
      <c r="O995" s="4" t="s">
        <v>229</v>
      </c>
      <c r="P995" s="4" t="s">
        <v>229</v>
      </c>
      <c r="Q995" s="8" t="s">
        <v>100</v>
      </c>
      <c r="R995" s="9">
        <f t="shared" si="16"/>
        <v>7.7142379791435051E-5</v>
      </c>
      <c r="S995" s="55">
        <f>Tabla3[[#This Row],[Subtotal]]/12</f>
        <v>366429.16666666669</v>
      </c>
    </row>
    <row r="996" spans="1:19" x14ac:dyDescent="0.2">
      <c r="A996" s="4">
        <v>1109</v>
      </c>
      <c r="B996" s="2">
        <v>4387270</v>
      </c>
      <c r="C996" s="2">
        <v>0</v>
      </c>
      <c r="D996" s="4" t="s">
        <v>3090</v>
      </c>
      <c r="E996" s="2">
        <v>4387270</v>
      </c>
      <c r="F996" s="2">
        <v>833581.3</v>
      </c>
      <c r="G996" s="2">
        <v>91431.26</v>
      </c>
      <c r="H996" s="4">
        <v>0</v>
      </c>
      <c r="I996" s="4">
        <v>0</v>
      </c>
      <c r="J996" s="4">
        <v>91431.26</v>
      </c>
      <c r="K996" s="4">
        <v>5129420.04</v>
      </c>
      <c r="L996" s="4" t="s">
        <v>3088</v>
      </c>
      <c r="M996" s="4" t="s">
        <v>3089</v>
      </c>
      <c r="N996" s="4" t="s">
        <v>20</v>
      </c>
      <c r="O996" s="4" t="s">
        <v>1043</v>
      </c>
      <c r="P996" s="4" t="s">
        <v>1043</v>
      </c>
      <c r="Q996" s="8" t="s">
        <v>100</v>
      </c>
      <c r="R996" s="9">
        <f t="shared" si="16"/>
        <v>7.6969047812235021E-5</v>
      </c>
      <c r="S996" s="55">
        <f>Tabla3[[#This Row],[Subtotal]]/12</f>
        <v>365605.83333333331</v>
      </c>
    </row>
    <row r="997" spans="1:19" x14ac:dyDescent="0.2">
      <c r="A997" s="4">
        <v>583</v>
      </c>
      <c r="B997" s="2">
        <v>4381058</v>
      </c>
      <c r="C997" s="2">
        <v>0</v>
      </c>
      <c r="D997" s="4" t="s">
        <v>3093</v>
      </c>
      <c r="E997" s="2">
        <v>4381058</v>
      </c>
      <c r="F997" s="2">
        <v>832401.02</v>
      </c>
      <c r="G997" s="2">
        <v>0</v>
      </c>
      <c r="H997" s="4">
        <v>0</v>
      </c>
      <c r="I997" s="4">
        <v>0</v>
      </c>
      <c r="J997" s="4">
        <v>0</v>
      </c>
      <c r="K997" s="4">
        <v>5213459.0199999996</v>
      </c>
      <c r="L997" s="4" t="s">
        <v>3091</v>
      </c>
      <c r="M997" s="4" t="s">
        <v>3092</v>
      </c>
      <c r="N997" s="4" t="s">
        <v>1366</v>
      </c>
      <c r="O997" s="4" t="s">
        <v>59</v>
      </c>
      <c r="P997" s="4" t="s">
        <v>59</v>
      </c>
      <c r="Q997" s="8" t="s">
        <v>100</v>
      </c>
      <c r="R997" s="9">
        <f t="shared" si="16"/>
        <v>7.6860066207499138E-5</v>
      </c>
      <c r="S997" s="55">
        <f>Tabla3[[#This Row],[Subtotal]]/12</f>
        <v>365088.16666666669</v>
      </c>
    </row>
    <row r="998" spans="1:19" x14ac:dyDescent="0.2">
      <c r="A998" s="4">
        <v>923</v>
      </c>
      <c r="B998" s="2">
        <v>4349735</v>
      </c>
      <c r="C998" s="2">
        <v>0</v>
      </c>
      <c r="D998" s="4" t="s">
        <v>3096</v>
      </c>
      <c r="E998" s="2">
        <v>4349735</v>
      </c>
      <c r="F998" s="2">
        <v>826449.65</v>
      </c>
      <c r="G998" s="2">
        <v>0</v>
      </c>
      <c r="H998" s="4">
        <v>0</v>
      </c>
      <c r="I998" s="4">
        <v>0</v>
      </c>
      <c r="J998" s="4">
        <v>0</v>
      </c>
      <c r="K998" s="4">
        <v>5176184.6500000004</v>
      </c>
      <c r="L998" s="4" t="s">
        <v>3094</v>
      </c>
      <c r="M998" s="4" t="s">
        <v>3095</v>
      </c>
      <c r="N998" s="4" t="s">
        <v>20</v>
      </c>
      <c r="O998" s="4" t="s">
        <v>316</v>
      </c>
      <c r="P998" s="4" t="s">
        <v>316</v>
      </c>
      <c r="Q998" s="8" t="s">
        <v>100</v>
      </c>
      <c r="R998" s="9">
        <f t="shared" si="16"/>
        <v>7.631054418477826E-5</v>
      </c>
      <c r="S998" s="55">
        <f>Tabla3[[#This Row],[Subtotal]]/12</f>
        <v>362477.91666666669</v>
      </c>
    </row>
    <row r="999" spans="1:19" x14ac:dyDescent="0.2">
      <c r="A999" s="4">
        <v>952</v>
      </c>
      <c r="B999" s="2">
        <v>4309734</v>
      </c>
      <c r="C999" s="2">
        <v>0</v>
      </c>
      <c r="D999" s="4" t="s">
        <v>3099</v>
      </c>
      <c r="E999" s="2">
        <v>4309734</v>
      </c>
      <c r="F999" s="2">
        <v>818849.46</v>
      </c>
      <c r="G999" s="2">
        <v>0</v>
      </c>
      <c r="H999" s="4">
        <v>0</v>
      </c>
      <c r="I999" s="4">
        <v>0</v>
      </c>
      <c r="J999" s="4">
        <v>0</v>
      </c>
      <c r="K999" s="4">
        <v>5128583.46</v>
      </c>
      <c r="L999" s="4" t="s">
        <v>3097</v>
      </c>
      <c r="M999" s="4" t="s">
        <v>3098</v>
      </c>
      <c r="N999" s="4" t="s">
        <v>998</v>
      </c>
      <c r="O999" s="4" t="s">
        <v>27</v>
      </c>
      <c r="P999" s="4" t="s">
        <v>27</v>
      </c>
      <c r="Q999" s="8" t="s">
        <v>100</v>
      </c>
      <c r="R999" s="9">
        <f t="shared" si="16"/>
        <v>7.5608777737411851E-5</v>
      </c>
      <c r="S999" s="55">
        <f>Tabla3[[#This Row],[Subtotal]]/12</f>
        <v>359144.5</v>
      </c>
    </row>
    <row r="1000" spans="1:19" x14ac:dyDescent="0.2">
      <c r="A1000" s="4">
        <v>874</v>
      </c>
      <c r="B1000" s="2">
        <v>4296783</v>
      </c>
      <c r="C1000" s="2">
        <v>0</v>
      </c>
      <c r="D1000" s="4" t="s">
        <v>3102</v>
      </c>
      <c r="E1000" s="2">
        <v>4296783</v>
      </c>
      <c r="F1000" s="2">
        <v>816388.77</v>
      </c>
      <c r="G1000" s="2">
        <v>0</v>
      </c>
      <c r="H1000" s="4">
        <v>0</v>
      </c>
      <c r="I1000" s="4">
        <v>0</v>
      </c>
      <c r="J1000" s="4">
        <v>0</v>
      </c>
      <c r="K1000" s="4">
        <v>5113171.7699999996</v>
      </c>
      <c r="L1000" s="4" t="s">
        <v>3100</v>
      </c>
      <c r="M1000" s="4" t="s">
        <v>3101</v>
      </c>
      <c r="N1000" s="4" t="s">
        <v>20</v>
      </c>
      <c r="O1000" s="4" t="s">
        <v>2863</v>
      </c>
      <c r="P1000" s="4" t="s">
        <v>2863</v>
      </c>
      <c r="Q1000" s="8" t="s">
        <v>100</v>
      </c>
      <c r="R1000" s="9">
        <f t="shared" si="16"/>
        <v>7.5381568986134577E-5</v>
      </c>
      <c r="S1000" s="55">
        <f>Tabla3[[#This Row],[Subtotal]]/12</f>
        <v>358065.25</v>
      </c>
    </row>
    <row r="1001" spans="1:19" x14ac:dyDescent="0.2">
      <c r="A1001" s="4">
        <v>991</v>
      </c>
      <c r="B1001" s="2">
        <v>4288144</v>
      </c>
      <c r="C1001" s="2">
        <v>0</v>
      </c>
      <c r="D1001" s="4" t="s">
        <v>3105</v>
      </c>
      <c r="E1001" s="2">
        <v>4288144</v>
      </c>
      <c r="F1001" s="2">
        <v>814747.36</v>
      </c>
      <c r="G1001" s="2">
        <v>107203.61</v>
      </c>
      <c r="H1001" s="4">
        <v>0</v>
      </c>
      <c r="I1001" s="4">
        <v>0</v>
      </c>
      <c r="J1001" s="4">
        <v>107203.61</v>
      </c>
      <c r="K1001" s="4">
        <v>4995687.75</v>
      </c>
      <c r="L1001" s="4" t="s">
        <v>3103</v>
      </c>
      <c r="M1001" s="4" t="s">
        <v>3104</v>
      </c>
      <c r="N1001" s="4" t="s">
        <v>472</v>
      </c>
      <c r="O1001" s="4" t="s">
        <v>67</v>
      </c>
      <c r="P1001" s="4" t="s">
        <v>67</v>
      </c>
      <c r="Q1001" s="8" t="s">
        <v>100</v>
      </c>
      <c r="R1001" s="9">
        <f t="shared" si="16"/>
        <v>7.5230008766670112E-5</v>
      </c>
      <c r="S1001" s="55">
        <f>Tabla3[[#This Row],[Subtotal]]/12</f>
        <v>357345.33333333331</v>
      </c>
    </row>
    <row r="1002" spans="1:19" x14ac:dyDescent="0.2">
      <c r="A1002" s="4">
        <v>232</v>
      </c>
      <c r="B1002" s="2">
        <v>4273435</v>
      </c>
      <c r="C1002" s="2">
        <v>0</v>
      </c>
      <c r="D1002" s="4" t="s">
        <v>3108</v>
      </c>
      <c r="E1002" s="2">
        <v>4273435</v>
      </c>
      <c r="F1002" s="2">
        <v>811952.65</v>
      </c>
      <c r="G1002" s="2">
        <v>0</v>
      </c>
      <c r="H1002" s="4">
        <v>0</v>
      </c>
      <c r="I1002" s="4">
        <v>0</v>
      </c>
      <c r="J1002" s="4">
        <v>0</v>
      </c>
      <c r="K1002" s="4">
        <v>5085387.6500000004</v>
      </c>
      <c r="L1002" s="4" t="s">
        <v>3106</v>
      </c>
      <c r="M1002" s="4" t="s">
        <v>3107</v>
      </c>
      <c r="N1002" s="4" t="s">
        <v>20</v>
      </c>
      <c r="O1002" s="4" t="s">
        <v>316</v>
      </c>
      <c r="P1002" s="4" t="s">
        <v>316</v>
      </c>
      <c r="Q1002" s="8" t="s">
        <v>100</v>
      </c>
      <c r="R1002" s="9">
        <f t="shared" si="16"/>
        <v>7.4971958151077682E-5</v>
      </c>
      <c r="S1002" s="55">
        <f>Tabla3[[#This Row],[Subtotal]]/12</f>
        <v>356119.58333333331</v>
      </c>
    </row>
    <row r="1003" spans="1:19" x14ac:dyDescent="0.2">
      <c r="A1003" s="4">
        <v>1752</v>
      </c>
      <c r="B1003" s="2">
        <v>4261310</v>
      </c>
      <c r="C1003" s="2">
        <v>0</v>
      </c>
      <c r="D1003" s="4" t="s">
        <v>3111</v>
      </c>
      <c r="E1003" s="2">
        <v>4261310</v>
      </c>
      <c r="F1003" s="2">
        <v>809648.9</v>
      </c>
      <c r="G1003" s="2">
        <v>0</v>
      </c>
      <c r="H1003" s="4">
        <v>0</v>
      </c>
      <c r="I1003" s="4">
        <v>0</v>
      </c>
      <c r="J1003" s="4">
        <v>0</v>
      </c>
      <c r="K1003" s="4">
        <v>5070958.9000000004</v>
      </c>
      <c r="L1003" s="4" t="s">
        <v>3109</v>
      </c>
      <c r="M1003" s="4" t="s">
        <v>3110</v>
      </c>
      <c r="N1003" s="4" t="s">
        <v>156</v>
      </c>
      <c r="O1003" s="4" t="s">
        <v>67</v>
      </c>
      <c r="P1003" s="4" t="s">
        <v>67</v>
      </c>
      <c r="Q1003" s="8" t="s">
        <v>100</v>
      </c>
      <c r="R1003" s="9">
        <f t="shared" si="16"/>
        <v>7.4759240514660658E-5</v>
      </c>
      <c r="S1003" s="55">
        <f>Tabla3[[#This Row],[Subtotal]]/12</f>
        <v>355109.16666666669</v>
      </c>
    </row>
    <row r="1004" spans="1:19" x14ac:dyDescent="0.2">
      <c r="A1004" s="4">
        <v>1169</v>
      </c>
      <c r="B1004" s="2">
        <v>4219727</v>
      </c>
      <c r="C1004" s="2">
        <v>0</v>
      </c>
      <c r="D1004" s="4" t="s">
        <v>3114</v>
      </c>
      <c r="E1004" s="2">
        <v>4219727</v>
      </c>
      <c r="F1004" s="2">
        <v>801748.13</v>
      </c>
      <c r="G1004" s="2">
        <v>105493.18</v>
      </c>
      <c r="H1004" s="4">
        <v>0</v>
      </c>
      <c r="I1004" s="4">
        <v>0</v>
      </c>
      <c r="J1004" s="4">
        <v>105493.18</v>
      </c>
      <c r="K1004" s="4">
        <v>4915981.95</v>
      </c>
      <c r="L1004" s="4" t="s">
        <v>3112</v>
      </c>
      <c r="M1004" s="4" t="s">
        <v>3113</v>
      </c>
      <c r="N1004" s="4" t="s">
        <v>3115</v>
      </c>
      <c r="O1004" s="4" t="s">
        <v>33</v>
      </c>
      <c r="P1004" s="4" t="s">
        <v>33</v>
      </c>
      <c r="Q1004" s="8" t="s">
        <v>100</v>
      </c>
      <c r="R1004" s="9">
        <f t="shared" si="16"/>
        <v>7.4029719898155132E-5</v>
      </c>
      <c r="S1004" s="55">
        <f>Tabla3[[#This Row],[Subtotal]]/12</f>
        <v>351643.91666666669</v>
      </c>
    </row>
    <row r="1005" spans="1:19" x14ac:dyDescent="0.2">
      <c r="A1005" s="4">
        <v>1525</v>
      </c>
      <c r="B1005" s="2">
        <v>4217976</v>
      </c>
      <c r="C1005" s="2">
        <v>0</v>
      </c>
      <c r="D1005" s="4" t="s">
        <v>3118</v>
      </c>
      <c r="E1005" s="2">
        <v>4217976</v>
      </c>
      <c r="F1005" s="2">
        <v>0</v>
      </c>
      <c r="G1005" s="2">
        <v>0</v>
      </c>
      <c r="H1005" s="4">
        <v>0</v>
      </c>
      <c r="I1005" s="4">
        <v>0</v>
      </c>
      <c r="J1005" s="4">
        <v>0</v>
      </c>
      <c r="K1005" s="4">
        <v>4217976</v>
      </c>
      <c r="L1005" s="4" t="s">
        <v>3116</v>
      </c>
      <c r="M1005" s="4" t="s">
        <v>3117</v>
      </c>
      <c r="N1005" s="4" t="s">
        <v>544</v>
      </c>
      <c r="O1005" s="4" t="s">
        <v>76</v>
      </c>
      <c r="P1005" s="4" t="s">
        <v>76</v>
      </c>
      <c r="Q1005" s="8" t="s">
        <v>100</v>
      </c>
      <c r="R1005" s="9">
        <f t="shared" si="16"/>
        <v>7.3999000839898119E-5</v>
      </c>
      <c r="S1005" s="55">
        <f>Tabla3[[#This Row],[Subtotal]]/12</f>
        <v>351498</v>
      </c>
    </row>
    <row r="1006" spans="1:19" x14ac:dyDescent="0.2">
      <c r="A1006" s="4">
        <v>138</v>
      </c>
      <c r="B1006" s="2">
        <v>4211020</v>
      </c>
      <c r="C1006" s="2">
        <v>0</v>
      </c>
      <c r="D1006" s="4" t="s">
        <v>3121</v>
      </c>
      <c r="E1006" s="2">
        <v>4211020</v>
      </c>
      <c r="F1006" s="2">
        <v>800093.8</v>
      </c>
      <c r="G1006" s="2">
        <v>0</v>
      </c>
      <c r="H1006" s="4">
        <v>0</v>
      </c>
      <c r="I1006" s="4">
        <v>0</v>
      </c>
      <c r="J1006" s="4">
        <v>0</v>
      </c>
      <c r="K1006" s="4">
        <v>5011113.8</v>
      </c>
      <c r="L1006" s="4" t="s">
        <v>3119</v>
      </c>
      <c r="M1006" s="4" t="s">
        <v>3120</v>
      </c>
      <c r="N1006" s="4" t="s">
        <v>2135</v>
      </c>
      <c r="O1006" s="4" t="s">
        <v>59</v>
      </c>
      <c r="P1006" s="4" t="s">
        <v>59</v>
      </c>
      <c r="Q1006" s="8" t="s">
        <v>100</v>
      </c>
      <c r="R1006" s="9">
        <f t="shared" si="16"/>
        <v>7.3876966705554469E-5</v>
      </c>
      <c r="S1006" s="55">
        <f>Tabla3[[#This Row],[Subtotal]]/12</f>
        <v>350918.33333333331</v>
      </c>
    </row>
    <row r="1007" spans="1:19" x14ac:dyDescent="0.2">
      <c r="A1007" s="4">
        <v>254</v>
      </c>
      <c r="B1007" s="2">
        <v>4120114</v>
      </c>
      <c r="C1007" s="2">
        <v>-83391.679999999993</v>
      </c>
      <c r="D1007" s="4" t="s">
        <v>3124</v>
      </c>
      <c r="E1007" s="2">
        <v>4203505.68</v>
      </c>
      <c r="F1007" s="2">
        <v>798666.08</v>
      </c>
      <c r="G1007" s="2">
        <v>105087.64</v>
      </c>
      <c r="H1007" s="4">
        <v>119799.91</v>
      </c>
      <c r="I1007" s="4">
        <v>0</v>
      </c>
      <c r="J1007" s="4">
        <v>224887.55</v>
      </c>
      <c r="K1007" s="4">
        <v>4777284.21</v>
      </c>
      <c r="L1007" s="4" t="s">
        <v>3122</v>
      </c>
      <c r="M1007" s="4" t="s">
        <v>3123</v>
      </c>
      <c r="N1007" s="4" t="s">
        <v>20</v>
      </c>
      <c r="O1007" s="4" t="s">
        <v>76</v>
      </c>
      <c r="P1007" s="4" t="s">
        <v>76</v>
      </c>
      <c r="Q1007" s="8" t="s">
        <v>22</v>
      </c>
      <c r="R1007" s="9">
        <f t="shared" si="16"/>
        <v>7.3745137560013733E-5</v>
      </c>
      <c r="S1007" s="55">
        <f>Tabla3[[#This Row],[Subtotal]]/12</f>
        <v>350292.13999999996</v>
      </c>
    </row>
    <row r="1008" spans="1:19" x14ac:dyDescent="0.2">
      <c r="A1008" s="4">
        <v>440</v>
      </c>
      <c r="B1008" s="2">
        <v>4194214</v>
      </c>
      <c r="C1008" s="2">
        <v>0</v>
      </c>
      <c r="D1008" s="4" t="s">
        <v>3127</v>
      </c>
      <c r="E1008" s="2">
        <v>4194214</v>
      </c>
      <c r="F1008" s="2">
        <v>796900.66</v>
      </c>
      <c r="G1008" s="2">
        <v>0</v>
      </c>
      <c r="H1008" s="4">
        <v>0</v>
      </c>
      <c r="I1008" s="4">
        <v>0</v>
      </c>
      <c r="J1008" s="4">
        <v>0</v>
      </c>
      <c r="K1008" s="4">
        <v>4991114.66</v>
      </c>
      <c r="L1008" s="4" t="s">
        <v>3125</v>
      </c>
      <c r="M1008" s="4" t="s">
        <v>3126</v>
      </c>
      <c r="N1008" s="4" t="s">
        <v>20</v>
      </c>
      <c r="O1008" s="4" t="s">
        <v>316</v>
      </c>
      <c r="P1008" s="4" t="s">
        <v>316</v>
      </c>
      <c r="Q1008" s="8" t="s">
        <v>100</v>
      </c>
      <c r="R1008" s="9">
        <f t="shared" si="16"/>
        <v>7.3582126903688514E-5</v>
      </c>
      <c r="S1008" s="55">
        <f>Tabla3[[#This Row],[Subtotal]]/12</f>
        <v>349517.83333333331</v>
      </c>
    </row>
    <row r="1009" spans="1:19" x14ac:dyDescent="0.2">
      <c r="A1009" s="4">
        <v>1198</v>
      </c>
      <c r="B1009" s="2">
        <v>4174278</v>
      </c>
      <c r="C1009" s="2">
        <v>0</v>
      </c>
      <c r="D1009" s="4" t="s">
        <v>3130</v>
      </c>
      <c r="E1009" s="2">
        <v>4174278</v>
      </c>
      <c r="F1009" s="2">
        <v>793112.82</v>
      </c>
      <c r="G1009" s="2">
        <v>0</v>
      </c>
      <c r="H1009" s="4">
        <v>0</v>
      </c>
      <c r="I1009" s="4">
        <v>0</v>
      </c>
      <c r="J1009" s="4">
        <v>0</v>
      </c>
      <c r="K1009" s="4">
        <v>4967390.82</v>
      </c>
      <c r="L1009" s="4" t="s">
        <v>3128</v>
      </c>
      <c r="M1009" s="4" t="s">
        <v>3129</v>
      </c>
      <c r="N1009" s="4" t="s">
        <v>20</v>
      </c>
      <c r="O1009" s="4" t="s">
        <v>316</v>
      </c>
      <c r="P1009" s="4" t="s">
        <v>316</v>
      </c>
      <c r="Q1009" s="8" t="s">
        <v>100</v>
      </c>
      <c r="R1009" s="9">
        <f t="shared" si="16"/>
        <v>7.3232375250112443E-5</v>
      </c>
      <c r="S1009" s="55">
        <f>Tabla3[[#This Row],[Subtotal]]/12</f>
        <v>347856.5</v>
      </c>
    </row>
    <row r="1010" spans="1:19" x14ac:dyDescent="0.2">
      <c r="A1010" s="4">
        <v>446</v>
      </c>
      <c r="B1010" s="2">
        <v>4164384</v>
      </c>
      <c r="C1010" s="2">
        <v>0</v>
      </c>
      <c r="D1010" s="4" t="s">
        <v>3133</v>
      </c>
      <c r="E1010" s="2">
        <v>4164384</v>
      </c>
      <c r="F1010" s="2">
        <v>791232.96</v>
      </c>
      <c r="G1010" s="2">
        <v>0</v>
      </c>
      <c r="H1010" s="4">
        <v>0</v>
      </c>
      <c r="I1010" s="4">
        <v>0</v>
      </c>
      <c r="J1010" s="4">
        <v>0</v>
      </c>
      <c r="K1010" s="4">
        <v>4955616.96</v>
      </c>
      <c r="L1010" s="4" t="s">
        <v>3131</v>
      </c>
      <c r="M1010" s="4" t="s">
        <v>3132</v>
      </c>
      <c r="N1010" s="4" t="s">
        <v>20</v>
      </c>
      <c r="O1010" s="4" t="s">
        <v>1549</v>
      </c>
      <c r="P1010" s="4" t="s">
        <v>1549</v>
      </c>
      <c r="Q1010" s="8" t="s">
        <v>100</v>
      </c>
      <c r="R1010" s="9">
        <f t="shared" si="16"/>
        <v>7.3058797658796142E-5</v>
      </c>
      <c r="S1010" s="55">
        <f>Tabla3[[#This Row],[Subtotal]]/12</f>
        <v>347032</v>
      </c>
    </row>
    <row r="1011" spans="1:19" x14ac:dyDescent="0.2">
      <c r="A1011" s="4">
        <v>291</v>
      </c>
      <c r="B1011" s="2">
        <v>4145040</v>
      </c>
      <c r="C1011" s="2">
        <v>0</v>
      </c>
      <c r="D1011" s="4" t="s">
        <v>3136</v>
      </c>
      <c r="E1011" s="2">
        <v>4145040</v>
      </c>
      <c r="F1011" s="2">
        <v>787557.6</v>
      </c>
      <c r="G1011" s="2">
        <v>0</v>
      </c>
      <c r="H1011" s="4">
        <v>0</v>
      </c>
      <c r="I1011" s="4">
        <v>0</v>
      </c>
      <c r="J1011" s="4">
        <v>0</v>
      </c>
      <c r="K1011" s="4">
        <v>4932597.5999999996</v>
      </c>
      <c r="L1011" s="4" t="s">
        <v>3134</v>
      </c>
      <c r="M1011" s="4" t="s">
        <v>3135</v>
      </c>
      <c r="N1011" s="4" t="s">
        <v>272</v>
      </c>
      <c r="O1011" s="4" t="s">
        <v>89</v>
      </c>
      <c r="P1011" s="4" t="s">
        <v>89</v>
      </c>
      <c r="Q1011" s="8" t="s">
        <v>100</v>
      </c>
      <c r="R1011" s="9">
        <f t="shared" si="16"/>
        <v>7.2719431888993989E-5</v>
      </c>
      <c r="S1011" s="55">
        <f>Tabla3[[#This Row],[Subtotal]]/12</f>
        <v>345420</v>
      </c>
    </row>
    <row r="1012" spans="1:19" x14ac:dyDescent="0.2">
      <c r="A1012" s="4">
        <v>955</v>
      </c>
      <c r="B1012" s="2">
        <v>4131320</v>
      </c>
      <c r="C1012" s="2">
        <v>0</v>
      </c>
      <c r="D1012" s="4" t="s">
        <v>3139</v>
      </c>
      <c r="E1012" s="2">
        <v>4131320</v>
      </c>
      <c r="F1012" s="2">
        <v>784950.8</v>
      </c>
      <c r="G1012" s="2">
        <v>0</v>
      </c>
      <c r="H1012" s="4">
        <v>0</v>
      </c>
      <c r="I1012" s="4">
        <v>0</v>
      </c>
      <c r="J1012" s="4">
        <v>0</v>
      </c>
      <c r="K1012" s="4">
        <v>4916270.8</v>
      </c>
      <c r="L1012" s="4" t="s">
        <v>3137</v>
      </c>
      <c r="M1012" s="4" t="s">
        <v>3138</v>
      </c>
      <c r="N1012" s="4" t="s">
        <v>20</v>
      </c>
      <c r="O1012" s="4" t="s">
        <v>372</v>
      </c>
      <c r="P1012" s="4" t="s">
        <v>372</v>
      </c>
      <c r="Q1012" s="8" t="s">
        <v>100</v>
      </c>
      <c r="R1012" s="9">
        <f t="shared" si="16"/>
        <v>7.2478732015044168E-5</v>
      </c>
      <c r="S1012" s="55">
        <f>Tabla3[[#This Row],[Subtotal]]/12</f>
        <v>344276.66666666669</v>
      </c>
    </row>
    <row r="1013" spans="1:19" x14ac:dyDescent="0.2">
      <c r="A1013" s="4">
        <v>1443</v>
      </c>
      <c r="B1013" s="2">
        <v>4121282</v>
      </c>
      <c r="C1013" s="2">
        <v>0</v>
      </c>
      <c r="D1013" s="4" t="s">
        <v>3142</v>
      </c>
      <c r="E1013" s="2">
        <v>4121282</v>
      </c>
      <c r="F1013" s="2">
        <v>783043.58</v>
      </c>
      <c r="G1013" s="2">
        <v>0</v>
      </c>
      <c r="H1013" s="4">
        <v>0</v>
      </c>
      <c r="I1013" s="4">
        <v>0</v>
      </c>
      <c r="J1013" s="4">
        <v>0</v>
      </c>
      <c r="K1013" s="4">
        <v>4904325.58</v>
      </c>
      <c r="L1013" s="4" t="s">
        <v>3140</v>
      </c>
      <c r="M1013" s="4" t="s">
        <v>3141</v>
      </c>
      <c r="N1013" s="4" t="s">
        <v>20</v>
      </c>
      <c r="O1013" s="4" t="s">
        <v>316</v>
      </c>
      <c r="P1013" s="4" t="s">
        <v>316</v>
      </c>
      <c r="Q1013" s="8" t="s">
        <v>100</v>
      </c>
      <c r="R1013" s="9">
        <f t="shared" si="16"/>
        <v>7.2302628127674751E-5</v>
      </c>
      <c r="S1013" s="55">
        <f>Tabla3[[#This Row],[Subtotal]]/12</f>
        <v>343440.16666666669</v>
      </c>
    </row>
    <row r="1014" spans="1:19" x14ac:dyDescent="0.2">
      <c r="A1014" s="4">
        <v>551</v>
      </c>
      <c r="B1014" s="2">
        <v>4119009</v>
      </c>
      <c r="C1014" s="2">
        <v>0</v>
      </c>
      <c r="D1014" s="4" t="s">
        <v>3145</v>
      </c>
      <c r="E1014" s="2">
        <v>4119009</v>
      </c>
      <c r="F1014" s="2">
        <v>782611.71</v>
      </c>
      <c r="G1014" s="2">
        <v>0</v>
      </c>
      <c r="H1014" s="4">
        <v>0</v>
      </c>
      <c r="I1014" s="4">
        <v>0</v>
      </c>
      <c r="J1014" s="4">
        <v>0</v>
      </c>
      <c r="K1014" s="4">
        <v>4901620.71</v>
      </c>
      <c r="L1014" s="4" t="s">
        <v>3143</v>
      </c>
      <c r="M1014" s="4" t="s">
        <v>3144</v>
      </c>
      <c r="N1014" s="4" t="s">
        <v>20</v>
      </c>
      <c r="O1014" s="4" t="s">
        <v>631</v>
      </c>
      <c r="P1014" s="4" t="s">
        <v>631</v>
      </c>
      <c r="Q1014" s="8" t="s">
        <v>100</v>
      </c>
      <c r="R1014" s="9">
        <f t="shared" si="16"/>
        <v>7.2262751246225188E-5</v>
      </c>
      <c r="S1014" s="55">
        <f>Tabla3[[#This Row],[Subtotal]]/12</f>
        <v>343250.75</v>
      </c>
    </row>
    <row r="1015" spans="1:19" x14ac:dyDescent="0.2">
      <c r="A1015" s="4">
        <v>413</v>
      </c>
      <c r="B1015" s="2">
        <v>4108546</v>
      </c>
      <c r="C1015" s="2">
        <v>0</v>
      </c>
      <c r="D1015" s="4" t="s">
        <v>3148</v>
      </c>
      <c r="E1015" s="2">
        <v>4108546</v>
      </c>
      <c r="F1015" s="2">
        <v>780623.74</v>
      </c>
      <c r="G1015" s="2">
        <v>90781.66</v>
      </c>
      <c r="H1015" s="4">
        <v>0</v>
      </c>
      <c r="I1015" s="4">
        <v>0</v>
      </c>
      <c r="J1015" s="4">
        <v>90781.66</v>
      </c>
      <c r="K1015" s="4">
        <v>4798388.08</v>
      </c>
      <c r="L1015" s="4" t="s">
        <v>3146</v>
      </c>
      <c r="M1015" s="4" t="s">
        <v>3147</v>
      </c>
      <c r="N1015" s="4" t="s">
        <v>427</v>
      </c>
      <c r="O1015" s="4" t="s">
        <v>89</v>
      </c>
      <c r="P1015" s="4" t="s">
        <v>89</v>
      </c>
      <c r="Q1015" s="8" t="s">
        <v>100</v>
      </c>
      <c r="R1015" s="9">
        <f t="shared" si="16"/>
        <v>7.2079191276754552E-5</v>
      </c>
      <c r="S1015" s="55">
        <f>Tabla3[[#This Row],[Subtotal]]/12</f>
        <v>342378.83333333331</v>
      </c>
    </row>
    <row r="1016" spans="1:19" x14ac:dyDescent="0.2">
      <c r="A1016" s="4">
        <v>815</v>
      </c>
      <c r="B1016" s="2">
        <v>4103680</v>
      </c>
      <c r="C1016" s="2">
        <v>0</v>
      </c>
      <c r="D1016" s="4" t="s">
        <v>3151</v>
      </c>
      <c r="E1016" s="2">
        <v>4103680</v>
      </c>
      <c r="F1016" s="2">
        <v>779699.19999999995</v>
      </c>
      <c r="G1016" s="2">
        <v>0</v>
      </c>
      <c r="H1016" s="4">
        <v>0</v>
      </c>
      <c r="I1016" s="4">
        <v>0</v>
      </c>
      <c r="J1016" s="4">
        <v>0</v>
      </c>
      <c r="K1016" s="4">
        <v>4883379.2</v>
      </c>
      <c r="L1016" s="4" t="s">
        <v>3149</v>
      </c>
      <c r="M1016" s="4" t="s">
        <v>3150</v>
      </c>
      <c r="N1016" s="4" t="s">
        <v>20</v>
      </c>
      <c r="O1016" s="4" t="s">
        <v>1043</v>
      </c>
      <c r="P1016" s="4" t="s">
        <v>1043</v>
      </c>
      <c r="Q1016" s="8" t="s">
        <v>100</v>
      </c>
      <c r="R1016" s="9">
        <f t="shared" si="16"/>
        <v>7.1993823522626286E-5</v>
      </c>
      <c r="S1016" s="55">
        <f>Tabla3[[#This Row],[Subtotal]]/12</f>
        <v>341973.33333333331</v>
      </c>
    </row>
    <row r="1017" spans="1:19" x14ac:dyDescent="0.2">
      <c r="A1017" s="4">
        <v>14</v>
      </c>
      <c r="B1017" s="2">
        <v>4102513</v>
      </c>
      <c r="C1017" s="2">
        <v>0</v>
      </c>
      <c r="D1017" s="4" t="s">
        <v>3154</v>
      </c>
      <c r="E1017" s="2">
        <v>4102513</v>
      </c>
      <c r="F1017" s="2">
        <v>779477.47</v>
      </c>
      <c r="G1017" s="2">
        <v>102562.83</v>
      </c>
      <c r="H1017" s="4">
        <v>0</v>
      </c>
      <c r="I1017" s="4">
        <v>0</v>
      </c>
      <c r="J1017" s="4">
        <v>102562.83</v>
      </c>
      <c r="K1017" s="4">
        <v>4779427.6399999997</v>
      </c>
      <c r="L1017" s="4" t="s">
        <v>3152</v>
      </c>
      <c r="M1017" s="4" t="s">
        <v>3153</v>
      </c>
      <c r="N1017" s="4" t="s">
        <v>1510</v>
      </c>
      <c r="O1017" s="4" t="s">
        <v>89</v>
      </c>
      <c r="P1017" s="4" t="s">
        <v>89</v>
      </c>
      <c r="Q1017" s="8" t="s">
        <v>100</v>
      </c>
      <c r="R1017" s="9">
        <f t="shared" si="16"/>
        <v>7.1973349998362483E-5</v>
      </c>
      <c r="S1017" s="55">
        <f>Tabla3[[#This Row],[Subtotal]]/12</f>
        <v>341876.08333333331</v>
      </c>
    </row>
    <row r="1018" spans="1:19" x14ac:dyDescent="0.2">
      <c r="A1018" s="4">
        <v>1548</v>
      </c>
      <c r="B1018" s="2">
        <v>4108177</v>
      </c>
      <c r="C1018" s="2">
        <v>5761.44</v>
      </c>
      <c r="D1018" s="4" t="s">
        <v>3157</v>
      </c>
      <c r="E1018" s="2">
        <v>4102415.56</v>
      </c>
      <c r="F1018" s="2">
        <v>779458.96</v>
      </c>
      <c r="G1018" s="2">
        <v>0</v>
      </c>
      <c r="H1018" s="4">
        <v>0</v>
      </c>
      <c r="I1018" s="4">
        <v>0</v>
      </c>
      <c r="J1018" s="4">
        <v>0</v>
      </c>
      <c r="K1018" s="4">
        <v>4881874.5199999996</v>
      </c>
      <c r="L1018" s="4" t="s">
        <v>3155</v>
      </c>
      <c r="M1018" s="4" t="s">
        <v>3156</v>
      </c>
      <c r="N1018" s="4" t="s">
        <v>20</v>
      </c>
      <c r="O1018" s="4" t="s">
        <v>631</v>
      </c>
      <c r="P1018" s="4" t="s">
        <v>631</v>
      </c>
      <c r="Q1018" s="8" t="s">
        <v>100</v>
      </c>
      <c r="R1018" s="9">
        <f t="shared" si="16"/>
        <v>7.1971640538033197E-5</v>
      </c>
      <c r="S1018" s="55">
        <f>Tabla3[[#This Row],[Subtotal]]/12</f>
        <v>341867.96333333332</v>
      </c>
    </row>
    <row r="1019" spans="1:19" x14ac:dyDescent="0.2">
      <c r="A1019" s="4">
        <v>784</v>
      </c>
      <c r="B1019" s="2">
        <v>4097590</v>
      </c>
      <c r="C1019" s="2">
        <v>0</v>
      </c>
      <c r="D1019" s="4" t="s">
        <v>3160</v>
      </c>
      <c r="E1019" s="2">
        <v>4097590</v>
      </c>
      <c r="F1019" s="2">
        <v>778542.1</v>
      </c>
      <c r="G1019" s="2">
        <v>0</v>
      </c>
      <c r="H1019" s="4">
        <v>0</v>
      </c>
      <c r="I1019" s="4">
        <v>0</v>
      </c>
      <c r="J1019" s="4">
        <v>0</v>
      </c>
      <c r="K1019" s="4">
        <v>4876132.0999999996</v>
      </c>
      <c r="L1019" s="4" t="s">
        <v>3158</v>
      </c>
      <c r="M1019" s="4" t="s">
        <v>3159</v>
      </c>
      <c r="N1019" s="4" t="s">
        <v>1454</v>
      </c>
      <c r="O1019" s="4" t="s">
        <v>67</v>
      </c>
      <c r="P1019" s="4" t="s">
        <v>67</v>
      </c>
      <c r="Q1019" s="8" t="s">
        <v>100</v>
      </c>
      <c r="R1019" s="9">
        <f t="shared" si="16"/>
        <v>7.1886982252046514E-5</v>
      </c>
      <c r="S1019" s="55">
        <f>Tabla3[[#This Row],[Subtotal]]/12</f>
        <v>341465.83333333331</v>
      </c>
    </row>
    <row r="1020" spans="1:19" x14ac:dyDescent="0.2">
      <c r="A1020" s="4">
        <v>897</v>
      </c>
      <c r="B1020" s="2">
        <v>4187648</v>
      </c>
      <c r="C1020" s="2">
        <v>125629.44</v>
      </c>
      <c r="D1020" s="4" t="s">
        <v>3162</v>
      </c>
      <c r="E1020" s="2">
        <v>4062018.56</v>
      </c>
      <c r="F1020" s="2">
        <v>771783.53</v>
      </c>
      <c r="G1020" s="2">
        <v>101550.46</v>
      </c>
      <c r="H1020" s="4">
        <v>115767.53</v>
      </c>
      <c r="I1020" s="4">
        <v>0</v>
      </c>
      <c r="J1020" s="4">
        <v>217317.99</v>
      </c>
      <c r="K1020" s="4">
        <v>4616484.0999999996</v>
      </c>
      <c r="L1020" s="4" t="s">
        <v>3161</v>
      </c>
      <c r="M1020" s="4" t="s">
        <v>95</v>
      </c>
      <c r="N1020" s="4" t="s">
        <v>3163</v>
      </c>
      <c r="O1020" s="4" t="s">
        <v>67</v>
      </c>
      <c r="P1020" s="4" t="s">
        <v>67</v>
      </c>
      <c r="Q1020" s="8" t="s">
        <v>28</v>
      </c>
      <c r="R1020" s="9">
        <f t="shared" si="16"/>
        <v>7.1262926776520717E-5</v>
      </c>
      <c r="S1020" s="55">
        <f>Tabla3[[#This Row],[Subtotal]]/12</f>
        <v>338501.54666666669</v>
      </c>
    </row>
    <row r="1021" spans="1:19" x14ac:dyDescent="0.2">
      <c r="A1021" s="4">
        <v>227</v>
      </c>
      <c r="B1021" s="2">
        <v>4060252</v>
      </c>
      <c r="C1021" s="2">
        <v>0</v>
      </c>
      <c r="D1021" s="4" t="s">
        <v>3166</v>
      </c>
      <c r="E1021" s="2">
        <v>4060252</v>
      </c>
      <c r="F1021" s="2">
        <v>771447.88</v>
      </c>
      <c r="G1021" s="2">
        <v>0</v>
      </c>
      <c r="H1021" s="4">
        <v>0</v>
      </c>
      <c r="I1021" s="4">
        <v>0</v>
      </c>
      <c r="J1021" s="4">
        <v>0</v>
      </c>
      <c r="K1021" s="4">
        <v>4831699.88</v>
      </c>
      <c r="L1021" s="4" t="s">
        <v>3164</v>
      </c>
      <c r="M1021" s="4" t="s">
        <v>3165</v>
      </c>
      <c r="N1021" s="4" t="s">
        <v>20</v>
      </c>
      <c r="O1021" s="4" t="s">
        <v>631</v>
      </c>
      <c r="P1021" s="4" t="s">
        <v>631</v>
      </c>
      <c r="Q1021" s="8" t="s">
        <v>100</v>
      </c>
      <c r="R1021" s="9">
        <f t="shared" si="16"/>
        <v>7.123193473794019E-5</v>
      </c>
      <c r="S1021" s="55">
        <f>Tabla3[[#This Row],[Subtotal]]/12</f>
        <v>338354.33333333331</v>
      </c>
    </row>
    <row r="1022" spans="1:19" x14ac:dyDescent="0.2">
      <c r="A1022" s="4">
        <v>982</v>
      </c>
      <c r="B1022" s="2">
        <v>4037170</v>
      </c>
      <c r="C1022" s="2">
        <v>0</v>
      </c>
      <c r="D1022" s="4" t="s">
        <v>3169</v>
      </c>
      <c r="E1022" s="2">
        <v>4037170</v>
      </c>
      <c r="F1022" s="2">
        <v>767062.3</v>
      </c>
      <c r="G1022" s="2">
        <v>0</v>
      </c>
      <c r="H1022" s="4">
        <v>0</v>
      </c>
      <c r="I1022" s="4">
        <v>0</v>
      </c>
      <c r="J1022" s="4">
        <v>0</v>
      </c>
      <c r="K1022" s="4">
        <v>4804232.3</v>
      </c>
      <c r="L1022" s="4" t="s">
        <v>3167</v>
      </c>
      <c r="M1022" s="4" t="s">
        <v>3168</v>
      </c>
      <c r="N1022" s="4" t="s">
        <v>92</v>
      </c>
      <c r="O1022" s="4" t="s">
        <v>93</v>
      </c>
      <c r="P1022" s="4" t="s">
        <v>93</v>
      </c>
      <c r="Q1022" s="8" t="s">
        <v>100</v>
      </c>
      <c r="R1022" s="9">
        <f t="shared" si="16"/>
        <v>7.0826990533092536E-5</v>
      </c>
      <c r="S1022" s="55">
        <f>Tabla3[[#This Row],[Subtotal]]/12</f>
        <v>336430.83333333331</v>
      </c>
    </row>
    <row r="1023" spans="1:19" x14ac:dyDescent="0.2">
      <c r="A1023" s="4">
        <v>672</v>
      </c>
      <c r="B1023" s="2">
        <v>4026921</v>
      </c>
      <c r="C1023" s="2">
        <v>0</v>
      </c>
      <c r="D1023" s="4" t="s">
        <v>3171</v>
      </c>
      <c r="E1023" s="2">
        <v>4026921</v>
      </c>
      <c r="F1023" s="2">
        <v>765114.99</v>
      </c>
      <c r="G1023" s="2">
        <v>0</v>
      </c>
      <c r="H1023" s="4">
        <v>0</v>
      </c>
      <c r="I1023" s="4">
        <v>0</v>
      </c>
      <c r="J1023" s="4">
        <v>0</v>
      </c>
      <c r="K1023" s="4">
        <v>4792035.99</v>
      </c>
      <c r="L1023" s="4" t="s">
        <v>3170</v>
      </c>
      <c r="M1023" s="4" t="s">
        <v>1930</v>
      </c>
      <c r="N1023" s="4" t="s">
        <v>2916</v>
      </c>
      <c r="O1023" s="4" t="s">
        <v>27</v>
      </c>
      <c r="P1023" s="4" t="s">
        <v>27</v>
      </c>
      <c r="Q1023" s="8" t="s">
        <v>28</v>
      </c>
      <c r="R1023" s="9">
        <f t="shared" si="16"/>
        <v>7.0647184920256397E-5</v>
      </c>
      <c r="S1023" s="55">
        <f>Tabla3[[#This Row],[Subtotal]]/12</f>
        <v>335576.75</v>
      </c>
    </row>
    <row r="1024" spans="1:19" x14ac:dyDescent="0.2">
      <c r="A1024" s="4">
        <v>733</v>
      </c>
      <c r="B1024" s="2">
        <v>4025103.35</v>
      </c>
      <c r="C1024" s="2">
        <v>0</v>
      </c>
      <c r="D1024" s="4" t="s">
        <v>3174</v>
      </c>
      <c r="E1024" s="2">
        <v>4025103.35</v>
      </c>
      <c r="F1024" s="2">
        <v>764769.64</v>
      </c>
      <c r="G1024" s="2">
        <v>0</v>
      </c>
      <c r="H1024" s="4">
        <v>0</v>
      </c>
      <c r="I1024" s="4">
        <v>0</v>
      </c>
      <c r="J1024" s="4">
        <v>0</v>
      </c>
      <c r="K1024" s="4">
        <v>4789872.99</v>
      </c>
      <c r="L1024" s="4" t="s">
        <v>3172</v>
      </c>
      <c r="M1024" s="4" t="s">
        <v>3173</v>
      </c>
      <c r="N1024" s="4" t="s">
        <v>20</v>
      </c>
      <c r="O1024" s="4" t="s">
        <v>1891</v>
      </c>
      <c r="P1024" s="4" t="s">
        <v>1891</v>
      </c>
      <c r="Q1024" s="8" t="s">
        <v>144</v>
      </c>
      <c r="R1024" s="9">
        <f t="shared" si="16"/>
        <v>7.0615296572888698E-5</v>
      </c>
      <c r="S1024" s="55">
        <f>Tabla3[[#This Row],[Subtotal]]/12</f>
        <v>335425.27916666667</v>
      </c>
    </row>
    <row r="1025" spans="1:19" x14ac:dyDescent="0.2">
      <c r="A1025" s="4">
        <v>404</v>
      </c>
      <c r="B1025" s="2">
        <v>4024968</v>
      </c>
      <c r="C1025" s="2">
        <v>0</v>
      </c>
      <c r="D1025" s="4" t="s">
        <v>3177</v>
      </c>
      <c r="E1025" s="2">
        <v>4024968</v>
      </c>
      <c r="F1025" s="2">
        <v>764743.92</v>
      </c>
      <c r="G1025" s="2">
        <v>0</v>
      </c>
      <c r="H1025" s="4">
        <v>0</v>
      </c>
      <c r="I1025" s="4">
        <v>0</v>
      </c>
      <c r="J1025" s="4">
        <v>0</v>
      </c>
      <c r="K1025" s="4">
        <v>4789711.92</v>
      </c>
      <c r="L1025" s="4" t="s">
        <v>3175</v>
      </c>
      <c r="M1025" s="4" t="s">
        <v>3176</v>
      </c>
      <c r="N1025" s="4" t="s">
        <v>20</v>
      </c>
      <c r="O1025" s="4" t="s">
        <v>1157</v>
      </c>
      <c r="P1025" s="4" t="s">
        <v>1157</v>
      </c>
      <c r="Q1025" s="8" t="s">
        <v>100</v>
      </c>
      <c r="R1025" s="9">
        <f t="shared" si="16"/>
        <v>7.0612922030035988E-5</v>
      </c>
      <c r="S1025" s="55">
        <f>Tabla3[[#This Row],[Subtotal]]/12</f>
        <v>335414</v>
      </c>
    </row>
    <row r="1026" spans="1:19" x14ac:dyDescent="0.2">
      <c r="A1026" s="4">
        <v>1654</v>
      </c>
      <c r="B1026" s="2">
        <v>4021907</v>
      </c>
      <c r="C1026" s="2">
        <v>0</v>
      </c>
      <c r="D1026" s="4" t="s">
        <v>3180</v>
      </c>
      <c r="E1026" s="2">
        <v>4021907</v>
      </c>
      <c r="F1026" s="2">
        <v>764162.33</v>
      </c>
      <c r="G1026" s="2">
        <v>0</v>
      </c>
      <c r="H1026" s="4">
        <v>0</v>
      </c>
      <c r="I1026" s="4">
        <v>0</v>
      </c>
      <c r="J1026" s="4">
        <v>0</v>
      </c>
      <c r="K1026" s="4">
        <v>4786069.33</v>
      </c>
      <c r="L1026" s="4" t="s">
        <v>3178</v>
      </c>
      <c r="M1026" s="4" t="s">
        <v>3179</v>
      </c>
      <c r="N1026" s="4" t="s">
        <v>272</v>
      </c>
      <c r="O1026" s="4" t="s">
        <v>89</v>
      </c>
      <c r="P1026" s="4" t="s">
        <v>89</v>
      </c>
      <c r="Q1026" s="8" t="s">
        <v>100</v>
      </c>
      <c r="R1026" s="9">
        <f t="shared" si="16"/>
        <v>7.0559220695184648E-5</v>
      </c>
      <c r="S1026" s="55">
        <f>Tabla3[[#This Row],[Subtotal]]/12</f>
        <v>335158.91666666669</v>
      </c>
    </row>
    <row r="1027" spans="1:19" x14ac:dyDescent="0.2">
      <c r="A1027" s="4">
        <v>831</v>
      </c>
      <c r="B1027" s="2">
        <v>4014821</v>
      </c>
      <c r="C1027" s="2">
        <v>0</v>
      </c>
      <c r="D1027" s="4" t="s">
        <v>3183</v>
      </c>
      <c r="E1027" s="2">
        <v>4014821</v>
      </c>
      <c r="F1027" s="2">
        <v>762815.99</v>
      </c>
      <c r="G1027" s="2">
        <v>0</v>
      </c>
      <c r="H1027" s="4">
        <v>0</v>
      </c>
      <c r="I1027" s="4">
        <v>0</v>
      </c>
      <c r="J1027" s="4">
        <v>0</v>
      </c>
      <c r="K1027" s="4">
        <v>4777636.99</v>
      </c>
      <c r="L1027" s="4" t="s">
        <v>3181</v>
      </c>
      <c r="M1027" s="4" t="s">
        <v>3182</v>
      </c>
      <c r="N1027" s="4" t="s">
        <v>20</v>
      </c>
      <c r="O1027" s="4" t="s">
        <v>372</v>
      </c>
      <c r="P1027" s="4" t="s">
        <v>372</v>
      </c>
      <c r="Q1027" s="8" t="s">
        <v>100</v>
      </c>
      <c r="R1027" s="9">
        <f t="shared" ref="R1027:R1090" si="17">E1027/$E$1757</f>
        <v>7.0434905876904139E-5</v>
      </c>
      <c r="S1027" s="55">
        <f>Tabla3[[#This Row],[Subtotal]]/12</f>
        <v>334568.41666666669</v>
      </c>
    </row>
    <row r="1028" spans="1:19" x14ac:dyDescent="0.2">
      <c r="A1028" s="4">
        <v>1702</v>
      </c>
      <c r="B1028" s="2">
        <v>4009167</v>
      </c>
      <c r="C1028" s="2">
        <v>0</v>
      </c>
      <c r="D1028" s="4" t="s">
        <v>3186</v>
      </c>
      <c r="E1028" s="2">
        <v>4009167</v>
      </c>
      <c r="F1028" s="2">
        <v>761741.73</v>
      </c>
      <c r="G1028" s="2">
        <v>76755.429999999993</v>
      </c>
      <c r="H1028" s="4">
        <v>0</v>
      </c>
      <c r="I1028" s="4">
        <v>0</v>
      </c>
      <c r="J1028" s="4">
        <v>76755.429999999993</v>
      </c>
      <c r="K1028" s="4">
        <v>4694153.3</v>
      </c>
      <c r="L1028" s="4" t="s">
        <v>3184</v>
      </c>
      <c r="M1028" s="4" t="s">
        <v>3185</v>
      </c>
      <c r="N1028" s="4" t="s">
        <v>20</v>
      </c>
      <c r="O1028" s="4" t="s">
        <v>71</v>
      </c>
      <c r="P1028" s="4" t="s">
        <v>71</v>
      </c>
      <c r="Q1028" s="8" t="s">
        <v>100</v>
      </c>
      <c r="R1028" s="9">
        <f t="shared" si="17"/>
        <v>7.0335713669374096E-5</v>
      </c>
      <c r="S1028" s="55">
        <f>Tabla3[[#This Row],[Subtotal]]/12</f>
        <v>334097.25</v>
      </c>
    </row>
    <row r="1029" spans="1:19" x14ac:dyDescent="0.2">
      <c r="A1029" s="4">
        <v>124</v>
      </c>
      <c r="B1029" s="2">
        <v>4008842</v>
      </c>
      <c r="C1029" s="2">
        <v>0</v>
      </c>
      <c r="D1029" s="4" t="s">
        <v>3189</v>
      </c>
      <c r="E1029" s="2">
        <v>4008842</v>
      </c>
      <c r="F1029" s="2">
        <v>761679.98</v>
      </c>
      <c r="G1029" s="2">
        <v>0</v>
      </c>
      <c r="H1029" s="4">
        <v>0</v>
      </c>
      <c r="I1029" s="4">
        <v>0</v>
      </c>
      <c r="J1029" s="4">
        <v>0</v>
      </c>
      <c r="K1029" s="4">
        <v>4770521.9800000004</v>
      </c>
      <c r="L1029" s="4" t="s">
        <v>3187</v>
      </c>
      <c r="M1029" s="4" t="s">
        <v>3188</v>
      </c>
      <c r="N1029" s="4" t="s">
        <v>434</v>
      </c>
      <c r="O1029" s="4" t="s">
        <v>382</v>
      </c>
      <c r="P1029" s="4" t="s">
        <v>382</v>
      </c>
      <c r="Q1029" s="8" t="s">
        <v>100</v>
      </c>
      <c r="R1029" s="9">
        <f t="shared" si="17"/>
        <v>7.0330011959531983E-5</v>
      </c>
      <c r="S1029" s="55">
        <f>Tabla3[[#This Row],[Subtotal]]/12</f>
        <v>334070.16666666669</v>
      </c>
    </row>
    <row r="1030" spans="1:19" x14ac:dyDescent="0.2">
      <c r="A1030" s="4">
        <v>1408</v>
      </c>
      <c r="B1030" s="2">
        <v>4007643</v>
      </c>
      <c r="C1030" s="2">
        <v>0</v>
      </c>
      <c r="D1030" s="4" t="s">
        <v>3192</v>
      </c>
      <c r="E1030" s="2">
        <v>4007643</v>
      </c>
      <c r="F1030" s="2">
        <v>761452.17</v>
      </c>
      <c r="G1030" s="2">
        <v>100191.08</v>
      </c>
      <c r="H1030" s="4">
        <v>0</v>
      </c>
      <c r="I1030" s="4">
        <v>0</v>
      </c>
      <c r="J1030" s="4">
        <v>100191.08</v>
      </c>
      <c r="K1030" s="4">
        <v>4668904.09</v>
      </c>
      <c r="L1030" s="4" t="s">
        <v>3190</v>
      </c>
      <c r="M1030" s="4" t="s">
        <v>3191</v>
      </c>
      <c r="N1030" s="4" t="s">
        <v>142</v>
      </c>
      <c r="O1030" s="4" t="s">
        <v>386</v>
      </c>
      <c r="P1030" s="4" t="s">
        <v>386</v>
      </c>
      <c r="Q1030" s="8" t="s">
        <v>585</v>
      </c>
      <c r="R1030" s="9">
        <f t="shared" si="17"/>
        <v>7.0308977036145258E-5</v>
      </c>
      <c r="S1030" s="55">
        <f>Tabla3[[#This Row],[Subtotal]]/12</f>
        <v>333970.25</v>
      </c>
    </row>
    <row r="1031" spans="1:19" x14ac:dyDescent="0.2">
      <c r="A1031" s="4">
        <v>524</v>
      </c>
      <c r="B1031" s="2">
        <v>4004854</v>
      </c>
      <c r="C1031" s="2">
        <v>0</v>
      </c>
      <c r="D1031" s="4" t="s">
        <v>3195</v>
      </c>
      <c r="E1031" s="2">
        <v>4004854</v>
      </c>
      <c r="F1031" s="2">
        <v>760922.26</v>
      </c>
      <c r="G1031" s="2">
        <v>57005.58</v>
      </c>
      <c r="H1031" s="4">
        <v>0</v>
      </c>
      <c r="I1031" s="4">
        <v>0</v>
      </c>
      <c r="J1031" s="4">
        <v>57005.58</v>
      </c>
      <c r="K1031" s="4">
        <v>4708770.68</v>
      </c>
      <c r="L1031" s="4" t="s">
        <v>3193</v>
      </c>
      <c r="M1031" s="4" t="s">
        <v>3194</v>
      </c>
      <c r="N1031" s="4" t="s">
        <v>20</v>
      </c>
      <c r="O1031" s="4" t="s">
        <v>71</v>
      </c>
      <c r="P1031" s="4" t="s">
        <v>71</v>
      </c>
      <c r="Q1031" s="8" t="s">
        <v>100</v>
      </c>
      <c r="R1031" s="9">
        <f t="shared" si="17"/>
        <v>7.0260047593838696E-5</v>
      </c>
      <c r="S1031" s="55">
        <f>Tabla3[[#This Row],[Subtotal]]/12</f>
        <v>333737.83333333331</v>
      </c>
    </row>
    <row r="1032" spans="1:19" x14ac:dyDescent="0.2">
      <c r="A1032" s="4">
        <v>1192</v>
      </c>
      <c r="B1032" s="2">
        <v>4043892</v>
      </c>
      <c r="C1032" s="2">
        <v>51061.8</v>
      </c>
      <c r="D1032" s="4" t="s">
        <v>3198</v>
      </c>
      <c r="E1032" s="2">
        <v>3992830.2</v>
      </c>
      <c r="F1032" s="2">
        <v>758637.74</v>
      </c>
      <c r="G1032" s="2">
        <v>0</v>
      </c>
      <c r="H1032" s="4">
        <v>0</v>
      </c>
      <c r="I1032" s="4">
        <v>0</v>
      </c>
      <c r="J1032" s="4">
        <v>0</v>
      </c>
      <c r="K1032" s="4">
        <v>4751467.9400000004</v>
      </c>
      <c r="L1032" s="4" t="s">
        <v>3196</v>
      </c>
      <c r="M1032" s="4" t="s">
        <v>3197</v>
      </c>
      <c r="N1032" s="4" t="s">
        <v>20</v>
      </c>
      <c r="O1032" s="4" t="s">
        <v>540</v>
      </c>
      <c r="P1032" s="4" t="s">
        <v>540</v>
      </c>
      <c r="Q1032" s="8" t="s">
        <v>100</v>
      </c>
      <c r="R1032" s="9">
        <f t="shared" si="17"/>
        <v>7.0049105382147879E-5</v>
      </c>
      <c r="S1032" s="55">
        <f>Tabla3[[#This Row],[Subtotal]]/12</f>
        <v>332735.85000000003</v>
      </c>
    </row>
    <row r="1033" spans="1:19" x14ac:dyDescent="0.2">
      <c r="A1033" s="4">
        <v>1414</v>
      </c>
      <c r="B1033" s="2">
        <v>3978806</v>
      </c>
      <c r="C1033" s="2">
        <v>0</v>
      </c>
      <c r="D1033" s="4" t="s">
        <v>3201</v>
      </c>
      <c r="E1033" s="2">
        <v>3978806</v>
      </c>
      <c r="F1033" s="2">
        <v>755973.14</v>
      </c>
      <c r="G1033" s="2">
        <v>0</v>
      </c>
      <c r="H1033" s="4">
        <v>0</v>
      </c>
      <c r="I1033" s="4">
        <v>0</v>
      </c>
      <c r="J1033" s="4">
        <v>0</v>
      </c>
      <c r="K1033" s="4">
        <v>4734779.1399999997</v>
      </c>
      <c r="L1033" s="4" t="s">
        <v>3199</v>
      </c>
      <c r="M1033" s="4" t="s">
        <v>3200</v>
      </c>
      <c r="N1033" s="4" t="s">
        <v>20</v>
      </c>
      <c r="O1033" s="4" t="s">
        <v>1891</v>
      </c>
      <c r="P1033" s="4" t="s">
        <v>900</v>
      </c>
      <c r="Q1033" s="8" t="s">
        <v>1378</v>
      </c>
      <c r="R1033" s="9">
        <f t="shared" si="17"/>
        <v>6.9803068707785849E-5</v>
      </c>
      <c r="S1033" s="55">
        <f>Tabla3[[#This Row],[Subtotal]]/12</f>
        <v>331567.16666666669</v>
      </c>
    </row>
    <row r="1034" spans="1:19" x14ac:dyDescent="0.2">
      <c r="A1034" s="4">
        <v>1428</v>
      </c>
      <c r="B1034" s="2">
        <v>3953503</v>
      </c>
      <c r="C1034" s="2">
        <v>0</v>
      </c>
      <c r="D1034" s="4" t="s">
        <v>3204</v>
      </c>
      <c r="E1034" s="2">
        <v>3953503</v>
      </c>
      <c r="F1034" s="2">
        <v>751165.57</v>
      </c>
      <c r="G1034" s="2">
        <v>0</v>
      </c>
      <c r="H1034" s="4">
        <v>0</v>
      </c>
      <c r="I1034" s="4">
        <v>0</v>
      </c>
      <c r="J1034" s="4">
        <v>0</v>
      </c>
      <c r="K1034" s="4">
        <v>4704668.57</v>
      </c>
      <c r="L1034" s="4" t="s">
        <v>3202</v>
      </c>
      <c r="M1034" s="4" t="s">
        <v>3203</v>
      </c>
      <c r="N1034" s="4" t="s">
        <v>293</v>
      </c>
      <c r="O1034" s="4" t="s">
        <v>229</v>
      </c>
      <c r="P1034" s="4" t="s">
        <v>229</v>
      </c>
      <c r="Q1034" s="8" t="s">
        <v>100</v>
      </c>
      <c r="R1034" s="9">
        <f t="shared" si="17"/>
        <v>6.935915989506336E-5</v>
      </c>
      <c r="S1034" s="55">
        <f>Tabla3[[#This Row],[Subtotal]]/12</f>
        <v>329458.58333333331</v>
      </c>
    </row>
    <row r="1035" spans="1:19" x14ac:dyDescent="0.2">
      <c r="A1035" s="4">
        <v>1543</v>
      </c>
      <c r="B1035" s="2">
        <v>3947985.68</v>
      </c>
      <c r="C1035" s="2">
        <v>0</v>
      </c>
      <c r="D1035" s="4" t="s">
        <v>3207</v>
      </c>
      <c r="E1035" s="2">
        <v>3947985.68</v>
      </c>
      <c r="F1035" s="2">
        <v>750117.28</v>
      </c>
      <c r="G1035" s="2">
        <v>37347.24</v>
      </c>
      <c r="H1035" s="4">
        <v>0</v>
      </c>
      <c r="I1035" s="4">
        <v>0</v>
      </c>
      <c r="J1035" s="4">
        <v>37347.24</v>
      </c>
      <c r="K1035" s="4">
        <v>4660755.72</v>
      </c>
      <c r="L1035" s="4" t="s">
        <v>3205</v>
      </c>
      <c r="M1035" s="4" t="s">
        <v>3206</v>
      </c>
      <c r="N1035" s="4" t="s">
        <v>20</v>
      </c>
      <c r="O1035" s="4" t="s">
        <v>900</v>
      </c>
      <c r="P1035" s="4" t="s">
        <v>900</v>
      </c>
      <c r="Q1035" s="8" t="s">
        <v>144</v>
      </c>
      <c r="R1035" s="9">
        <f t="shared" si="17"/>
        <v>6.9262365563537058E-5</v>
      </c>
      <c r="S1035" s="55">
        <f>Tabla3[[#This Row],[Subtotal]]/12</f>
        <v>328998.8066666667</v>
      </c>
    </row>
    <row r="1036" spans="1:19" x14ac:dyDescent="0.2">
      <c r="A1036" s="4">
        <v>119</v>
      </c>
      <c r="B1036" s="2">
        <v>3944478</v>
      </c>
      <c r="C1036" s="2">
        <v>0</v>
      </c>
      <c r="D1036" s="4" t="s">
        <v>3210</v>
      </c>
      <c r="E1036" s="2">
        <v>3944478</v>
      </c>
      <c r="F1036" s="2">
        <v>749450.82</v>
      </c>
      <c r="G1036" s="2">
        <v>0</v>
      </c>
      <c r="H1036" s="4">
        <v>0</v>
      </c>
      <c r="I1036" s="4">
        <v>0</v>
      </c>
      <c r="J1036" s="4">
        <v>0</v>
      </c>
      <c r="K1036" s="4">
        <v>4693928.82</v>
      </c>
      <c r="L1036" s="4" t="s">
        <v>3208</v>
      </c>
      <c r="M1036" s="4" t="s">
        <v>3209</v>
      </c>
      <c r="N1036" s="4" t="s">
        <v>2604</v>
      </c>
      <c r="O1036" s="4" t="s">
        <v>1188</v>
      </c>
      <c r="P1036" s="4" t="s">
        <v>1188</v>
      </c>
      <c r="Q1036" s="8" t="s">
        <v>100</v>
      </c>
      <c r="R1036" s="9">
        <f t="shared" si="17"/>
        <v>6.9200827798678727E-5</v>
      </c>
      <c r="S1036" s="55">
        <f>Tabla3[[#This Row],[Subtotal]]/12</f>
        <v>328706.5</v>
      </c>
    </row>
    <row r="1037" spans="1:19" x14ac:dyDescent="0.2">
      <c r="A1037" s="4">
        <v>1610</v>
      </c>
      <c r="B1037" s="2">
        <v>3933148</v>
      </c>
      <c r="C1037" s="2">
        <v>0</v>
      </c>
      <c r="D1037" s="4" t="s">
        <v>3213</v>
      </c>
      <c r="E1037" s="2">
        <v>3933148</v>
      </c>
      <c r="F1037" s="2">
        <v>747298.12</v>
      </c>
      <c r="G1037" s="2">
        <v>0</v>
      </c>
      <c r="H1037" s="4">
        <v>0</v>
      </c>
      <c r="I1037" s="4">
        <v>0</v>
      </c>
      <c r="J1037" s="4">
        <v>0</v>
      </c>
      <c r="K1037" s="4">
        <v>4680446.12</v>
      </c>
      <c r="L1037" s="4" t="s">
        <v>3211</v>
      </c>
      <c r="M1037" s="4" t="s">
        <v>3212</v>
      </c>
      <c r="N1037" s="4" t="s">
        <v>272</v>
      </c>
      <c r="O1037" s="4" t="s">
        <v>89</v>
      </c>
      <c r="P1037" s="4" t="s">
        <v>89</v>
      </c>
      <c r="Q1037" s="8" t="s">
        <v>100</v>
      </c>
      <c r="R1037" s="9">
        <f t="shared" si="17"/>
        <v>6.9002057421721608E-5</v>
      </c>
      <c r="S1037" s="55">
        <f>Tabla3[[#This Row],[Subtotal]]/12</f>
        <v>327762.33333333331</v>
      </c>
    </row>
    <row r="1038" spans="1:19" x14ac:dyDescent="0.2">
      <c r="A1038" s="4">
        <v>1211</v>
      </c>
      <c r="B1038" s="2">
        <v>3933527</v>
      </c>
      <c r="C1038" s="2">
        <v>13852.08</v>
      </c>
      <c r="D1038" s="4" t="s">
        <v>3216</v>
      </c>
      <c r="E1038" s="2">
        <v>3919674.92</v>
      </c>
      <c r="F1038" s="2">
        <v>744738.23</v>
      </c>
      <c r="G1038" s="2">
        <v>0</v>
      </c>
      <c r="H1038" s="4">
        <v>0</v>
      </c>
      <c r="I1038" s="4">
        <v>0</v>
      </c>
      <c r="J1038" s="4">
        <v>0</v>
      </c>
      <c r="K1038" s="4">
        <v>4664413.1500000004</v>
      </c>
      <c r="L1038" s="4" t="s">
        <v>3214</v>
      </c>
      <c r="M1038" s="4" t="s">
        <v>3215</v>
      </c>
      <c r="N1038" s="4" t="s">
        <v>20</v>
      </c>
      <c r="O1038" s="4" t="s">
        <v>372</v>
      </c>
      <c r="P1038" s="4" t="s">
        <v>372</v>
      </c>
      <c r="Q1038" s="8" t="s">
        <v>100</v>
      </c>
      <c r="R1038" s="9">
        <f t="shared" si="17"/>
        <v>6.8765689443753969E-5</v>
      </c>
      <c r="S1038" s="55">
        <f>Tabla3[[#This Row],[Subtotal]]/12</f>
        <v>326639.57666666666</v>
      </c>
    </row>
    <row r="1039" spans="1:19" x14ac:dyDescent="0.2">
      <c r="A1039" s="4">
        <v>1066</v>
      </c>
      <c r="B1039" s="2">
        <v>3911851</v>
      </c>
      <c r="C1039" s="2">
        <v>0</v>
      </c>
      <c r="D1039" s="4" t="s">
        <v>3219</v>
      </c>
      <c r="E1039" s="2">
        <v>3911851</v>
      </c>
      <c r="F1039" s="2">
        <v>743251.69</v>
      </c>
      <c r="G1039" s="2">
        <v>0</v>
      </c>
      <c r="H1039" s="4">
        <v>0</v>
      </c>
      <c r="I1039" s="4">
        <v>0</v>
      </c>
      <c r="J1039" s="4">
        <v>0</v>
      </c>
      <c r="K1039" s="4">
        <v>4655102.6900000004</v>
      </c>
      <c r="L1039" s="4" t="s">
        <v>3217</v>
      </c>
      <c r="M1039" s="4" t="s">
        <v>3218</v>
      </c>
      <c r="N1039" s="4" t="s">
        <v>819</v>
      </c>
      <c r="O1039" s="4" t="s">
        <v>93</v>
      </c>
      <c r="P1039" s="4" t="s">
        <v>93</v>
      </c>
      <c r="Q1039" s="8" t="s">
        <v>100</v>
      </c>
      <c r="R1039" s="9">
        <f t="shared" si="17"/>
        <v>6.8628428761699045E-5</v>
      </c>
      <c r="S1039" s="55">
        <f>Tabla3[[#This Row],[Subtotal]]/12</f>
        <v>325987.58333333331</v>
      </c>
    </row>
    <row r="1040" spans="1:19" x14ac:dyDescent="0.2">
      <c r="A1040" s="4">
        <v>1052</v>
      </c>
      <c r="B1040" s="2">
        <v>3900829</v>
      </c>
      <c r="C1040" s="2">
        <v>0</v>
      </c>
      <c r="D1040" s="4" t="s">
        <v>3222</v>
      </c>
      <c r="E1040" s="2">
        <v>3900829</v>
      </c>
      <c r="F1040" s="2">
        <v>741157.51</v>
      </c>
      <c r="G1040" s="2">
        <v>97520.74</v>
      </c>
      <c r="H1040" s="4">
        <v>0</v>
      </c>
      <c r="I1040" s="4">
        <v>0</v>
      </c>
      <c r="J1040" s="4">
        <v>97520.74</v>
      </c>
      <c r="K1040" s="4">
        <v>4544465.7699999996</v>
      </c>
      <c r="L1040" s="4" t="s">
        <v>3220</v>
      </c>
      <c r="M1040" s="4" t="s">
        <v>3221</v>
      </c>
      <c r="N1040" s="4" t="s">
        <v>20</v>
      </c>
      <c r="O1040" s="4" t="s">
        <v>76</v>
      </c>
      <c r="P1040" s="4" t="s">
        <v>76</v>
      </c>
      <c r="Q1040" s="8" t="s">
        <v>1378</v>
      </c>
      <c r="R1040" s="9">
        <f t="shared" si="17"/>
        <v>6.8435061851299992E-5</v>
      </c>
      <c r="S1040" s="55">
        <f>Tabla3[[#This Row],[Subtotal]]/12</f>
        <v>325069.08333333331</v>
      </c>
    </row>
    <row r="1041" spans="1:19" x14ac:dyDescent="0.2">
      <c r="A1041" s="4">
        <v>1079</v>
      </c>
      <c r="B1041" s="2">
        <v>3888308</v>
      </c>
      <c r="C1041" s="2">
        <v>0</v>
      </c>
      <c r="D1041" s="4" t="s">
        <v>3225</v>
      </c>
      <c r="E1041" s="2">
        <v>3888308</v>
      </c>
      <c r="F1041" s="2">
        <v>738778.52</v>
      </c>
      <c r="G1041" s="2">
        <v>0</v>
      </c>
      <c r="H1041" s="4">
        <v>0</v>
      </c>
      <c r="I1041" s="4">
        <v>0</v>
      </c>
      <c r="J1041" s="4">
        <v>0</v>
      </c>
      <c r="K1041" s="4">
        <v>4627086.5199999996</v>
      </c>
      <c r="L1041" s="4" t="s">
        <v>3223</v>
      </c>
      <c r="M1041" s="4" t="s">
        <v>3224</v>
      </c>
      <c r="N1041" s="4" t="s">
        <v>1143</v>
      </c>
      <c r="O1041" s="4" t="s">
        <v>340</v>
      </c>
      <c r="P1041" s="4" t="s">
        <v>340</v>
      </c>
      <c r="Q1041" s="8" t="s">
        <v>100</v>
      </c>
      <c r="R1041" s="9">
        <f t="shared" si="17"/>
        <v>6.8215396900736896E-5</v>
      </c>
      <c r="S1041" s="55">
        <f>Tabla3[[#This Row],[Subtotal]]/12</f>
        <v>324025.66666666669</v>
      </c>
    </row>
    <row r="1042" spans="1:19" x14ac:dyDescent="0.2">
      <c r="A1042" s="4">
        <v>1301</v>
      </c>
      <c r="B1042" s="2">
        <v>3878973</v>
      </c>
      <c r="C1042" s="2">
        <v>0</v>
      </c>
      <c r="D1042" s="4" t="s">
        <v>3228</v>
      </c>
      <c r="E1042" s="2">
        <v>3878973</v>
      </c>
      <c r="F1042" s="2">
        <v>737004.87</v>
      </c>
      <c r="G1042" s="2">
        <v>0</v>
      </c>
      <c r="H1042" s="4">
        <v>0</v>
      </c>
      <c r="I1042" s="4">
        <v>0</v>
      </c>
      <c r="J1042" s="4">
        <v>0</v>
      </c>
      <c r="K1042" s="4">
        <v>4615977.87</v>
      </c>
      <c r="L1042" s="4" t="s">
        <v>3226</v>
      </c>
      <c r="M1042" s="4" t="s">
        <v>3227</v>
      </c>
      <c r="N1042" s="4" t="s">
        <v>3229</v>
      </c>
      <c r="O1042" s="4" t="s">
        <v>940</v>
      </c>
      <c r="P1042" s="4" t="s">
        <v>940</v>
      </c>
      <c r="Q1042" s="8" t="s">
        <v>100</v>
      </c>
      <c r="R1042" s="9">
        <f t="shared" si="17"/>
        <v>6.8051626250349012E-5</v>
      </c>
      <c r="S1042" s="55">
        <f>Tabla3[[#This Row],[Subtotal]]/12</f>
        <v>323247.75</v>
      </c>
    </row>
    <row r="1043" spans="1:19" x14ac:dyDescent="0.2">
      <c r="A1043" s="4">
        <v>1376</v>
      </c>
      <c r="B1043" s="2">
        <v>3877924</v>
      </c>
      <c r="C1043" s="2">
        <v>0</v>
      </c>
      <c r="D1043" s="4" t="s">
        <v>3232</v>
      </c>
      <c r="E1043" s="2">
        <v>3877924</v>
      </c>
      <c r="F1043" s="2">
        <v>736805.56</v>
      </c>
      <c r="G1043" s="2">
        <v>29871.21</v>
      </c>
      <c r="H1043" s="4">
        <v>0</v>
      </c>
      <c r="I1043" s="4">
        <v>0</v>
      </c>
      <c r="J1043" s="4">
        <v>29871.21</v>
      </c>
      <c r="K1043" s="4">
        <v>4584858.3499999996</v>
      </c>
      <c r="L1043" s="4" t="s">
        <v>3230</v>
      </c>
      <c r="M1043" s="4" t="s">
        <v>3231</v>
      </c>
      <c r="N1043" s="4" t="s">
        <v>20</v>
      </c>
      <c r="O1043" s="4" t="s">
        <v>257</v>
      </c>
      <c r="P1043" s="4" t="s">
        <v>257</v>
      </c>
      <c r="Q1043" s="8" t="s">
        <v>100</v>
      </c>
      <c r="R1043" s="9">
        <f t="shared" si="17"/>
        <v>6.8033222885350954E-5</v>
      </c>
      <c r="S1043" s="55">
        <f>Tabla3[[#This Row],[Subtotal]]/12</f>
        <v>323160.33333333331</v>
      </c>
    </row>
    <row r="1044" spans="1:19" x14ac:dyDescent="0.2">
      <c r="A1044" s="4">
        <v>390</v>
      </c>
      <c r="B1044" s="2">
        <v>3872504</v>
      </c>
      <c r="C1044" s="2">
        <v>0</v>
      </c>
      <c r="D1044" s="4" t="s">
        <v>3234</v>
      </c>
      <c r="E1044" s="2">
        <v>3872504</v>
      </c>
      <c r="F1044" s="2">
        <v>735775.76</v>
      </c>
      <c r="G1044" s="2">
        <v>87764.6</v>
      </c>
      <c r="H1044" s="4">
        <v>100051.64</v>
      </c>
      <c r="I1044" s="4">
        <v>0</v>
      </c>
      <c r="J1044" s="4">
        <v>187816.24</v>
      </c>
      <c r="K1044" s="4">
        <v>4420463.5199999996</v>
      </c>
      <c r="L1044" s="4" t="s">
        <v>3233</v>
      </c>
      <c r="M1044" s="4" t="s">
        <v>137</v>
      </c>
      <c r="N1044" s="4" t="s">
        <v>464</v>
      </c>
      <c r="O1044" s="4" t="s">
        <v>105</v>
      </c>
      <c r="P1044" s="4" t="s">
        <v>105</v>
      </c>
      <c r="Q1044" s="8" t="s">
        <v>22</v>
      </c>
      <c r="R1044" s="9">
        <f t="shared" si="17"/>
        <v>6.7938135908907215E-5</v>
      </c>
      <c r="S1044" s="55">
        <f>Tabla3[[#This Row],[Subtotal]]/12</f>
        <v>322708.66666666669</v>
      </c>
    </row>
    <row r="1045" spans="1:19" x14ac:dyDescent="0.2">
      <c r="A1045" s="4">
        <v>416</v>
      </c>
      <c r="B1045" s="2">
        <v>3872491</v>
      </c>
      <c r="C1045" s="2">
        <v>0</v>
      </c>
      <c r="D1045" s="4" t="s">
        <v>3237</v>
      </c>
      <c r="E1045" s="2">
        <v>3872491</v>
      </c>
      <c r="F1045" s="2">
        <v>735773.29</v>
      </c>
      <c r="G1045" s="2">
        <v>13157.8</v>
      </c>
      <c r="H1045" s="4">
        <v>0</v>
      </c>
      <c r="I1045" s="4">
        <v>0</v>
      </c>
      <c r="J1045" s="4">
        <v>13157.8</v>
      </c>
      <c r="K1045" s="4">
        <v>4595106.49</v>
      </c>
      <c r="L1045" s="4" t="s">
        <v>3235</v>
      </c>
      <c r="M1045" s="4" t="s">
        <v>3236</v>
      </c>
      <c r="N1045" s="4" t="s">
        <v>20</v>
      </c>
      <c r="O1045" s="4" t="s">
        <v>1043</v>
      </c>
      <c r="P1045" s="4" t="s">
        <v>1043</v>
      </c>
      <c r="Q1045" s="8" t="s">
        <v>100</v>
      </c>
      <c r="R1045" s="9">
        <f t="shared" si="17"/>
        <v>6.7937907840513536E-5</v>
      </c>
      <c r="S1045" s="55">
        <f>Tabla3[[#This Row],[Subtotal]]/12</f>
        <v>322707.58333333331</v>
      </c>
    </row>
    <row r="1046" spans="1:19" x14ac:dyDescent="0.2">
      <c r="A1046" s="4">
        <v>1043</v>
      </c>
      <c r="B1046" s="2">
        <v>3842386</v>
      </c>
      <c r="C1046" s="2">
        <v>0</v>
      </c>
      <c r="D1046" s="4" t="s">
        <v>3239</v>
      </c>
      <c r="E1046" s="2">
        <v>3842386</v>
      </c>
      <c r="F1046" s="2">
        <v>730053.34</v>
      </c>
      <c r="G1046" s="2">
        <v>16268.3</v>
      </c>
      <c r="H1046" s="4">
        <v>0</v>
      </c>
      <c r="I1046" s="4">
        <v>0</v>
      </c>
      <c r="J1046" s="4">
        <v>16268.3</v>
      </c>
      <c r="K1046" s="4">
        <v>4556171.04</v>
      </c>
      <c r="L1046" s="4" t="s">
        <v>3238</v>
      </c>
      <c r="M1046" s="4" t="s">
        <v>2799</v>
      </c>
      <c r="N1046" s="4" t="s">
        <v>20</v>
      </c>
      <c r="O1046" s="4" t="s">
        <v>692</v>
      </c>
      <c r="P1046" s="4" t="s">
        <v>692</v>
      </c>
      <c r="Q1046" s="8" t="s">
        <v>100</v>
      </c>
      <c r="R1046" s="9">
        <f t="shared" si="17"/>
        <v>6.7409754071908612E-5</v>
      </c>
      <c r="S1046" s="55">
        <f>Tabla3[[#This Row],[Subtotal]]/12</f>
        <v>320198.83333333331</v>
      </c>
    </row>
    <row r="1047" spans="1:19" x14ac:dyDescent="0.2">
      <c r="A1047" s="4">
        <v>1389</v>
      </c>
      <c r="B1047" s="2">
        <v>3837360</v>
      </c>
      <c r="C1047" s="2">
        <v>0</v>
      </c>
      <c r="D1047" s="4" t="s">
        <v>3242</v>
      </c>
      <c r="E1047" s="2">
        <v>3837360</v>
      </c>
      <c r="F1047" s="2">
        <v>729098.4</v>
      </c>
      <c r="G1047" s="2">
        <v>95934</v>
      </c>
      <c r="H1047" s="4">
        <v>0</v>
      </c>
      <c r="I1047" s="4">
        <v>0</v>
      </c>
      <c r="J1047" s="4">
        <v>95934</v>
      </c>
      <c r="K1047" s="4">
        <v>4470524.4000000004</v>
      </c>
      <c r="L1047" s="4" t="s">
        <v>3240</v>
      </c>
      <c r="M1047" s="4" t="s">
        <v>3241</v>
      </c>
      <c r="N1047" s="4" t="s">
        <v>124</v>
      </c>
      <c r="O1047" s="4" t="s">
        <v>33</v>
      </c>
      <c r="P1047" s="4" t="s">
        <v>33</v>
      </c>
      <c r="Q1047" s="8" t="s">
        <v>100</v>
      </c>
      <c r="R1047" s="9">
        <f t="shared" si="17"/>
        <v>6.7321579322165761E-5</v>
      </c>
      <c r="S1047" s="55">
        <f>Tabla3[[#This Row],[Subtotal]]/12</f>
        <v>319780</v>
      </c>
    </row>
    <row r="1048" spans="1:19" x14ac:dyDescent="0.2">
      <c r="A1048" s="4">
        <v>800</v>
      </c>
      <c r="B1048" s="2">
        <v>3833624.72</v>
      </c>
      <c r="C1048" s="2">
        <v>0</v>
      </c>
      <c r="D1048" s="4" t="s">
        <v>3245</v>
      </c>
      <c r="E1048" s="2">
        <v>3833624.72</v>
      </c>
      <c r="F1048" s="2">
        <v>728388.7</v>
      </c>
      <c r="G1048" s="2">
        <v>95840.62</v>
      </c>
      <c r="H1048" s="4">
        <v>0</v>
      </c>
      <c r="I1048" s="4">
        <v>0</v>
      </c>
      <c r="J1048" s="4">
        <v>95840.62</v>
      </c>
      <c r="K1048" s="4">
        <v>4466172.8</v>
      </c>
      <c r="L1048" s="4" t="s">
        <v>3243</v>
      </c>
      <c r="M1048" s="4" t="s">
        <v>3244</v>
      </c>
      <c r="N1048" s="4" t="s">
        <v>20</v>
      </c>
      <c r="O1048" s="4" t="s">
        <v>900</v>
      </c>
      <c r="P1048" s="4" t="s">
        <v>900</v>
      </c>
      <c r="Q1048" s="8" t="s">
        <v>144</v>
      </c>
      <c r="R1048" s="9">
        <f t="shared" si="17"/>
        <v>6.7256048606045696E-5</v>
      </c>
      <c r="S1048" s="55">
        <f>Tabla3[[#This Row],[Subtotal]]/12</f>
        <v>319468.72666666668</v>
      </c>
    </row>
    <row r="1049" spans="1:19" x14ac:dyDescent="0.2">
      <c r="A1049" s="4">
        <v>368</v>
      </c>
      <c r="B1049" s="2">
        <v>3789367</v>
      </c>
      <c r="C1049" s="2">
        <v>0</v>
      </c>
      <c r="D1049" s="4" t="s">
        <v>3248</v>
      </c>
      <c r="E1049" s="2">
        <v>3789367</v>
      </c>
      <c r="F1049" s="2">
        <v>719979.73</v>
      </c>
      <c r="G1049" s="2">
        <v>0</v>
      </c>
      <c r="H1049" s="4">
        <v>0</v>
      </c>
      <c r="I1049" s="4">
        <v>0</v>
      </c>
      <c r="J1049" s="4">
        <v>0</v>
      </c>
      <c r="K1049" s="4">
        <v>4509346.7300000004</v>
      </c>
      <c r="L1049" s="4" t="s">
        <v>3246</v>
      </c>
      <c r="M1049" s="4" t="s">
        <v>3247</v>
      </c>
      <c r="N1049" s="4" t="s">
        <v>20</v>
      </c>
      <c r="O1049" s="4" t="s">
        <v>1517</v>
      </c>
      <c r="P1049" s="4" t="s">
        <v>1517</v>
      </c>
      <c r="Q1049" s="8" t="s">
        <v>100</v>
      </c>
      <c r="R1049" s="9">
        <f t="shared" si="17"/>
        <v>6.6479603443851323E-5</v>
      </c>
      <c r="S1049" s="55">
        <f>Tabla3[[#This Row],[Subtotal]]/12</f>
        <v>315780.58333333331</v>
      </c>
    </row>
    <row r="1050" spans="1:19" x14ac:dyDescent="0.2">
      <c r="A1050" s="4">
        <v>1476</v>
      </c>
      <c r="B1050" s="2">
        <v>3786568</v>
      </c>
      <c r="C1050" s="2">
        <v>0</v>
      </c>
      <c r="D1050" s="4" t="s">
        <v>3251</v>
      </c>
      <c r="E1050" s="2">
        <v>3786568</v>
      </c>
      <c r="F1050" s="2">
        <v>719447.92</v>
      </c>
      <c r="G1050" s="2">
        <v>0</v>
      </c>
      <c r="H1050" s="4">
        <v>0</v>
      </c>
      <c r="I1050" s="4">
        <v>0</v>
      </c>
      <c r="J1050" s="4">
        <v>0</v>
      </c>
      <c r="K1050" s="4">
        <v>4506015.92</v>
      </c>
      <c r="L1050" s="4" t="s">
        <v>3249</v>
      </c>
      <c r="M1050" s="4" t="s">
        <v>3250</v>
      </c>
      <c r="N1050" s="4" t="s">
        <v>695</v>
      </c>
      <c r="O1050" s="4" t="s">
        <v>67</v>
      </c>
      <c r="P1050" s="4" t="s">
        <v>1039</v>
      </c>
      <c r="Q1050" s="8" t="s">
        <v>100</v>
      </c>
      <c r="R1050" s="9">
        <f t="shared" si="17"/>
        <v>6.6430498564318843E-5</v>
      </c>
      <c r="S1050" s="55">
        <f>Tabla3[[#This Row],[Subtotal]]/12</f>
        <v>315547.33333333331</v>
      </c>
    </row>
    <row r="1051" spans="1:19" x14ac:dyDescent="0.2">
      <c r="A1051" s="4">
        <v>1469</v>
      </c>
      <c r="B1051" s="2">
        <v>3780340</v>
      </c>
      <c r="C1051" s="2">
        <v>0</v>
      </c>
      <c r="D1051" s="4" t="s">
        <v>3254</v>
      </c>
      <c r="E1051" s="2">
        <v>3780340</v>
      </c>
      <c r="F1051" s="2">
        <v>718264.6</v>
      </c>
      <c r="G1051" s="2">
        <v>0</v>
      </c>
      <c r="H1051" s="4">
        <v>0</v>
      </c>
      <c r="I1051" s="4">
        <v>0</v>
      </c>
      <c r="J1051" s="4">
        <v>0</v>
      </c>
      <c r="K1051" s="4">
        <v>4498604.5999999996</v>
      </c>
      <c r="L1051" s="4" t="s">
        <v>3252</v>
      </c>
      <c r="M1051" s="4" t="s">
        <v>3253</v>
      </c>
      <c r="N1051" s="4" t="s">
        <v>20</v>
      </c>
      <c r="O1051" s="4" t="s">
        <v>316</v>
      </c>
      <c r="P1051" s="4" t="s">
        <v>316</v>
      </c>
      <c r="Q1051" s="8" t="s">
        <v>100</v>
      </c>
      <c r="R1051" s="9">
        <f t="shared" si="17"/>
        <v>6.6321236260021506E-5</v>
      </c>
      <c r="S1051" s="55">
        <f>Tabla3[[#This Row],[Subtotal]]/12</f>
        <v>315028.33333333331</v>
      </c>
    </row>
    <row r="1052" spans="1:19" x14ac:dyDescent="0.2">
      <c r="A1052" s="4">
        <v>319</v>
      </c>
      <c r="B1052" s="2">
        <v>3759620</v>
      </c>
      <c r="C1052" s="2">
        <v>0</v>
      </c>
      <c r="D1052" s="4" t="s">
        <v>3257</v>
      </c>
      <c r="E1052" s="2">
        <v>3759620</v>
      </c>
      <c r="F1052" s="2">
        <v>714327.8</v>
      </c>
      <c r="G1052" s="2">
        <v>93990.51</v>
      </c>
      <c r="H1052" s="4">
        <v>0</v>
      </c>
      <c r="I1052" s="4">
        <v>0</v>
      </c>
      <c r="J1052" s="4">
        <v>93990.51</v>
      </c>
      <c r="K1052" s="4">
        <v>4379957.29</v>
      </c>
      <c r="L1052" s="4" t="s">
        <v>3255</v>
      </c>
      <c r="M1052" s="4" t="s">
        <v>3256</v>
      </c>
      <c r="N1052" s="4" t="s">
        <v>1510</v>
      </c>
      <c r="O1052" s="4" t="s">
        <v>89</v>
      </c>
      <c r="P1052" s="4" t="s">
        <v>89</v>
      </c>
      <c r="Q1052" s="8" t="s">
        <v>100</v>
      </c>
      <c r="R1052" s="9">
        <f t="shared" si="17"/>
        <v>6.5957730327934012E-5</v>
      </c>
      <c r="S1052" s="55">
        <f>Tabla3[[#This Row],[Subtotal]]/12</f>
        <v>313301.66666666669</v>
      </c>
    </row>
    <row r="1053" spans="1:19" x14ac:dyDescent="0.2">
      <c r="A1053" s="4">
        <v>1448</v>
      </c>
      <c r="B1053" s="2">
        <v>3757529</v>
      </c>
      <c r="C1053" s="2">
        <v>0</v>
      </c>
      <c r="D1053" s="4" t="s">
        <v>3260</v>
      </c>
      <c r="E1053" s="2">
        <v>3757529</v>
      </c>
      <c r="F1053" s="2">
        <v>713930.51</v>
      </c>
      <c r="G1053" s="2">
        <v>0</v>
      </c>
      <c r="H1053" s="4">
        <v>0</v>
      </c>
      <c r="I1053" s="4">
        <v>0</v>
      </c>
      <c r="J1053" s="4">
        <v>0</v>
      </c>
      <c r="K1053" s="4">
        <v>4471459.51</v>
      </c>
      <c r="L1053" s="4" t="s">
        <v>3258</v>
      </c>
      <c r="M1053" s="4" t="s">
        <v>3259</v>
      </c>
      <c r="N1053" s="4" t="s">
        <v>20</v>
      </c>
      <c r="O1053" s="4" t="s">
        <v>768</v>
      </c>
      <c r="P1053" s="4" t="s">
        <v>768</v>
      </c>
      <c r="Q1053" s="8" t="s">
        <v>100</v>
      </c>
      <c r="R1053" s="9">
        <f t="shared" si="17"/>
        <v>6.5921046403996024E-5</v>
      </c>
      <c r="S1053" s="55">
        <f>Tabla3[[#This Row],[Subtotal]]/12</f>
        <v>313127.41666666669</v>
      </c>
    </row>
    <row r="1054" spans="1:19" x14ac:dyDescent="0.2">
      <c r="A1054" s="4">
        <v>1373</v>
      </c>
      <c r="B1054" s="2">
        <v>3753770</v>
      </c>
      <c r="C1054" s="2">
        <v>0</v>
      </c>
      <c r="D1054" s="4" t="s">
        <v>3263</v>
      </c>
      <c r="E1054" s="2">
        <v>3753770</v>
      </c>
      <c r="F1054" s="2">
        <v>713216.3</v>
      </c>
      <c r="G1054" s="2">
        <v>70072</v>
      </c>
      <c r="H1054" s="4">
        <v>0</v>
      </c>
      <c r="I1054" s="4">
        <v>0</v>
      </c>
      <c r="J1054" s="4">
        <v>70072</v>
      </c>
      <c r="K1054" s="4">
        <v>4396914.3</v>
      </c>
      <c r="L1054" s="4" t="s">
        <v>3261</v>
      </c>
      <c r="M1054" s="4" t="s">
        <v>3262</v>
      </c>
      <c r="N1054" s="4" t="s">
        <v>20</v>
      </c>
      <c r="O1054" s="4" t="s">
        <v>372</v>
      </c>
      <c r="P1054" s="4" t="s">
        <v>372</v>
      </c>
      <c r="Q1054" s="8" t="s">
        <v>100</v>
      </c>
      <c r="R1054" s="9">
        <f t="shared" si="17"/>
        <v>6.5855099550776109E-5</v>
      </c>
      <c r="S1054" s="55">
        <f>Tabla3[[#This Row],[Subtotal]]/12</f>
        <v>312814.16666666669</v>
      </c>
    </row>
    <row r="1055" spans="1:19" x14ac:dyDescent="0.2">
      <c r="A1055" s="4">
        <v>1571</v>
      </c>
      <c r="B1055" s="2">
        <v>3752059</v>
      </c>
      <c r="C1055" s="2">
        <v>0</v>
      </c>
      <c r="D1055" s="4" t="s">
        <v>3266</v>
      </c>
      <c r="E1055" s="2">
        <v>3752059</v>
      </c>
      <c r="F1055" s="2">
        <v>712891.21</v>
      </c>
      <c r="G1055" s="2">
        <v>0</v>
      </c>
      <c r="H1055" s="4">
        <v>0</v>
      </c>
      <c r="I1055" s="4">
        <v>0</v>
      </c>
      <c r="J1055" s="4">
        <v>0</v>
      </c>
      <c r="K1055" s="4">
        <v>4464950.21</v>
      </c>
      <c r="L1055" s="4" t="s">
        <v>3264</v>
      </c>
      <c r="M1055" s="4" t="s">
        <v>3265</v>
      </c>
      <c r="N1055" s="4" t="s">
        <v>2579</v>
      </c>
      <c r="O1055" s="4" t="s">
        <v>1188</v>
      </c>
      <c r="P1055" s="4" t="s">
        <v>1188</v>
      </c>
      <c r="Q1055" s="8" t="s">
        <v>100</v>
      </c>
      <c r="R1055" s="9">
        <f t="shared" si="17"/>
        <v>6.5825082241422739E-5</v>
      </c>
      <c r="S1055" s="55">
        <f>Tabla3[[#This Row],[Subtotal]]/12</f>
        <v>312671.58333333331</v>
      </c>
    </row>
    <row r="1056" spans="1:19" x14ac:dyDescent="0.2">
      <c r="A1056" s="4">
        <v>301</v>
      </c>
      <c r="B1056" s="2">
        <v>3863640</v>
      </c>
      <c r="C1056" s="2">
        <v>115909.2</v>
      </c>
      <c r="D1056" s="4" t="s">
        <v>3269</v>
      </c>
      <c r="E1056" s="2">
        <v>3747730.8</v>
      </c>
      <c r="F1056" s="2">
        <v>712068.85</v>
      </c>
      <c r="G1056" s="2">
        <v>0</v>
      </c>
      <c r="H1056" s="4">
        <v>0</v>
      </c>
      <c r="I1056" s="4">
        <v>0</v>
      </c>
      <c r="J1056" s="4">
        <v>0</v>
      </c>
      <c r="K1056" s="4">
        <v>4459799.6500000004</v>
      </c>
      <c r="L1056" s="4" t="s">
        <v>3267</v>
      </c>
      <c r="M1056" s="4" t="s">
        <v>3268</v>
      </c>
      <c r="N1056" s="4" t="s">
        <v>32</v>
      </c>
      <c r="O1056" s="4" t="s">
        <v>33</v>
      </c>
      <c r="P1056" s="4" t="s">
        <v>33</v>
      </c>
      <c r="Q1056" s="8" t="s">
        <v>100</v>
      </c>
      <c r="R1056" s="9">
        <f t="shared" si="17"/>
        <v>6.5749149501303952E-5</v>
      </c>
      <c r="S1056" s="55">
        <f>Tabla3[[#This Row],[Subtotal]]/12</f>
        <v>312310.89999999997</v>
      </c>
    </row>
    <row r="1057" spans="1:19" x14ac:dyDescent="0.2">
      <c r="A1057" s="4">
        <v>460</v>
      </c>
      <c r="B1057" s="2">
        <v>3738287</v>
      </c>
      <c r="C1057" s="2">
        <v>0</v>
      </c>
      <c r="D1057" s="4" t="s">
        <v>3272</v>
      </c>
      <c r="E1057" s="2">
        <v>3738287</v>
      </c>
      <c r="F1057" s="2">
        <v>710274.53</v>
      </c>
      <c r="G1057" s="2">
        <v>0</v>
      </c>
      <c r="H1057" s="4">
        <v>0</v>
      </c>
      <c r="I1057" s="4">
        <v>0</v>
      </c>
      <c r="J1057" s="4">
        <v>0</v>
      </c>
      <c r="K1057" s="4">
        <v>4448561.53</v>
      </c>
      <c r="L1057" s="4" t="s">
        <v>3270</v>
      </c>
      <c r="M1057" s="4" t="s">
        <v>3271</v>
      </c>
      <c r="N1057" s="4" t="s">
        <v>329</v>
      </c>
      <c r="O1057" s="4" t="s">
        <v>89</v>
      </c>
      <c r="P1057" s="4" t="s">
        <v>89</v>
      </c>
      <c r="Q1057" s="8" t="s">
        <v>100</v>
      </c>
      <c r="R1057" s="9">
        <f t="shared" si="17"/>
        <v>6.5583470093898174E-5</v>
      </c>
      <c r="S1057" s="55">
        <f>Tabla3[[#This Row],[Subtotal]]/12</f>
        <v>311523.91666666669</v>
      </c>
    </row>
    <row r="1058" spans="1:19" x14ac:dyDescent="0.2">
      <c r="A1058" s="4">
        <v>1010</v>
      </c>
      <c r="B1058" s="2">
        <v>3727610</v>
      </c>
      <c r="C1058" s="2">
        <v>0</v>
      </c>
      <c r="D1058" s="4" t="s">
        <v>3275</v>
      </c>
      <c r="E1058" s="2">
        <v>3727610</v>
      </c>
      <c r="F1058" s="2">
        <v>708245.9</v>
      </c>
      <c r="G1058" s="2">
        <v>0</v>
      </c>
      <c r="H1058" s="4">
        <v>0</v>
      </c>
      <c r="I1058" s="4">
        <v>0</v>
      </c>
      <c r="J1058" s="4">
        <v>0</v>
      </c>
      <c r="K1058" s="4">
        <v>4435855.9000000004</v>
      </c>
      <c r="L1058" s="4" t="s">
        <v>3273</v>
      </c>
      <c r="M1058" s="4" t="s">
        <v>3274</v>
      </c>
      <c r="N1058" s="4" t="s">
        <v>20</v>
      </c>
      <c r="O1058" s="4" t="s">
        <v>2863</v>
      </c>
      <c r="P1058" s="4" t="s">
        <v>2863</v>
      </c>
      <c r="Q1058" s="8" t="s">
        <v>100</v>
      </c>
      <c r="R1058" s="9">
        <f t="shared" si="17"/>
        <v>6.5396155767793041E-5</v>
      </c>
      <c r="S1058" s="55">
        <f>Tabla3[[#This Row],[Subtotal]]/12</f>
        <v>310634.16666666669</v>
      </c>
    </row>
    <row r="1059" spans="1:19" x14ac:dyDescent="0.2">
      <c r="A1059" s="4">
        <v>1254</v>
      </c>
      <c r="B1059" s="2">
        <v>3727303.04</v>
      </c>
      <c r="C1059" s="2">
        <v>0</v>
      </c>
      <c r="D1059" s="4" t="s">
        <v>3278</v>
      </c>
      <c r="E1059" s="2">
        <v>3727303.04</v>
      </c>
      <c r="F1059" s="2">
        <v>708187.58</v>
      </c>
      <c r="G1059" s="2">
        <v>93182.58</v>
      </c>
      <c r="H1059" s="4">
        <v>0</v>
      </c>
      <c r="I1059" s="4">
        <v>0</v>
      </c>
      <c r="J1059" s="4">
        <v>93182.58</v>
      </c>
      <c r="K1059" s="4">
        <v>4342308.04</v>
      </c>
      <c r="L1059" s="4" t="s">
        <v>3276</v>
      </c>
      <c r="M1059" s="4" t="s">
        <v>3277</v>
      </c>
      <c r="N1059" s="4" t="s">
        <v>20</v>
      </c>
      <c r="O1059" s="4" t="s">
        <v>386</v>
      </c>
      <c r="P1059" s="4" t="s">
        <v>386</v>
      </c>
      <c r="Q1059" s="8" t="s">
        <v>144</v>
      </c>
      <c r="R1059" s="9">
        <f t="shared" si="17"/>
        <v>6.5390770546706488E-5</v>
      </c>
      <c r="S1059" s="55">
        <f>Tabla3[[#This Row],[Subtotal]]/12</f>
        <v>310608.58666666667</v>
      </c>
    </row>
    <row r="1060" spans="1:19" x14ac:dyDescent="0.2">
      <c r="A1060" s="4">
        <v>443</v>
      </c>
      <c r="B1060" s="2">
        <v>3725939</v>
      </c>
      <c r="C1060" s="2">
        <v>0</v>
      </c>
      <c r="D1060" s="4" t="s">
        <v>3281</v>
      </c>
      <c r="E1060" s="2">
        <v>3725939</v>
      </c>
      <c r="F1060" s="2">
        <v>707928.41</v>
      </c>
      <c r="G1060" s="2">
        <v>0</v>
      </c>
      <c r="H1060" s="4">
        <v>0</v>
      </c>
      <c r="I1060" s="4">
        <v>0</v>
      </c>
      <c r="J1060" s="4">
        <v>0</v>
      </c>
      <c r="K1060" s="4">
        <v>4433867.41</v>
      </c>
      <c r="L1060" s="4" t="s">
        <v>3279</v>
      </c>
      <c r="M1060" s="4" t="s">
        <v>3280</v>
      </c>
      <c r="N1060" s="4" t="s">
        <v>20</v>
      </c>
      <c r="O1060" s="4" t="s">
        <v>1517</v>
      </c>
      <c r="P1060" s="4" t="s">
        <v>1517</v>
      </c>
      <c r="Q1060" s="8" t="s">
        <v>100</v>
      </c>
      <c r="R1060" s="9">
        <f t="shared" si="17"/>
        <v>6.5366840207343327E-5</v>
      </c>
      <c r="S1060" s="55">
        <f>Tabla3[[#This Row],[Subtotal]]/12</f>
        <v>310494.91666666669</v>
      </c>
    </row>
    <row r="1061" spans="1:19" x14ac:dyDescent="0.2">
      <c r="A1061" s="4">
        <v>1168</v>
      </c>
      <c r="B1061" s="2">
        <v>3710718</v>
      </c>
      <c r="C1061" s="2">
        <v>0</v>
      </c>
      <c r="D1061" s="4" t="s">
        <v>3284</v>
      </c>
      <c r="E1061" s="2">
        <v>3710718</v>
      </c>
      <c r="F1061" s="2">
        <v>705036.42</v>
      </c>
      <c r="G1061" s="2">
        <v>92767.95</v>
      </c>
      <c r="H1061" s="4">
        <v>0</v>
      </c>
      <c r="I1061" s="4">
        <v>0</v>
      </c>
      <c r="J1061" s="4">
        <v>92767.95</v>
      </c>
      <c r="K1061" s="4">
        <v>4322986.47</v>
      </c>
      <c r="L1061" s="4" t="s">
        <v>3282</v>
      </c>
      <c r="M1061" s="4" t="s">
        <v>3283</v>
      </c>
      <c r="N1061" s="4" t="s">
        <v>32</v>
      </c>
      <c r="O1061" s="4" t="s">
        <v>33</v>
      </c>
      <c r="P1061" s="4" t="s">
        <v>33</v>
      </c>
      <c r="Q1061" s="8" t="s">
        <v>100</v>
      </c>
      <c r="R1061" s="9">
        <f t="shared" si="17"/>
        <v>6.5099807205784265E-5</v>
      </c>
      <c r="S1061" s="55">
        <f>Tabla3[[#This Row],[Subtotal]]/12</f>
        <v>309226.5</v>
      </c>
    </row>
    <row r="1062" spans="1:19" x14ac:dyDescent="0.2">
      <c r="A1062" s="4">
        <v>1728</v>
      </c>
      <c r="B1062" s="2">
        <v>3707140</v>
      </c>
      <c r="C1062" s="2">
        <v>0</v>
      </c>
      <c r="D1062" s="4" t="s">
        <v>3287</v>
      </c>
      <c r="E1062" s="2">
        <v>3707140</v>
      </c>
      <c r="F1062" s="2">
        <v>704356.6</v>
      </c>
      <c r="G1062" s="2">
        <v>0</v>
      </c>
      <c r="H1062" s="4">
        <v>0</v>
      </c>
      <c r="I1062" s="4">
        <v>0</v>
      </c>
      <c r="J1062" s="4">
        <v>0</v>
      </c>
      <c r="K1062" s="4">
        <v>4411496.5999999996</v>
      </c>
      <c r="L1062" s="4" t="s">
        <v>3285</v>
      </c>
      <c r="M1062" s="4" t="s">
        <v>3286</v>
      </c>
      <c r="N1062" s="4" t="s">
        <v>648</v>
      </c>
      <c r="O1062" s="4" t="s">
        <v>340</v>
      </c>
      <c r="P1062" s="4" t="s">
        <v>340</v>
      </c>
      <c r="Q1062" s="8" t="s">
        <v>100</v>
      </c>
      <c r="R1062" s="9">
        <f t="shared" si="17"/>
        <v>6.503703576635332E-5</v>
      </c>
      <c r="S1062" s="55">
        <f>Tabla3[[#This Row],[Subtotal]]/12</f>
        <v>308928.33333333331</v>
      </c>
    </row>
    <row r="1063" spans="1:19" x14ac:dyDescent="0.2">
      <c r="A1063" s="4">
        <v>1186</v>
      </c>
      <c r="B1063" s="2">
        <v>3699104</v>
      </c>
      <c r="C1063" s="2">
        <v>0</v>
      </c>
      <c r="D1063" s="4" t="s">
        <v>3290</v>
      </c>
      <c r="E1063" s="2">
        <v>3699104</v>
      </c>
      <c r="F1063" s="2">
        <v>702829.76</v>
      </c>
      <c r="G1063" s="2">
        <v>0</v>
      </c>
      <c r="H1063" s="4">
        <v>0</v>
      </c>
      <c r="I1063" s="4">
        <v>0</v>
      </c>
      <c r="J1063" s="4">
        <v>0</v>
      </c>
      <c r="K1063" s="4">
        <v>4401933.76</v>
      </c>
      <c r="L1063" s="4" t="s">
        <v>3288</v>
      </c>
      <c r="M1063" s="4" t="s">
        <v>3289</v>
      </c>
      <c r="N1063" s="4" t="s">
        <v>3291</v>
      </c>
      <c r="O1063" s="4" t="s">
        <v>33</v>
      </c>
      <c r="P1063" s="4" t="s">
        <v>33</v>
      </c>
      <c r="Q1063" s="8" t="s">
        <v>100</v>
      </c>
      <c r="R1063" s="9">
        <f t="shared" si="17"/>
        <v>6.4896054411611281E-5</v>
      </c>
      <c r="S1063" s="55">
        <f>Tabla3[[#This Row],[Subtotal]]/12</f>
        <v>308258.66666666669</v>
      </c>
    </row>
    <row r="1064" spans="1:19" x14ac:dyDescent="0.2">
      <c r="A1064" s="4">
        <v>169</v>
      </c>
      <c r="B1064" s="2">
        <v>3696713</v>
      </c>
      <c r="C1064" s="2">
        <v>0</v>
      </c>
      <c r="D1064" s="4" t="s">
        <v>3294</v>
      </c>
      <c r="E1064" s="2">
        <v>3696713</v>
      </c>
      <c r="F1064" s="2">
        <v>702375.47</v>
      </c>
      <c r="G1064" s="2">
        <v>32233.98</v>
      </c>
      <c r="H1064" s="4">
        <v>50371.18</v>
      </c>
      <c r="I1064" s="4">
        <v>0</v>
      </c>
      <c r="J1064" s="4">
        <v>82605.16</v>
      </c>
      <c r="K1064" s="4">
        <v>4316483.3099999996</v>
      </c>
      <c r="L1064" s="4" t="s">
        <v>3292</v>
      </c>
      <c r="M1064" s="4" t="s">
        <v>3293</v>
      </c>
      <c r="N1064" s="4" t="s">
        <v>88</v>
      </c>
      <c r="O1064" s="4" t="s">
        <v>76</v>
      </c>
      <c r="P1064" s="4" t="s">
        <v>76</v>
      </c>
      <c r="Q1064" s="8" t="s">
        <v>1378</v>
      </c>
      <c r="R1064" s="9">
        <f t="shared" si="17"/>
        <v>6.4854107370895974E-5</v>
      </c>
      <c r="S1064" s="55">
        <f>Tabla3[[#This Row],[Subtotal]]/12</f>
        <v>308059.41666666669</v>
      </c>
    </row>
    <row r="1065" spans="1:19" x14ac:dyDescent="0.2">
      <c r="A1065" s="4">
        <v>1071</v>
      </c>
      <c r="B1065" s="2">
        <v>3695857</v>
      </c>
      <c r="C1065" s="2">
        <v>0</v>
      </c>
      <c r="D1065" s="4" t="s">
        <v>3297</v>
      </c>
      <c r="E1065" s="2">
        <v>3695857</v>
      </c>
      <c r="F1065" s="2">
        <v>702212.83</v>
      </c>
      <c r="G1065" s="2">
        <v>0</v>
      </c>
      <c r="H1065" s="4">
        <v>0</v>
      </c>
      <c r="I1065" s="4">
        <v>0</v>
      </c>
      <c r="J1065" s="4">
        <v>0</v>
      </c>
      <c r="K1065" s="4">
        <v>4398069.83</v>
      </c>
      <c r="L1065" s="4" t="s">
        <v>3295</v>
      </c>
      <c r="M1065" s="4" t="s">
        <v>3296</v>
      </c>
      <c r="N1065" s="4" t="s">
        <v>20</v>
      </c>
      <c r="O1065" s="4" t="s">
        <v>257</v>
      </c>
      <c r="P1065" s="4" t="s">
        <v>257</v>
      </c>
      <c r="Q1065" s="8" t="s">
        <v>100</v>
      </c>
      <c r="R1065" s="9">
        <f t="shared" si="17"/>
        <v>6.4839089944357999E-5</v>
      </c>
      <c r="S1065" s="55">
        <f>Tabla3[[#This Row],[Subtotal]]/12</f>
        <v>307988.08333333331</v>
      </c>
    </row>
    <row r="1066" spans="1:19" x14ac:dyDescent="0.2">
      <c r="A1066" s="4">
        <v>859</v>
      </c>
      <c r="B1066" s="2">
        <v>3695534</v>
      </c>
      <c r="C1066" s="2">
        <v>0</v>
      </c>
      <c r="D1066" s="4" t="s">
        <v>3300</v>
      </c>
      <c r="E1066" s="2">
        <v>3695534</v>
      </c>
      <c r="F1066" s="2">
        <v>702151.46</v>
      </c>
      <c r="G1066" s="2">
        <v>0</v>
      </c>
      <c r="H1066" s="4">
        <v>0</v>
      </c>
      <c r="I1066" s="4">
        <v>0</v>
      </c>
      <c r="J1066" s="4">
        <v>0</v>
      </c>
      <c r="K1066" s="4">
        <v>4397685.46</v>
      </c>
      <c r="L1066" s="4" t="s">
        <v>3298</v>
      </c>
      <c r="M1066" s="4" t="s">
        <v>3299</v>
      </c>
      <c r="N1066" s="4" t="s">
        <v>1143</v>
      </c>
      <c r="O1066" s="4" t="s">
        <v>340</v>
      </c>
      <c r="P1066" s="4" t="s">
        <v>340</v>
      </c>
      <c r="Q1066" s="8" t="s">
        <v>100</v>
      </c>
      <c r="R1066" s="9">
        <f t="shared" si="17"/>
        <v>6.483342332196107E-5</v>
      </c>
      <c r="S1066" s="55">
        <f>Tabla3[[#This Row],[Subtotal]]/12</f>
        <v>307961.16666666669</v>
      </c>
    </row>
    <row r="1067" spans="1:19" x14ac:dyDescent="0.2">
      <c r="A1067" s="4">
        <v>1632</v>
      </c>
      <c r="B1067" s="2">
        <v>3674826</v>
      </c>
      <c r="C1067" s="2">
        <v>0</v>
      </c>
      <c r="D1067" s="4" t="s">
        <v>3303</v>
      </c>
      <c r="E1067" s="2">
        <v>3674826</v>
      </c>
      <c r="F1067" s="2">
        <v>698216.94</v>
      </c>
      <c r="G1067" s="2">
        <v>0</v>
      </c>
      <c r="H1067" s="4">
        <v>0</v>
      </c>
      <c r="I1067" s="4">
        <v>0</v>
      </c>
      <c r="J1067" s="4">
        <v>0</v>
      </c>
      <c r="K1067" s="4">
        <v>4373042.9400000004</v>
      </c>
      <c r="L1067" s="4" t="s">
        <v>3301</v>
      </c>
      <c r="M1067" s="4" t="s">
        <v>3302</v>
      </c>
      <c r="N1067" s="4" t="s">
        <v>20</v>
      </c>
      <c r="O1067" s="4" t="s">
        <v>372</v>
      </c>
      <c r="P1067" s="4" t="s">
        <v>372</v>
      </c>
      <c r="Q1067" s="8" t="s">
        <v>100</v>
      </c>
      <c r="R1067" s="9">
        <f t="shared" si="17"/>
        <v>6.4470127914544663E-5</v>
      </c>
      <c r="S1067" s="55">
        <f>Tabla3[[#This Row],[Subtotal]]/12</f>
        <v>306235.5</v>
      </c>
    </row>
    <row r="1068" spans="1:19" x14ac:dyDescent="0.2">
      <c r="A1068" s="4">
        <v>1622</v>
      </c>
      <c r="B1068" s="2">
        <v>3650506</v>
      </c>
      <c r="C1068" s="2">
        <v>0</v>
      </c>
      <c r="D1068" s="4" t="s">
        <v>3306</v>
      </c>
      <c r="E1068" s="2">
        <v>3650506</v>
      </c>
      <c r="F1068" s="2">
        <v>693596.14</v>
      </c>
      <c r="G1068" s="2">
        <v>0</v>
      </c>
      <c r="H1068" s="4">
        <v>0</v>
      </c>
      <c r="I1068" s="4">
        <v>0</v>
      </c>
      <c r="J1068" s="4">
        <v>0</v>
      </c>
      <c r="K1068" s="4">
        <v>4344102.1399999997</v>
      </c>
      <c r="L1068" s="4" t="s">
        <v>3304</v>
      </c>
      <c r="M1068" s="4" t="s">
        <v>3305</v>
      </c>
      <c r="N1068" s="4" t="s">
        <v>233</v>
      </c>
      <c r="O1068" s="4" t="s">
        <v>229</v>
      </c>
      <c r="P1068" s="4" t="s">
        <v>229</v>
      </c>
      <c r="Q1068" s="8" t="s">
        <v>100</v>
      </c>
      <c r="R1068" s="9">
        <f t="shared" si="17"/>
        <v>6.4043464581129233E-5</v>
      </c>
      <c r="S1068" s="55">
        <f>Tabla3[[#This Row],[Subtotal]]/12</f>
        <v>304208.83333333331</v>
      </c>
    </row>
    <row r="1069" spans="1:19" x14ac:dyDescent="0.2">
      <c r="A1069" s="4">
        <v>556</v>
      </c>
      <c r="B1069" s="2">
        <v>3624019</v>
      </c>
      <c r="C1069" s="2">
        <v>0</v>
      </c>
      <c r="D1069" s="4" t="s">
        <v>3309</v>
      </c>
      <c r="E1069" s="2">
        <v>3624019</v>
      </c>
      <c r="F1069" s="2">
        <v>688563.61</v>
      </c>
      <c r="G1069" s="2">
        <v>79799.05</v>
      </c>
      <c r="H1069" s="4">
        <v>0</v>
      </c>
      <c r="I1069" s="4">
        <v>0</v>
      </c>
      <c r="J1069" s="4">
        <v>79799.05</v>
      </c>
      <c r="K1069" s="4">
        <v>4232783.5599999996</v>
      </c>
      <c r="L1069" s="4" t="s">
        <v>3307</v>
      </c>
      <c r="M1069" s="4" t="s">
        <v>3308</v>
      </c>
      <c r="N1069" s="4" t="s">
        <v>368</v>
      </c>
      <c r="O1069" s="4" t="s">
        <v>76</v>
      </c>
      <c r="P1069" s="4" t="s">
        <v>76</v>
      </c>
      <c r="Q1069" s="8" t="s">
        <v>408</v>
      </c>
      <c r="R1069" s="9">
        <f t="shared" si="17"/>
        <v>6.3578784000858883E-5</v>
      </c>
      <c r="S1069" s="55">
        <f>Tabla3[[#This Row],[Subtotal]]/12</f>
        <v>302001.58333333331</v>
      </c>
    </row>
    <row r="1070" spans="1:19" x14ac:dyDescent="0.2">
      <c r="A1070" s="4">
        <v>1575</v>
      </c>
      <c r="B1070" s="2">
        <v>3580567</v>
      </c>
      <c r="C1070" s="2">
        <v>0</v>
      </c>
      <c r="D1070" s="4" t="s">
        <v>3312</v>
      </c>
      <c r="E1070" s="2">
        <v>3580567</v>
      </c>
      <c r="F1070" s="2">
        <v>680307.73</v>
      </c>
      <c r="G1070" s="2">
        <v>0</v>
      </c>
      <c r="H1070" s="4">
        <v>0</v>
      </c>
      <c r="I1070" s="4">
        <v>0</v>
      </c>
      <c r="J1070" s="4">
        <v>0</v>
      </c>
      <c r="K1070" s="4">
        <v>4260874.7300000004</v>
      </c>
      <c r="L1070" s="4" t="s">
        <v>3310</v>
      </c>
      <c r="M1070" s="4" t="s">
        <v>3311</v>
      </c>
      <c r="N1070" s="4" t="s">
        <v>20</v>
      </c>
      <c r="O1070" s="4" t="s">
        <v>1157</v>
      </c>
      <c r="P1070" s="4" t="s">
        <v>1157</v>
      </c>
      <c r="Q1070" s="8" t="s">
        <v>100</v>
      </c>
      <c r="R1070" s="9">
        <f t="shared" si="17"/>
        <v>6.2816474166830613E-5</v>
      </c>
      <c r="S1070" s="55">
        <f>Tabla3[[#This Row],[Subtotal]]/12</f>
        <v>298380.58333333331</v>
      </c>
    </row>
    <row r="1071" spans="1:19" x14ac:dyDescent="0.2">
      <c r="A1071" s="4">
        <v>1529</v>
      </c>
      <c r="B1071" s="2">
        <v>3578016</v>
      </c>
      <c r="C1071" s="2">
        <v>0</v>
      </c>
      <c r="D1071" s="4" t="s">
        <v>3315</v>
      </c>
      <c r="E1071" s="2">
        <v>3578016</v>
      </c>
      <c r="F1071" s="2">
        <v>679823.04</v>
      </c>
      <c r="G1071" s="2">
        <v>0</v>
      </c>
      <c r="H1071" s="4">
        <v>0</v>
      </c>
      <c r="I1071" s="4">
        <v>0</v>
      </c>
      <c r="J1071" s="4">
        <v>0</v>
      </c>
      <c r="K1071" s="4">
        <v>4257839.04</v>
      </c>
      <c r="L1071" s="4" t="s">
        <v>3313</v>
      </c>
      <c r="M1071" s="4" t="s">
        <v>3314</v>
      </c>
      <c r="N1071" s="4" t="s">
        <v>20</v>
      </c>
      <c r="O1071" s="4" t="s">
        <v>386</v>
      </c>
      <c r="P1071" s="4" t="s">
        <v>386</v>
      </c>
      <c r="Q1071" s="8" t="s">
        <v>585</v>
      </c>
      <c r="R1071" s="9">
        <f t="shared" si="17"/>
        <v>6.2771720130500722E-5</v>
      </c>
      <c r="S1071" s="55">
        <f>Tabla3[[#This Row],[Subtotal]]/12</f>
        <v>298168</v>
      </c>
    </row>
    <row r="1072" spans="1:19" x14ac:dyDescent="0.2">
      <c r="A1072" s="4">
        <v>58</v>
      </c>
      <c r="B1072" s="2">
        <v>3575667</v>
      </c>
      <c r="C1072" s="2">
        <v>0</v>
      </c>
      <c r="D1072" s="4" t="s">
        <v>3318</v>
      </c>
      <c r="E1072" s="2">
        <v>3575667</v>
      </c>
      <c r="F1072" s="2">
        <v>679376.73</v>
      </c>
      <c r="G1072" s="2">
        <v>0</v>
      </c>
      <c r="H1072" s="4">
        <v>0</v>
      </c>
      <c r="I1072" s="4">
        <v>0</v>
      </c>
      <c r="J1072" s="4">
        <v>0</v>
      </c>
      <c r="K1072" s="4">
        <v>4255043.7300000004</v>
      </c>
      <c r="L1072" s="4" t="s">
        <v>3316</v>
      </c>
      <c r="M1072" s="4" t="s">
        <v>3317</v>
      </c>
      <c r="N1072" s="4" t="s">
        <v>20</v>
      </c>
      <c r="O1072" s="4" t="s">
        <v>631</v>
      </c>
      <c r="P1072" s="4" t="s">
        <v>631</v>
      </c>
      <c r="Q1072" s="8" t="s">
        <v>100</v>
      </c>
      <c r="R1072" s="9">
        <f t="shared" si="17"/>
        <v>6.273050992613424E-5</v>
      </c>
      <c r="S1072" s="55">
        <f>Tabla3[[#This Row],[Subtotal]]/12</f>
        <v>297972.25</v>
      </c>
    </row>
    <row r="1073" spans="1:19" x14ac:dyDescent="0.2">
      <c r="A1073" s="4">
        <v>241</v>
      </c>
      <c r="B1073" s="2">
        <v>3562073</v>
      </c>
      <c r="C1073" s="2">
        <v>0</v>
      </c>
      <c r="D1073" s="4" t="s">
        <v>3321</v>
      </c>
      <c r="E1073" s="2">
        <v>3562073</v>
      </c>
      <c r="F1073" s="2">
        <v>676793.87</v>
      </c>
      <c r="G1073" s="2">
        <v>0</v>
      </c>
      <c r="H1073" s="4">
        <v>0</v>
      </c>
      <c r="I1073" s="4">
        <v>0</v>
      </c>
      <c r="J1073" s="4">
        <v>0</v>
      </c>
      <c r="K1073" s="4">
        <v>4238866.87</v>
      </c>
      <c r="L1073" s="4" t="s">
        <v>3319</v>
      </c>
      <c r="M1073" s="4" t="s">
        <v>3320</v>
      </c>
      <c r="N1073" s="4" t="s">
        <v>589</v>
      </c>
      <c r="O1073" s="4" t="s">
        <v>2025</v>
      </c>
      <c r="P1073" s="4" t="s">
        <v>2025</v>
      </c>
      <c r="Q1073" s="8" t="s">
        <v>100</v>
      </c>
      <c r="R1073" s="9">
        <f t="shared" si="17"/>
        <v>6.2492020561230897E-5</v>
      </c>
      <c r="S1073" s="55">
        <f>Tabla3[[#This Row],[Subtotal]]/12</f>
        <v>296839.41666666669</v>
      </c>
    </row>
    <row r="1074" spans="1:19" x14ac:dyDescent="0.2">
      <c r="A1074" s="4">
        <v>1405</v>
      </c>
      <c r="B1074" s="2">
        <v>3549583</v>
      </c>
      <c r="C1074" s="2">
        <v>0</v>
      </c>
      <c r="D1074" s="4" t="s">
        <v>3324</v>
      </c>
      <c r="E1074" s="2">
        <v>3549583</v>
      </c>
      <c r="F1074" s="2">
        <v>674420.77</v>
      </c>
      <c r="G1074" s="2">
        <v>0</v>
      </c>
      <c r="H1074" s="4">
        <v>0</v>
      </c>
      <c r="I1074" s="4">
        <v>0</v>
      </c>
      <c r="J1074" s="4">
        <v>0</v>
      </c>
      <c r="K1074" s="4">
        <v>4224003.7699999996</v>
      </c>
      <c r="L1074" s="4" t="s">
        <v>3322</v>
      </c>
      <c r="M1074" s="4" t="s">
        <v>3323</v>
      </c>
      <c r="N1074" s="4" t="s">
        <v>20</v>
      </c>
      <c r="O1074" s="4" t="s">
        <v>257</v>
      </c>
      <c r="P1074" s="4" t="s">
        <v>257</v>
      </c>
      <c r="Q1074" s="8" t="s">
        <v>100</v>
      </c>
      <c r="R1074" s="9">
        <f t="shared" si="17"/>
        <v>6.2272899466068104E-5</v>
      </c>
      <c r="S1074" s="55">
        <f>Tabla3[[#This Row],[Subtotal]]/12</f>
        <v>295798.58333333331</v>
      </c>
    </row>
    <row r="1075" spans="1:19" x14ac:dyDescent="0.2">
      <c r="A1075" s="4">
        <v>792</v>
      </c>
      <c r="B1075" s="2">
        <v>3533725</v>
      </c>
      <c r="C1075" s="2">
        <v>0</v>
      </c>
      <c r="D1075" s="4" t="s">
        <v>3327</v>
      </c>
      <c r="E1075" s="2">
        <v>3533725</v>
      </c>
      <c r="F1075" s="2">
        <v>671407.75</v>
      </c>
      <c r="G1075" s="2">
        <v>0</v>
      </c>
      <c r="H1075" s="4">
        <v>0</v>
      </c>
      <c r="I1075" s="4">
        <v>0</v>
      </c>
      <c r="J1075" s="4">
        <v>0</v>
      </c>
      <c r="K1075" s="4">
        <v>4205132.75</v>
      </c>
      <c r="L1075" s="4" t="s">
        <v>3325</v>
      </c>
      <c r="M1075" s="4" t="s">
        <v>3326</v>
      </c>
      <c r="N1075" s="4" t="s">
        <v>558</v>
      </c>
      <c r="O1075" s="4" t="s">
        <v>559</v>
      </c>
      <c r="P1075" s="4" t="s">
        <v>559</v>
      </c>
      <c r="Q1075" s="8" t="s">
        <v>100</v>
      </c>
      <c r="R1075" s="9">
        <f t="shared" si="17"/>
        <v>6.1994691113218523E-5</v>
      </c>
      <c r="S1075" s="55">
        <f>Tabla3[[#This Row],[Subtotal]]/12</f>
        <v>294477.08333333331</v>
      </c>
    </row>
    <row r="1076" spans="1:19" x14ac:dyDescent="0.2">
      <c r="A1076" s="4">
        <v>1212</v>
      </c>
      <c r="B1076" s="2">
        <v>3521184</v>
      </c>
      <c r="C1076" s="2">
        <v>0</v>
      </c>
      <c r="D1076" s="4" t="s">
        <v>3330</v>
      </c>
      <c r="E1076" s="2">
        <v>3521184</v>
      </c>
      <c r="F1076" s="2">
        <v>669024.96</v>
      </c>
      <c r="G1076" s="2">
        <v>88029.6</v>
      </c>
      <c r="H1076" s="4">
        <v>0</v>
      </c>
      <c r="I1076" s="4">
        <v>0</v>
      </c>
      <c r="J1076" s="4">
        <v>88029.6</v>
      </c>
      <c r="K1076" s="4">
        <v>4102179.36</v>
      </c>
      <c r="L1076" s="4" t="s">
        <v>3328</v>
      </c>
      <c r="M1076" s="4" t="s">
        <v>3329</v>
      </c>
      <c r="N1076" s="4" t="s">
        <v>20</v>
      </c>
      <c r="O1076" s="4" t="s">
        <v>1356</v>
      </c>
      <c r="P1076" s="4" t="s">
        <v>1356</v>
      </c>
      <c r="Q1076" s="8" t="s">
        <v>100</v>
      </c>
      <c r="R1076" s="9">
        <f t="shared" si="17"/>
        <v>6.1774675288203592E-5</v>
      </c>
      <c r="S1076" s="55">
        <f>Tabla3[[#This Row],[Subtotal]]/12</f>
        <v>293432</v>
      </c>
    </row>
    <row r="1077" spans="1:19" x14ac:dyDescent="0.2">
      <c r="A1077" s="4">
        <v>246</v>
      </c>
      <c r="B1077" s="2">
        <v>3517958</v>
      </c>
      <c r="C1077" s="2">
        <v>0</v>
      </c>
      <c r="D1077" s="4" t="s">
        <v>3333</v>
      </c>
      <c r="E1077" s="2">
        <v>3517958</v>
      </c>
      <c r="F1077" s="2">
        <v>668412.02</v>
      </c>
      <c r="G1077" s="2">
        <v>0</v>
      </c>
      <c r="H1077" s="4">
        <v>0</v>
      </c>
      <c r="I1077" s="4">
        <v>0</v>
      </c>
      <c r="J1077" s="4">
        <v>0</v>
      </c>
      <c r="K1077" s="4">
        <v>4186370.02</v>
      </c>
      <c r="L1077" s="4" t="s">
        <v>3331</v>
      </c>
      <c r="M1077" s="4" t="s">
        <v>3332</v>
      </c>
      <c r="N1077" s="4" t="s">
        <v>779</v>
      </c>
      <c r="O1077" s="4" t="s">
        <v>33</v>
      </c>
      <c r="P1077" s="4" t="s">
        <v>33</v>
      </c>
      <c r="Q1077" s="8" t="s">
        <v>100</v>
      </c>
      <c r="R1077" s="9">
        <f t="shared" si="17"/>
        <v>6.1718079239124723E-5</v>
      </c>
      <c r="S1077" s="55">
        <f>Tabla3[[#This Row],[Subtotal]]/12</f>
        <v>293163.16666666669</v>
      </c>
    </row>
    <row r="1078" spans="1:19" x14ac:dyDescent="0.2">
      <c r="A1078" s="4">
        <v>1361</v>
      </c>
      <c r="B1078" s="2">
        <v>3512012</v>
      </c>
      <c r="C1078" s="2">
        <v>0</v>
      </c>
      <c r="D1078" s="4" t="s">
        <v>3336</v>
      </c>
      <c r="E1078" s="2">
        <v>3512012</v>
      </c>
      <c r="F1078" s="2">
        <v>667282.28</v>
      </c>
      <c r="G1078" s="2">
        <v>0</v>
      </c>
      <c r="H1078" s="4">
        <v>0</v>
      </c>
      <c r="I1078" s="4">
        <v>0</v>
      </c>
      <c r="J1078" s="4">
        <v>0</v>
      </c>
      <c r="K1078" s="4">
        <v>4179294.28</v>
      </c>
      <c r="L1078" s="4" t="s">
        <v>3334</v>
      </c>
      <c r="M1078" s="4" t="s">
        <v>3335</v>
      </c>
      <c r="N1078" s="4" t="s">
        <v>20</v>
      </c>
      <c r="O1078" s="4" t="s">
        <v>1356</v>
      </c>
      <c r="P1078" s="4" t="s">
        <v>1356</v>
      </c>
      <c r="Q1078" s="8" t="s">
        <v>100</v>
      </c>
      <c r="R1078" s="9">
        <f t="shared" si="17"/>
        <v>6.1613764264598067E-5</v>
      </c>
      <c r="S1078" s="55">
        <f>Tabla3[[#This Row],[Subtotal]]/12</f>
        <v>292667.66666666669</v>
      </c>
    </row>
    <row r="1079" spans="1:19" x14ac:dyDescent="0.2">
      <c r="A1079" s="4">
        <v>613</v>
      </c>
      <c r="B1079" s="2">
        <v>3510277</v>
      </c>
      <c r="C1079" s="2">
        <v>0</v>
      </c>
      <c r="D1079" s="4" t="s">
        <v>3339</v>
      </c>
      <c r="E1079" s="2">
        <v>3510277</v>
      </c>
      <c r="F1079" s="2">
        <v>666952.63</v>
      </c>
      <c r="G1079" s="2">
        <v>87756.93</v>
      </c>
      <c r="H1079" s="4">
        <v>0</v>
      </c>
      <c r="I1079" s="4">
        <v>0</v>
      </c>
      <c r="J1079" s="4">
        <v>87756.93</v>
      </c>
      <c r="K1079" s="4">
        <v>4089472.7</v>
      </c>
      <c r="L1079" s="4" t="s">
        <v>3337</v>
      </c>
      <c r="M1079" s="4" t="s">
        <v>3338</v>
      </c>
      <c r="N1079" s="4" t="s">
        <v>200</v>
      </c>
      <c r="O1079" s="4" t="s">
        <v>2025</v>
      </c>
      <c r="P1079" s="4" t="s">
        <v>2025</v>
      </c>
      <c r="Q1079" s="8" t="s">
        <v>100</v>
      </c>
      <c r="R1079" s="9">
        <f t="shared" si="17"/>
        <v>6.1583325905902522E-5</v>
      </c>
      <c r="S1079" s="55">
        <f>Tabla3[[#This Row],[Subtotal]]/12</f>
        <v>292523.08333333331</v>
      </c>
    </row>
    <row r="1080" spans="1:19" x14ac:dyDescent="0.2">
      <c r="A1080" s="4">
        <v>737</v>
      </c>
      <c r="B1080" s="2">
        <v>3485550</v>
      </c>
      <c r="C1080" s="2">
        <v>0</v>
      </c>
      <c r="D1080" s="4" t="s">
        <v>3342</v>
      </c>
      <c r="E1080" s="2">
        <v>3485550</v>
      </c>
      <c r="F1080" s="2">
        <v>662254.5</v>
      </c>
      <c r="G1080" s="2">
        <v>0</v>
      </c>
      <c r="H1080" s="4">
        <v>0</v>
      </c>
      <c r="I1080" s="4">
        <v>0</v>
      </c>
      <c r="J1080" s="4">
        <v>0</v>
      </c>
      <c r="K1080" s="4">
        <v>4147804.5</v>
      </c>
      <c r="L1080" s="4" t="s">
        <v>3340</v>
      </c>
      <c r="M1080" s="4" t="s">
        <v>3341</v>
      </c>
      <c r="N1080" s="4" t="s">
        <v>20</v>
      </c>
      <c r="O1080" s="4" t="s">
        <v>603</v>
      </c>
      <c r="P1080" s="4" t="s">
        <v>603</v>
      </c>
      <c r="Q1080" s="8" t="s">
        <v>100</v>
      </c>
      <c r="R1080" s="9">
        <f t="shared" si="17"/>
        <v>6.1149522277392497E-5</v>
      </c>
      <c r="S1080" s="55">
        <f>Tabla3[[#This Row],[Subtotal]]/12</f>
        <v>290462.5</v>
      </c>
    </row>
    <row r="1081" spans="1:19" x14ac:dyDescent="0.2">
      <c r="A1081" s="4">
        <v>156</v>
      </c>
      <c r="B1081" s="2">
        <v>3481708</v>
      </c>
      <c r="C1081" s="2">
        <v>0</v>
      </c>
      <c r="D1081" s="4" t="s">
        <v>3345</v>
      </c>
      <c r="E1081" s="2">
        <v>3481708</v>
      </c>
      <c r="F1081" s="2">
        <v>661524.52</v>
      </c>
      <c r="G1081" s="2">
        <v>0</v>
      </c>
      <c r="H1081" s="4">
        <v>0</v>
      </c>
      <c r="I1081" s="4">
        <v>0</v>
      </c>
      <c r="J1081" s="4">
        <v>0</v>
      </c>
      <c r="K1081" s="4">
        <v>4143232.52</v>
      </c>
      <c r="L1081" s="4" t="s">
        <v>3343</v>
      </c>
      <c r="M1081" s="4" t="s">
        <v>3344</v>
      </c>
      <c r="N1081" s="4" t="s">
        <v>142</v>
      </c>
      <c r="O1081" s="4" t="s">
        <v>340</v>
      </c>
      <c r="P1081" s="4" t="s">
        <v>340</v>
      </c>
      <c r="Q1081" s="8" t="s">
        <v>100</v>
      </c>
      <c r="R1081" s="9">
        <f t="shared" si="17"/>
        <v>6.1082119295197509E-5</v>
      </c>
      <c r="S1081" s="55">
        <f>Tabla3[[#This Row],[Subtotal]]/12</f>
        <v>290142.33333333331</v>
      </c>
    </row>
    <row r="1082" spans="1:19" x14ac:dyDescent="0.2">
      <c r="A1082" s="4">
        <v>1275</v>
      </c>
      <c r="B1082" s="2">
        <v>3481410</v>
      </c>
      <c r="C1082" s="2">
        <v>0</v>
      </c>
      <c r="D1082" s="4" t="s">
        <v>3347</v>
      </c>
      <c r="E1082" s="2">
        <v>3481410</v>
      </c>
      <c r="F1082" s="2">
        <v>661467.9</v>
      </c>
      <c r="G1082" s="2">
        <v>87035.25</v>
      </c>
      <c r="H1082" s="4">
        <v>0</v>
      </c>
      <c r="I1082" s="4">
        <v>0</v>
      </c>
      <c r="J1082" s="4">
        <v>87035.25</v>
      </c>
      <c r="K1082" s="4">
        <v>4055842.65</v>
      </c>
      <c r="L1082" s="4" t="s">
        <v>3346</v>
      </c>
      <c r="M1082" s="4" t="s">
        <v>3034</v>
      </c>
      <c r="N1082" s="4" t="s">
        <v>20</v>
      </c>
      <c r="O1082" s="4" t="s">
        <v>76</v>
      </c>
      <c r="P1082" s="4" t="s">
        <v>76</v>
      </c>
      <c r="Q1082" s="8" t="s">
        <v>585</v>
      </c>
      <c r="R1082" s="9">
        <f t="shared" si="17"/>
        <v>6.107689126586536E-5</v>
      </c>
      <c r="S1082" s="55">
        <f>Tabla3[[#This Row],[Subtotal]]/12</f>
        <v>290117.5</v>
      </c>
    </row>
    <row r="1083" spans="1:19" x14ac:dyDescent="0.2">
      <c r="A1083" s="4">
        <v>1542</v>
      </c>
      <c r="B1083" s="2">
        <v>3477495</v>
      </c>
      <c r="C1083" s="2">
        <v>0</v>
      </c>
      <c r="D1083" s="4" t="s">
        <v>3349</v>
      </c>
      <c r="E1083" s="2">
        <v>3477495</v>
      </c>
      <c r="F1083" s="2">
        <v>660724.05000000005</v>
      </c>
      <c r="G1083" s="2">
        <v>86937.38</v>
      </c>
      <c r="H1083" s="4">
        <v>0</v>
      </c>
      <c r="I1083" s="4">
        <v>0</v>
      </c>
      <c r="J1083" s="4">
        <v>86937.38</v>
      </c>
      <c r="K1083" s="4">
        <v>4051281.67</v>
      </c>
      <c r="L1083" s="4" t="s">
        <v>3348</v>
      </c>
      <c r="M1083" s="4" t="s">
        <v>1600</v>
      </c>
      <c r="N1083" s="4" t="s">
        <v>3350</v>
      </c>
      <c r="O1083" s="4" t="s">
        <v>113</v>
      </c>
      <c r="P1083" s="4" t="s">
        <v>113</v>
      </c>
      <c r="Q1083" s="8" t="s">
        <v>100</v>
      </c>
      <c r="R1083" s="9">
        <f t="shared" si="17"/>
        <v>6.1008207591921229E-5</v>
      </c>
      <c r="S1083" s="55">
        <f>Tabla3[[#This Row],[Subtotal]]/12</f>
        <v>289791.25</v>
      </c>
    </row>
    <row r="1084" spans="1:19" x14ac:dyDescent="0.2">
      <c r="A1084" s="4">
        <v>407</v>
      </c>
      <c r="B1084" s="2">
        <v>3470340</v>
      </c>
      <c r="C1084" s="2">
        <v>0</v>
      </c>
      <c r="D1084" s="4" t="s">
        <v>3353</v>
      </c>
      <c r="E1084" s="2">
        <v>3470340</v>
      </c>
      <c r="F1084" s="2">
        <v>659364.6</v>
      </c>
      <c r="G1084" s="2">
        <v>86758.5</v>
      </c>
      <c r="H1084" s="4">
        <v>0</v>
      </c>
      <c r="I1084" s="4">
        <v>0</v>
      </c>
      <c r="J1084" s="4">
        <v>86758.5</v>
      </c>
      <c r="K1084" s="4">
        <v>4042946.1</v>
      </c>
      <c r="L1084" s="4" t="s">
        <v>3351</v>
      </c>
      <c r="M1084" s="4" t="s">
        <v>3352</v>
      </c>
      <c r="N1084" s="4" t="s">
        <v>648</v>
      </c>
      <c r="O1084" s="4" t="s">
        <v>340</v>
      </c>
      <c r="P1084" s="4" t="s">
        <v>340</v>
      </c>
      <c r="Q1084" s="8" t="s">
        <v>100</v>
      </c>
      <c r="R1084" s="9">
        <f t="shared" si="17"/>
        <v>6.0882682256781937E-5</v>
      </c>
      <c r="S1084" s="55">
        <f>Tabla3[[#This Row],[Subtotal]]/12</f>
        <v>289195</v>
      </c>
    </row>
    <row r="1085" spans="1:19" x14ac:dyDescent="0.2">
      <c r="A1085" s="4">
        <v>106</v>
      </c>
      <c r="B1085" s="2">
        <v>3469647</v>
      </c>
      <c r="C1085" s="2">
        <v>0</v>
      </c>
      <c r="D1085" s="4" t="s">
        <v>3356</v>
      </c>
      <c r="E1085" s="2">
        <v>3469647</v>
      </c>
      <c r="F1085" s="2">
        <v>659232.93000000005</v>
      </c>
      <c r="G1085" s="2">
        <v>0</v>
      </c>
      <c r="H1085" s="4">
        <v>0</v>
      </c>
      <c r="I1085" s="4">
        <v>0</v>
      </c>
      <c r="J1085" s="4">
        <v>0</v>
      </c>
      <c r="K1085" s="4">
        <v>4128879.93</v>
      </c>
      <c r="L1085" s="4" t="s">
        <v>3354</v>
      </c>
      <c r="M1085" s="4" t="s">
        <v>3355</v>
      </c>
      <c r="N1085" s="4" t="s">
        <v>20</v>
      </c>
      <c r="O1085" s="4" t="s">
        <v>316</v>
      </c>
      <c r="P1085" s="4" t="s">
        <v>316</v>
      </c>
      <c r="Q1085" s="8" t="s">
        <v>100</v>
      </c>
      <c r="R1085" s="9">
        <f t="shared" si="17"/>
        <v>6.0870524457026308E-5</v>
      </c>
      <c r="S1085" s="55">
        <f>Tabla3[[#This Row],[Subtotal]]/12</f>
        <v>289137.25</v>
      </c>
    </row>
    <row r="1086" spans="1:19" x14ac:dyDescent="0.2">
      <c r="A1086" s="4">
        <v>1069</v>
      </c>
      <c r="B1086" s="2">
        <v>3451594</v>
      </c>
      <c r="C1086" s="2">
        <v>0</v>
      </c>
      <c r="D1086" s="4" t="s">
        <v>3359</v>
      </c>
      <c r="E1086" s="2">
        <v>3451594</v>
      </c>
      <c r="F1086" s="2">
        <v>655802.86</v>
      </c>
      <c r="G1086" s="2">
        <v>0</v>
      </c>
      <c r="H1086" s="4">
        <v>0</v>
      </c>
      <c r="I1086" s="4">
        <v>0</v>
      </c>
      <c r="J1086" s="4">
        <v>0</v>
      </c>
      <c r="K1086" s="4">
        <v>4107396.86</v>
      </c>
      <c r="L1086" s="4" t="s">
        <v>3357</v>
      </c>
      <c r="M1086" s="4" t="s">
        <v>3358</v>
      </c>
      <c r="N1086" s="4" t="s">
        <v>272</v>
      </c>
      <c r="O1086" s="4" t="s">
        <v>89</v>
      </c>
      <c r="P1086" s="4" t="s">
        <v>89</v>
      </c>
      <c r="Q1086" s="8" t="s">
        <v>100</v>
      </c>
      <c r="R1086" s="9">
        <f t="shared" si="17"/>
        <v>6.0553807633089266E-5</v>
      </c>
      <c r="S1086" s="55">
        <f>Tabla3[[#This Row],[Subtotal]]/12</f>
        <v>287632.83333333331</v>
      </c>
    </row>
    <row r="1087" spans="1:19" x14ac:dyDescent="0.2">
      <c r="A1087" s="4">
        <v>1505</v>
      </c>
      <c r="B1087" s="2">
        <v>3419822</v>
      </c>
      <c r="C1087" s="2">
        <v>0</v>
      </c>
      <c r="D1087" s="4" t="s">
        <v>3362</v>
      </c>
      <c r="E1087" s="2">
        <v>3419822</v>
      </c>
      <c r="F1087" s="2">
        <v>649766.18000000005</v>
      </c>
      <c r="G1087" s="2">
        <v>0</v>
      </c>
      <c r="H1087" s="4">
        <v>0</v>
      </c>
      <c r="I1087" s="4">
        <v>0</v>
      </c>
      <c r="J1087" s="4">
        <v>0</v>
      </c>
      <c r="K1087" s="4">
        <v>4069588.18</v>
      </c>
      <c r="L1087" s="4" t="s">
        <v>3360</v>
      </c>
      <c r="M1087" s="4" t="s">
        <v>3361</v>
      </c>
      <c r="N1087" s="4" t="s">
        <v>1421</v>
      </c>
      <c r="O1087" s="4" t="s">
        <v>340</v>
      </c>
      <c r="P1087" s="4" t="s">
        <v>340</v>
      </c>
      <c r="Q1087" s="8" t="s">
        <v>100</v>
      </c>
      <c r="R1087" s="9">
        <f t="shared" si="17"/>
        <v>5.999640847892498E-5</v>
      </c>
      <c r="S1087" s="55">
        <f>Tabla3[[#This Row],[Subtotal]]/12</f>
        <v>284985.16666666669</v>
      </c>
    </row>
    <row r="1088" spans="1:19" x14ac:dyDescent="0.2">
      <c r="A1088" s="4">
        <v>1026</v>
      </c>
      <c r="B1088" s="2">
        <v>3418146</v>
      </c>
      <c r="C1088" s="2">
        <v>0</v>
      </c>
      <c r="D1088" s="4" t="s">
        <v>3364</v>
      </c>
      <c r="E1088" s="2">
        <v>3418146</v>
      </c>
      <c r="F1088" s="2">
        <v>649447.74</v>
      </c>
      <c r="G1088" s="2">
        <v>85453.65</v>
      </c>
      <c r="H1088" s="4">
        <v>97417.16</v>
      </c>
      <c r="I1088" s="4">
        <v>20508.87</v>
      </c>
      <c r="J1088" s="4">
        <v>203379.68</v>
      </c>
      <c r="K1088" s="4">
        <v>3864214.06</v>
      </c>
      <c r="L1088" s="4" t="s">
        <v>3363</v>
      </c>
      <c r="M1088" s="4" t="s">
        <v>178</v>
      </c>
      <c r="N1088" s="4" t="s">
        <v>245</v>
      </c>
      <c r="O1088" s="4" t="s">
        <v>237</v>
      </c>
      <c r="P1088" s="4" t="s">
        <v>237</v>
      </c>
      <c r="Q1088" s="8" t="s">
        <v>28</v>
      </c>
      <c r="R1088" s="9">
        <f t="shared" si="17"/>
        <v>5.9967005199862307E-5</v>
      </c>
      <c r="S1088" s="55">
        <f>Tabla3[[#This Row],[Subtotal]]/12</f>
        <v>284845.5</v>
      </c>
    </row>
    <row r="1089" spans="1:19" x14ac:dyDescent="0.2">
      <c r="A1089" s="4">
        <v>1444</v>
      </c>
      <c r="B1089" s="2">
        <v>3413386</v>
      </c>
      <c r="C1089" s="2">
        <v>0</v>
      </c>
      <c r="D1089" s="4" t="s">
        <v>3367</v>
      </c>
      <c r="E1089" s="2">
        <v>3413386</v>
      </c>
      <c r="F1089" s="2">
        <v>648543.34</v>
      </c>
      <c r="G1089" s="2">
        <v>0</v>
      </c>
      <c r="H1089" s="4">
        <v>0</v>
      </c>
      <c r="I1089" s="4">
        <v>0</v>
      </c>
      <c r="J1089" s="4">
        <v>0</v>
      </c>
      <c r="K1089" s="4">
        <v>4061929.34</v>
      </c>
      <c r="L1089" s="4" t="s">
        <v>3365</v>
      </c>
      <c r="M1089" s="4" t="s">
        <v>3366</v>
      </c>
      <c r="N1089" s="4" t="s">
        <v>20</v>
      </c>
      <c r="O1089" s="4" t="s">
        <v>1562</v>
      </c>
      <c r="P1089" s="4" t="s">
        <v>1562</v>
      </c>
      <c r="Q1089" s="8" t="s">
        <v>100</v>
      </c>
      <c r="R1089" s="9">
        <f t="shared" si="17"/>
        <v>5.988349708032869E-5</v>
      </c>
      <c r="S1089" s="55">
        <f>Tabla3[[#This Row],[Subtotal]]/12</f>
        <v>284448.83333333331</v>
      </c>
    </row>
    <row r="1090" spans="1:19" x14ac:dyDescent="0.2">
      <c r="A1090" s="4">
        <v>749</v>
      </c>
      <c r="B1090" s="2">
        <v>3409226</v>
      </c>
      <c r="C1090" s="2">
        <v>0</v>
      </c>
      <c r="D1090" s="4" t="s">
        <v>3369</v>
      </c>
      <c r="E1090" s="2">
        <v>3409226</v>
      </c>
      <c r="F1090" s="2">
        <v>647752.93999999994</v>
      </c>
      <c r="G1090" s="2">
        <v>38661.65</v>
      </c>
      <c r="H1090" s="4">
        <v>76115.92</v>
      </c>
      <c r="I1090" s="4">
        <v>0</v>
      </c>
      <c r="J1090" s="4">
        <v>114777.57</v>
      </c>
      <c r="K1090" s="4">
        <v>3942201.37</v>
      </c>
      <c r="L1090" s="4" t="s">
        <v>3368</v>
      </c>
      <c r="M1090" s="4" t="s">
        <v>81</v>
      </c>
      <c r="N1090" s="4" t="s">
        <v>142</v>
      </c>
      <c r="O1090" s="4" t="s">
        <v>340</v>
      </c>
      <c r="P1090" s="4" t="s">
        <v>340</v>
      </c>
      <c r="Q1090" s="8" t="s">
        <v>28</v>
      </c>
      <c r="R1090" s="9">
        <f t="shared" si="17"/>
        <v>5.9810515194349738E-5</v>
      </c>
      <c r="S1090" s="55">
        <f>Tabla3[[#This Row],[Subtotal]]/12</f>
        <v>284102.16666666669</v>
      </c>
    </row>
    <row r="1091" spans="1:19" x14ac:dyDescent="0.2">
      <c r="A1091" s="4">
        <v>419</v>
      </c>
      <c r="B1091" s="2">
        <v>3404367</v>
      </c>
      <c r="C1091" s="2">
        <v>0</v>
      </c>
      <c r="D1091" s="4" t="s">
        <v>3372</v>
      </c>
      <c r="E1091" s="2">
        <v>3404367</v>
      </c>
      <c r="F1091" s="2">
        <v>646829.73</v>
      </c>
      <c r="G1091" s="2">
        <v>13496.35</v>
      </c>
      <c r="H1091" s="4">
        <v>0</v>
      </c>
      <c r="I1091" s="4">
        <v>0</v>
      </c>
      <c r="J1091" s="4">
        <v>13496.35</v>
      </c>
      <c r="K1091" s="4">
        <v>4037700.38</v>
      </c>
      <c r="L1091" s="4" t="s">
        <v>3370</v>
      </c>
      <c r="M1091" s="4" t="s">
        <v>3371</v>
      </c>
      <c r="N1091" s="4" t="s">
        <v>427</v>
      </c>
      <c r="O1091" s="4" t="s">
        <v>89</v>
      </c>
      <c r="P1091" s="4" t="s">
        <v>89</v>
      </c>
      <c r="Q1091" s="8" t="s">
        <v>100</v>
      </c>
      <c r="R1091" s="9">
        <f t="shared" ref="R1091:R1154" si="18">E1091/$E$1757</f>
        <v>5.9725270246279607E-5</v>
      </c>
      <c r="S1091" s="55">
        <f>Tabla3[[#This Row],[Subtotal]]/12</f>
        <v>283697.25</v>
      </c>
    </row>
    <row r="1092" spans="1:19" x14ac:dyDescent="0.2">
      <c r="A1092" s="4">
        <v>543</v>
      </c>
      <c r="B1092" s="2">
        <v>3403640</v>
      </c>
      <c r="C1092" s="2">
        <v>0</v>
      </c>
      <c r="D1092" s="4" t="s">
        <v>3375</v>
      </c>
      <c r="E1092" s="2">
        <v>3403640</v>
      </c>
      <c r="F1092" s="2">
        <v>563091.6</v>
      </c>
      <c r="G1092" s="2">
        <v>78216</v>
      </c>
      <c r="H1092" s="4">
        <v>0</v>
      </c>
      <c r="I1092" s="4">
        <v>0</v>
      </c>
      <c r="J1092" s="4">
        <v>78216</v>
      </c>
      <c r="K1092" s="4">
        <v>3888515.6</v>
      </c>
      <c r="L1092" s="4" t="s">
        <v>3373</v>
      </c>
      <c r="M1092" s="4" t="s">
        <v>3374</v>
      </c>
      <c r="N1092" s="4" t="s">
        <v>236</v>
      </c>
      <c r="O1092" s="4" t="s">
        <v>76</v>
      </c>
      <c r="P1092" s="4" t="s">
        <v>76</v>
      </c>
      <c r="Q1092" s="8" t="s">
        <v>1378</v>
      </c>
      <c r="R1092" s="9">
        <f t="shared" si="18"/>
        <v>5.9712515959955879E-5</v>
      </c>
      <c r="S1092" s="55">
        <f>Tabla3[[#This Row],[Subtotal]]/12</f>
        <v>283636.66666666669</v>
      </c>
    </row>
    <row r="1093" spans="1:19" x14ac:dyDescent="0.2">
      <c r="A1093" s="4">
        <v>41</v>
      </c>
      <c r="B1093" s="2">
        <v>3395066</v>
      </c>
      <c r="C1093" s="2">
        <v>0</v>
      </c>
      <c r="D1093" s="4" t="s">
        <v>3378</v>
      </c>
      <c r="E1093" s="2">
        <v>3395066</v>
      </c>
      <c r="F1093" s="2">
        <v>645062.54</v>
      </c>
      <c r="G1093" s="2">
        <v>0</v>
      </c>
      <c r="H1093" s="4">
        <v>0</v>
      </c>
      <c r="I1093" s="4">
        <v>0</v>
      </c>
      <c r="J1093" s="4">
        <v>0</v>
      </c>
      <c r="K1093" s="4">
        <v>4040128.54</v>
      </c>
      <c r="L1093" s="4" t="s">
        <v>3376</v>
      </c>
      <c r="M1093" s="4" t="s">
        <v>3377</v>
      </c>
      <c r="N1093" s="4" t="s">
        <v>1421</v>
      </c>
      <c r="O1093" s="4" t="s">
        <v>340</v>
      </c>
      <c r="P1093" s="4" t="s">
        <v>340</v>
      </c>
      <c r="Q1093" s="8" t="s">
        <v>100</v>
      </c>
      <c r="R1093" s="9">
        <f t="shared" si="18"/>
        <v>5.9562096082459829E-5</v>
      </c>
      <c r="S1093" s="55">
        <f>Tabla3[[#This Row],[Subtotal]]/12</f>
        <v>282922.16666666669</v>
      </c>
    </row>
    <row r="1094" spans="1:19" x14ac:dyDescent="0.2">
      <c r="A1094" s="4">
        <v>1736</v>
      </c>
      <c r="B1094" s="2">
        <v>3383710</v>
      </c>
      <c r="C1094" s="2">
        <v>0</v>
      </c>
      <c r="D1094" s="4" t="s">
        <v>3381</v>
      </c>
      <c r="E1094" s="2">
        <v>3383710</v>
      </c>
      <c r="F1094" s="2">
        <v>642904.9</v>
      </c>
      <c r="G1094" s="2">
        <v>0</v>
      </c>
      <c r="H1094" s="4">
        <v>0</v>
      </c>
      <c r="I1094" s="4">
        <v>0</v>
      </c>
      <c r="J1094" s="4">
        <v>0</v>
      </c>
      <c r="K1094" s="4">
        <v>4026614.9</v>
      </c>
      <c r="L1094" s="4" t="s">
        <v>3379</v>
      </c>
      <c r="M1094" s="4" t="s">
        <v>3380</v>
      </c>
      <c r="N1094" s="4" t="s">
        <v>1421</v>
      </c>
      <c r="O1094" s="4" t="s">
        <v>340</v>
      </c>
      <c r="P1094" s="4" t="s">
        <v>340</v>
      </c>
      <c r="Q1094" s="8" t="s">
        <v>100</v>
      </c>
      <c r="R1094" s="9">
        <f t="shared" si="18"/>
        <v>5.9362869568715345E-5</v>
      </c>
      <c r="S1094" s="55">
        <f>Tabla3[[#This Row],[Subtotal]]/12</f>
        <v>281975.83333333331</v>
      </c>
    </row>
    <row r="1095" spans="1:19" x14ac:dyDescent="0.2">
      <c r="A1095" s="4">
        <v>1722</v>
      </c>
      <c r="B1095" s="2">
        <v>3383512</v>
      </c>
      <c r="C1095" s="2">
        <v>0</v>
      </c>
      <c r="D1095" s="4" t="s">
        <v>3384</v>
      </c>
      <c r="E1095" s="2">
        <v>3383512</v>
      </c>
      <c r="F1095" s="2">
        <v>642867.28</v>
      </c>
      <c r="G1095" s="2">
        <v>0</v>
      </c>
      <c r="H1095" s="4">
        <v>0</v>
      </c>
      <c r="I1095" s="4">
        <v>0</v>
      </c>
      <c r="J1095" s="4">
        <v>0</v>
      </c>
      <c r="K1095" s="4">
        <v>4026379.28</v>
      </c>
      <c r="L1095" s="4" t="s">
        <v>3382</v>
      </c>
      <c r="M1095" s="4" t="s">
        <v>3383</v>
      </c>
      <c r="N1095" s="4" t="s">
        <v>434</v>
      </c>
      <c r="O1095" s="4" t="s">
        <v>382</v>
      </c>
      <c r="P1095" s="4" t="s">
        <v>382</v>
      </c>
      <c r="Q1095" s="8" t="s">
        <v>100</v>
      </c>
      <c r="R1095" s="9">
        <f t="shared" si="18"/>
        <v>5.9359395911642309E-5</v>
      </c>
      <c r="S1095" s="55">
        <f>Tabla3[[#This Row],[Subtotal]]/12</f>
        <v>281959.33333333331</v>
      </c>
    </row>
    <row r="1096" spans="1:19" x14ac:dyDescent="0.2">
      <c r="A1096" s="4">
        <v>339</v>
      </c>
      <c r="B1096" s="2">
        <v>3374097.6</v>
      </c>
      <c r="C1096" s="2">
        <v>0</v>
      </c>
      <c r="D1096" s="4" t="s">
        <v>3387</v>
      </c>
      <c r="E1096" s="2">
        <v>3374097.6</v>
      </c>
      <c r="F1096" s="2">
        <v>641078.54</v>
      </c>
      <c r="G1096" s="2">
        <v>84352.44</v>
      </c>
      <c r="H1096" s="4">
        <v>0</v>
      </c>
      <c r="I1096" s="4">
        <v>0</v>
      </c>
      <c r="J1096" s="4">
        <v>84352.44</v>
      </c>
      <c r="K1096" s="4">
        <v>3930823.7</v>
      </c>
      <c r="L1096" s="4" t="s">
        <v>3385</v>
      </c>
      <c r="M1096" s="4" t="s">
        <v>3386</v>
      </c>
      <c r="N1096" s="4" t="s">
        <v>272</v>
      </c>
      <c r="O1096" s="4" t="s">
        <v>900</v>
      </c>
      <c r="P1096" s="4" t="s">
        <v>900</v>
      </c>
      <c r="Q1096" s="8" t="s">
        <v>144</v>
      </c>
      <c r="R1096" s="9">
        <f t="shared" si="18"/>
        <v>5.9194232289680705E-5</v>
      </c>
      <c r="S1096" s="55">
        <f>Tabla3[[#This Row],[Subtotal]]/12</f>
        <v>281174.8</v>
      </c>
    </row>
    <row r="1097" spans="1:19" x14ac:dyDescent="0.2">
      <c r="A1097" s="4">
        <v>565</v>
      </c>
      <c r="B1097" s="2">
        <v>3367648</v>
      </c>
      <c r="C1097" s="2">
        <v>0</v>
      </c>
      <c r="D1097" s="4" t="s">
        <v>3390</v>
      </c>
      <c r="E1097" s="2">
        <v>3367648</v>
      </c>
      <c r="F1097" s="2">
        <v>639853.12</v>
      </c>
      <c r="G1097" s="2">
        <v>84191.2</v>
      </c>
      <c r="H1097" s="4">
        <v>0</v>
      </c>
      <c r="I1097" s="4">
        <v>0</v>
      </c>
      <c r="J1097" s="4">
        <v>84191.2</v>
      </c>
      <c r="K1097" s="4">
        <v>3923309.92</v>
      </c>
      <c r="L1097" s="4" t="s">
        <v>3388</v>
      </c>
      <c r="M1097" s="4" t="s">
        <v>3389</v>
      </c>
      <c r="N1097" s="4" t="s">
        <v>218</v>
      </c>
      <c r="O1097" s="4" t="s">
        <v>196</v>
      </c>
      <c r="P1097" s="4" t="s">
        <v>196</v>
      </c>
      <c r="Q1097" s="8" t="s">
        <v>100</v>
      </c>
      <c r="R1097" s="9">
        <f t="shared" si="18"/>
        <v>5.9081082296457171E-5</v>
      </c>
      <c r="S1097" s="55">
        <f>Tabla3[[#This Row],[Subtotal]]/12</f>
        <v>280637.33333333331</v>
      </c>
    </row>
    <row r="1098" spans="1:19" x14ac:dyDescent="0.2">
      <c r="A1098" s="4">
        <v>1226</v>
      </c>
      <c r="B1098" s="2">
        <v>3354827</v>
      </c>
      <c r="C1098" s="2">
        <v>0</v>
      </c>
      <c r="D1098" s="4" t="s">
        <v>3393</v>
      </c>
      <c r="E1098" s="2">
        <v>3354827</v>
      </c>
      <c r="F1098" s="2">
        <v>637417.13</v>
      </c>
      <c r="G1098" s="2">
        <v>83870.679999999993</v>
      </c>
      <c r="H1098" s="4">
        <v>0</v>
      </c>
      <c r="I1098" s="4">
        <v>0</v>
      </c>
      <c r="J1098" s="4">
        <v>83870.679999999993</v>
      </c>
      <c r="K1098" s="4">
        <v>3908373.45</v>
      </c>
      <c r="L1098" s="4" t="s">
        <v>3391</v>
      </c>
      <c r="M1098" s="4" t="s">
        <v>3392</v>
      </c>
      <c r="N1098" s="4" t="s">
        <v>20</v>
      </c>
      <c r="O1098" s="4" t="s">
        <v>372</v>
      </c>
      <c r="P1098" s="4" t="s">
        <v>372</v>
      </c>
      <c r="Q1098" s="8" t="s">
        <v>100</v>
      </c>
      <c r="R1098" s="9">
        <f t="shared" si="18"/>
        <v>5.8856154229116742E-5</v>
      </c>
      <c r="S1098" s="55">
        <f>Tabla3[[#This Row],[Subtotal]]/12</f>
        <v>279568.91666666669</v>
      </c>
    </row>
    <row r="1099" spans="1:19" x14ac:dyDescent="0.2">
      <c r="A1099" s="4">
        <v>1481</v>
      </c>
      <c r="B1099" s="2">
        <v>3340596</v>
      </c>
      <c r="C1099" s="2">
        <v>0</v>
      </c>
      <c r="D1099" s="4" t="s">
        <v>3396</v>
      </c>
      <c r="E1099" s="2">
        <v>3340596</v>
      </c>
      <c r="F1099" s="2">
        <v>634713.24</v>
      </c>
      <c r="G1099" s="2">
        <v>0</v>
      </c>
      <c r="H1099" s="4">
        <v>0</v>
      </c>
      <c r="I1099" s="4">
        <v>0</v>
      </c>
      <c r="J1099" s="4">
        <v>0</v>
      </c>
      <c r="K1099" s="4">
        <v>3975309.24</v>
      </c>
      <c r="L1099" s="4" t="s">
        <v>3394</v>
      </c>
      <c r="M1099" s="4" t="s">
        <v>3395</v>
      </c>
      <c r="N1099" s="4" t="s">
        <v>20</v>
      </c>
      <c r="O1099" s="4" t="s">
        <v>1549</v>
      </c>
      <c r="P1099" s="4" t="s">
        <v>1549</v>
      </c>
      <c r="Q1099" s="8" t="s">
        <v>100</v>
      </c>
      <c r="R1099" s="9">
        <f t="shared" si="18"/>
        <v>5.860648951292286E-5</v>
      </c>
      <c r="S1099" s="55">
        <f>Tabla3[[#This Row],[Subtotal]]/12</f>
        <v>278383</v>
      </c>
    </row>
    <row r="1100" spans="1:19" x14ac:dyDescent="0.2">
      <c r="A1100" s="4">
        <v>845</v>
      </c>
      <c r="B1100" s="2">
        <v>3340549</v>
      </c>
      <c r="C1100" s="2">
        <v>0</v>
      </c>
      <c r="D1100" s="4" t="s">
        <v>3399</v>
      </c>
      <c r="E1100" s="2">
        <v>3340549</v>
      </c>
      <c r="F1100" s="2">
        <v>634704.31000000006</v>
      </c>
      <c r="G1100" s="2">
        <v>74719.429999999993</v>
      </c>
      <c r="H1100" s="4">
        <v>0</v>
      </c>
      <c r="I1100" s="4">
        <v>0</v>
      </c>
      <c r="J1100" s="4">
        <v>74719.429999999993</v>
      </c>
      <c r="K1100" s="4">
        <v>3900533.88</v>
      </c>
      <c r="L1100" s="4" t="s">
        <v>3397</v>
      </c>
      <c r="M1100" s="4" t="s">
        <v>3398</v>
      </c>
      <c r="N1100" s="4" t="s">
        <v>322</v>
      </c>
      <c r="O1100" s="4" t="s">
        <v>229</v>
      </c>
      <c r="P1100" s="4" t="s">
        <v>229</v>
      </c>
      <c r="Q1100" s="8" t="s">
        <v>100</v>
      </c>
      <c r="R1100" s="9">
        <f t="shared" si="18"/>
        <v>5.8605664957961082E-5</v>
      </c>
      <c r="S1100" s="55">
        <f>Tabla3[[#This Row],[Subtotal]]/12</f>
        <v>278379.08333333331</v>
      </c>
    </row>
    <row r="1101" spans="1:19" x14ac:dyDescent="0.2">
      <c r="A1101" s="4">
        <v>1056</v>
      </c>
      <c r="B1101" s="2">
        <v>3338086</v>
      </c>
      <c r="C1101" s="2">
        <v>0</v>
      </c>
      <c r="D1101" s="4" t="s">
        <v>3402</v>
      </c>
      <c r="E1101" s="2">
        <v>3338086</v>
      </c>
      <c r="F1101" s="2">
        <v>634236.34</v>
      </c>
      <c r="G1101" s="2">
        <v>0</v>
      </c>
      <c r="H1101" s="4">
        <v>0</v>
      </c>
      <c r="I1101" s="4">
        <v>0</v>
      </c>
      <c r="J1101" s="4">
        <v>0</v>
      </c>
      <c r="K1101" s="4">
        <v>3972322.34</v>
      </c>
      <c r="L1101" s="4" t="s">
        <v>3400</v>
      </c>
      <c r="M1101" s="4" t="s">
        <v>3401</v>
      </c>
      <c r="N1101" s="4" t="s">
        <v>20</v>
      </c>
      <c r="O1101" s="4" t="s">
        <v>768</v>
      </c>
      <c r="P1101" s="4" t="s">
        <v>768</v>
      </c>
      <c r="Q1101" s="8" t="s">
        <v>100</v>
      </c>
      <c r="R1101" s="9">
        <f t="shared" si="18"/>
        <v>5.856245476921921E-5</v>
      </c>
      <c r="S1101" s="55">
        <f>Tabla3[[#This Row],[Subtotal]]/12</f>
        <v>278173.83333333331</v>
      </c>
    </row>
    <row r="1102" spans="1:19" x14ac:dyDescent="0.2">
      <c r="A1102" s="4">
        <v>1195</v>
      </c>
      <c r="B1102" s="2">
        <v>3333176</v>
      </c>
      <c r="C1102" s="2">
        <v>0</v>
      </c>
      <c r="D1102" s="4" t="s">
        <v>3405</v>
      </c>
      <c r="E1102" s="2">
        <v>3333176</v>
      </c>
      <c r="F1102" s="2">
        <v>633303.43999999994</v>
      </c>
      <c r="G1102" s="2">
        <v>0</v>
      </c>
      <c r="H1102" s="4">
        <v>0</v>
      </c>
      <c r="I1102" s="4">
        <v>0</v>
      </c>
      <c r="J1102" s="4">
        <v>0</v>
      </c>
      <c r="K1102" s="4">
        <v>3966479.44</v>
      </c>
      <c r="L1102" s="4" t="s">
        <v>3403</v>
      </c>
      <c r="M1102" s="4" t="s">
        <v>3404</v>
      </c>
      <c r="N1102" s="4" t="s">
        <v>20</v>
      </c>
      <c r="O1102" s="4" t="s">
        <v>768</v>
      </c>
      <c r="P1102" s="4" t="s">
        <v>768</v>
      </c>
      <c r="Q1102" s="8" t="s">
        <v>100</v>
      </c>
      <c r="R1102" s="9">
        <f t="shared" si="18"/>
        <v>5.8476315091296933E-5</v>
      </c>
      <c r="S1102" s="55">
        <f>Tabla3[[#This Row],[Subtotal]]/12</f>
        <v>277764.66666666669</v>
      </c>
    </row>
    <row r="1103" spans="1:19" x14ac:dyDescent="0.2">
      <c r="A1103" s="4">
        <v>1723</v>
      </c>
      <c r="B1103" s="2">
        <v>3331198</v>
      </c>
      <c r="C1103" s="2">
        <v>0</v>
      </c>
      <c r="D1103" s="4" t="s">
        <v>3408</v>
      </c>
      <c r="E1103" s="2">
        <v>3331198</v>
      </c>
      <c r="F1103" s="2">
        <v>632927.62</v>
      </c>
      <c r="G1103" s="2">
        <v>39611.129999999997</v>
      </c>
      <c r="H1103" s="4">
        <v>0</v>
      </c>
      <c r="I1103" s="4">
        <v>0</v>
      </c>
      <c r="J1103" s="4">
        <v>39611.129999999997</v>
      </c>
      <c r="K1103" s="4">
        <v>3924514.49</v>
      </c>
      <c r="L1103" s="4" t="s">
        <v>3406</v>
      </c>
      <c r="M1103" s="4" t="s">
        <v>3407</v>
      </c>
      <c r="N1103" s="4" t="s">
        <v>522</v>
      </c>
      <c r="O1103" s="4" t="s">
        <v>105</v>
      </c>
      <c r="P1103" s="4" t="s">
        <v>1039</v>
      </c>
      <c r="Q1103" s="8" t="s">
        <v>100</v>
      </c>
      <c r="R1103" s="9">
        <f t="shared" si="18"/>
        <v>5.8441613608011744E-5</v>
      </c>
      <c r="S1103" s="55">
        <f>Tabla3[[#This Row],[Subtotal]]/12</f>
        <v>277599.83333333331</v>
      </c>
    </row>
    <row r="1104" spans="1:19" x14ac:dyDescent="0.2">
      <c r="A1104" s="4">
        <v>1498</v>
      </c>
      <c r="B1104" s="2">
        <v>3326992</v>
      </c>
      <c r="C1104" s="2">
        <v>0</v>
      </c>
      <c r="D1104" s="4" t="s">
        <v>3411</v>
      </c>
      <c r="E1104" s="2">
        <v>3326992</v>
      </c>
      <c r="F1104" s="2">
        <v>632128.48</v>
      </c>
      <c r="G1104" s="2">
        <v>0</v>
      </c>
      <c r="H1104" s="4">
        <v>0</v>
      </c>
      <c r="I1104" s="4">
        <v>0</v>
      </c>
      <c r="J1104" s="4">
        <v>0</v>
      </c>
      <c r="K1104" s="4">
        <v>3959120.48</v>
      </c>
      <c r="L1104" s="4" t="s">
        <v>3409</v>
      </c>
      <c r="M1104" s="4" t="s">
        <v>3410</v>
      </c>
      <c r="N1104" s="4" t="s">
        <v>20</v>
      </c>
      <c r="O1104" s="4" t="s">
        <v>1517</v>
      </c>
      <c r="P1104" s="4" t="s">
        <v>1517</v>
      </c>
      <c r="Q1104" s="8" t="s">
        <v>100</v>
      </c>
      <c r="R1104" s="9">
        <f t="shared" si="18"/>
        <v>5.8367824710793599E-5</v>
      </c>
      <c r="S1104" s="55">
        <f>Tabla3[[#This Row],[Subtotal]]/12</f>
        <v>277249.33333333331</v>
      </c>
    </row>
    <row r="1105" spans="1:19" x14ac:dyDescent="0.2">
      <c r="A1105" s="4">
        <v>582</v>
      </c>
      <c r="B1105" s="2">
        <v>3320645</v>
      </c>
      <c r="C1105" s="2">
        <v>0</v>
      </c>
      <c r="D1105" s="4" t="s">
        <v>3414</v>
      </c>
      <c r="E1105" s="2">
        <v>3320645</v>
      </c>
      <c r="F1105" s="2">
        <v>630922.55000000005</v>
      </c>
      <c r="G1105" s="2">
        <v>83016.13</v>
      </c>
      <c r="H1105" s="4">
        <v>0</v>
      </c>
      <c r="I1105" s="4">
        <v>0</v>
      </c>
      <c r="J1105" s="4">
        <v>83016.13</v>
      </c>
      <c r="K1105" s="4">
        <v>3868551.42</v>
      </c>
      <c r="L1105" s="4" t="s">
        <v>3412</v>
      </c>
      <c r="M1105" s="4" t="s">
        <v>3413</v>
      </c>
      <c r="N1105" s="4" t="s">
        <v>32</v>
      </c>
      <c r="O1105" s="4" t="s">
        <v>33</v>
      </c>
      <c r="P1105" s="4" t="s">
        <v>33</v>
      </c>
      <c r="Q1105" s="8" t="s">
        <v>100</v>
      </c>
      <c r="R1105" s="9">
        <f t="shared" si="18"/>
        <v>5.825647470350792E-5</v>
      </c>
      <c r="S1105" s="55">
        <f>Tabla3[[#This Row],[Subtotal]]/12</f>
        <v>276720.41666666669</v>
      </c>
    </row>
    <row r="1106" spans="1:19" x14ac:dyDescent="0.2">
      <c r="A1106" s="4">
        <v>286</v>
      </c>
      <c r="B1106" s="2">
        <v>3307017</v>
      </c>
      <c r="C1106" s="2">
        <v>0</v>
      </c>
      <c r="D1106" s="4" t="s">
        <v>3417</v>
      </c>
      <c r="E1106" s="2">
        <v>3307017</v>
      </c>
      <c r="F1106" s="2">
        <v>628333.23</v>
      </c>
      <c r="G1106" s="2">
        <v>0</v>
      </c>
      <c r="H1106" s="4">
        <v>0</v>
      </c>
      <c r="I1106" s="4">
        <v>0</v>
      </c>
      <c r="J1106" s="4">
        <v>0</v>
      </c>
      <c r="K1106" s="4">
        <v>3935350.23</v>
      </c>
      <c r="L1106" s="4" t="s">
        <v>3415</v>
      </c>
      <c r="M1106" s="4" t="s">
        <v>3416</v>
      </c>
      <c r="N1106" s="4" t="s">
        <v>20</v>
      </c>
      <c r="O1106" s="4" t="s">
        <v>316</v>
      </c>
      <c r="P1106" s="4" t="s">
        <v>316</v>
      </c>
      <c r="Q1106" s="8" t="s">
        <v>100</v>
      </c>
      <c r="R1106" s="9">
        <f t="shared" si="18"/>
        <v>5.8017388852036471E-5</v>
      </c>
      <c r="S1106" s="55">
        <f>Tabla3[[#This Row],[Subtotal]]/12</f>
        <v>275584.75</v>
      </c>
    </row>
    <row r="1107" spans="1:19" x14ac:dyDescent="0.2">
      <c r="A1107" s="4">
        <v>779</v>
      </c>
      <c r="B1107" s="2">
        <v>3301760</v>
      </c>
      <c r="C1107" s="2">
        <v>0</v>
      </c>
      <c r="D1107" s="4" t="s">
        <v>3420</v>
      </c>
      <c r="E1107" s="2">
        <v>3301760</v>
      </c>
      <c r="F1107" s="2">
        <v>627334.40000000002</v>
      </c>
      <c r="G1107" s="2">
        <v>0</v>
      </c>
      <c r="H1107" s="4">
        <v>0</v>
      </c>
      <c r="I1107" s="4">
        <v>0</v>
      </c>
      <c r="J1107" s="4">
        <v>0</v>
      </c>
      <c r="K1107" s="4">
        <v>3929094.4</v>
      </c>
      <c r="L1107" s="4" t="s">
        <v>3418</v>
      </c>
      <c r="M1107" s="4" t="s">
        <v>3419</v>
      </c>
      <c r="N1107" s="4" t="s">
        <v>20</v>
      </c>
      <c r="O1107" s="4" t="s">
        <v>692</v>
      </c>
      <c r="P1107" s="4" t="s">
        <v>692</v>
      </c>
      <c r="Q1107" s="8" t="s">
        <v>100</v>
      </c>
      <c r="R1107" s="9">
        <f t="shared" si="18"/>
        <v>5.7925161502375077E-5</v>
      </c>
      <c r="S1107" s="55">
        <f>Tabla3[[#This Row],[Subtotal]]/12</f>
        <v>275146.66666666669</v>
      </c>
    </row>
    <row r="1108" spans="1:19" x14ac:dyDescent="0.2">
      <c r="A1108" s="4">
        <v>1730</v>
      </c>
      <c r="B1108" s="2">
        <v>3298560</v>
      </c>
      <c r="C1108" s="2">
        <v>0</v>
      </c>
      <c r="D1108" s="4" t="s">
        <v>3423</v>
      </c>
      <c r="E1108" s="2">
        <v>3298560</v>
      </c>
      <c r="F1108" s="2">
        <v>626726.40000000002</v>
      </c>
      <c r="G1108" s="2">
        <v>0</v>
      </c>
      <c r="H1108" s="4">
        <v>0</v>
      </c>
      <c r="I1108" s="4">
        <v>0</v>
      </c>
      <c r="J1108" s="4">
        <v>0</v>
      </c>
      <c r="K1108" s="4">
        <v>3925286.4</v>
      </c>
      <c r="L1108" s="4" t="s">
        <v>3421</v>
      </c>
      <c r="M1108" s="4" t="s">
        <v>3422</v>
      </c>
      <c r="N1108" s="4" t="s">
        <v>648</v>
      </c>
      <c r="O1108" s="4" t="s">
        <v>340</v>
      </c>
      <c r="P1108" s="4" t="s">
        <v>340</v>
      </c>
      <c r="Q1108" s="8" t="s">
        <v>100</v>
      </c>
      <c r="R1108" s="9">
        <f t="shared" si="18"/>
        <v>5.7869021590083573E-5</v>
      </c>
      <c r="S1108" s="55">
        <f>Tabla3[[#This Row],[Subtotal]]/12</f>
        <v>274880</v>
      </c>
    </row>
    <row r="1109" spans="1:19" x14ac:dyDescent="0.2">
      <c r="A1109" s="4">
        <v>1459</v>
      </c>
      <c r="B1109" s="2">
        <v>3296456</v>
      </c>
      <c r="C1109" s="2">
        <v>0</v>
      </c>
      <c r="D1109" s="4" t="s">
        <v>3426</v>
      </c>
      <c r="E1109" s="2">
        <v>3296456</v>
      </c>
      <c r="F1109" s="2">
        <v>626326.64</v>
      </c>
      <c r="G1109" s="2">
        <v>0</v>
      </c>
      <c r="H1109" s="4">
        <v>0</v>
      </c>
      <c r="I1109" s="4">
        <v>0</v>
      </c>
      <c r="J1109" s="4">
        <v>0</v>
      </c>
      <c r="K1109" s="4">
        <v>3922782.64</v>
      </c>
      <c r="L1109" s="4" t="s">
        <v>3424</v>
      </c>
      <c r="M1109" s="4" t="s">
        <v>3425</v>
      </c>
      <c r="N1109" s="4" t="s">
        <v>2072</v>
      </c>
      <c r="O1109" s="4" t="s">
        <v>89</v>
      </c>
      <c r="P1109" s="4" t="s">
        <v>89</v>
      </c>
      <c r="Q1109" s="8" t="s">
        <v>100</v>
      </c>
      <c r="R1109" s="9">
        <f t="shared" si="18"/>
        <v>5.7832109597751913E-5</v>
      </c>
      <c r="S1109" s="55">
        <f>Tabla3[[#This Row],[Subtotal]]/12</f>
        <v>274704.66666666669</v>
      </c>
    </row>
    <row r="1110" spans="1:19" x14ac:dyDescent="0.2">
      <c r="A1110" s="4">
        <v>372</v>
      </c>
      <c r="B1110" s="2">
        <v>3288648</v>
      </c>
      <c r="C1110" s="2">
        <v>0</v>
      </c>
      <c r="D1110" s="4" t="s">
        <v>3429</v>
      </c>
      <c r="E1110" s="2">
        <v>3288648</v>
      </c>
      <c r="F1110" s="2">
        <v>624843.12</v>
      </c>
      <c r="G1110" s="2">
        <v>0</v>
      </c>
      <c r="H1110" s="4">
        <v>0</v>
      </c>
      <c r="I1110" s="4">
        <v>0</v>
      </c>
      <c r="J1110" s="4">
        <v>0</v>
      </c>
      <c r="K1110" s="4">
        <v>3913491.12</v>
      </c>
      <c r="L1110" s="4" t="s">
        <v>3427</v>
      </c>
      <c r="M1110" s="4" t="s">
        <v>3428</v>
      </c>
      <c r="N1110" s="4" t="s">
        <v>20</v>
      </c>
      <c r="O1110" s="4" t="s">
        <v>1157</v>
      </c>
      <c r="P1110" s="4" t="s">
        <v>1157</v>
      </c>
      <c r="Q1110" s="8" t="s">
        <v>100</v>
      </c>
      <c r="R1110" s="9">
        <f t="shared" si="18"/>
        <v>5.7695128211760635E-5</v>
      </c>
      <c r="S1110" s="55">
        <f>Tabla3[[#This Row],[Subtotal]]/12</f>
        <v>274054</v>
      </c>
    </row>
    <row r="1111" spans="1:19" x14ac:dyDescent="0.2">
      <c r="A1111" s="4">
        <v>355</v>
      </c>
      <c r="B1111" s="2">
        <v>3277677</v>
      </c>
      <c r="C1111" s="2">
        <v>0</v>
      </c>
      <c r="D1111" s="4" t="s">
        <v>3432</v>
      </c>
      <c r="E1111" s="2">
        <v>3277677</v>
      </c>
      <c r="F1111" s="2">
        <v>622758.63</v>
      </c>
      <c r="G1111" s="2">
        <v>81941.929999999993</v>
      </c>
      <c r="H1111" s="4">
        <v>0</v>
      </c>
      <c r="I1111" s="4">
        <v>0</v>
      </c>
      <c r="J1111" s="4">
        <v>81941.929999999993</v>
      </c>
      <c r="K1111" s="4">
        <v>3818493.7</v>
      </c>
      <c r="L1111" s="4" t="s">
        <v>3430</v>
      </c>
      <c r="M1111" s="4" t="s">
        <v>3431</v>
      </c>
      <c r="N1111" s="4" t="s">
        <v>3433</v>
      </c>
      <c r="O1111" s="4" t="s">
        <v>2025</v>
      </c>
      <c r="P1111" s="4" t="s">
        <v>2025</v>
      </c>
      <c r="Q1111" s="8" t="s">
        <v>100</v>
      </c>
      <c r="R1111" s="9">
        <f t="shared" si="18"/>
        <v>5.7502656031213727E-5</v>
      </c>
      <c r="S1111" s="55">
        <f>Tabla3[[#This Row],[Subtotal]]/12</f>
        <v>273139.75</v>
      </c>
    </row>
    <row r="1112" spans="1:19" x14ac:dyDescent="0.2">
      <c r="A1112" s="4">
        <v>1673</v>
      </c>
      <c r="B1112" s="2">
        <v>3258363.6</v>
      </c>
      <c r="C1112" s="2">
        <v>0</v>
      </c>
      <c r="D1112" s="4" t="s">
        <v>3436</v>
      </c>
      <c r="E1112" s="2">
        <v>3258363.6</v>
      </c>
      <c r="F1112" s="2">
        <v>619089.07999999996</v>
      </c>
      <c r="G1112" s="2">
        <v>0</v>
      </c>
      <c r="H1112" s="4">
        <v>0</v>
      </c>
      <c r="I1112" s="4">
        <v>0</v>
      </c>
      <c r="J1112" s="4">
        <v>0</v>
      </c>
      <c r="K1112" s="4">
        <v>3877452.68</v>
      </c>
      <c r="L1112" s="4" t="s">
        <v>3434</v>
      </c>
      <c r="M1112" s="4" t="s">
        <v>3435</v>
      </c>
      <c r="N1112" s="4" t="s">
        <v>20</v>
      </c>
      <c r="O1112" s="4" t="s">
        <v>900</v>
      </c>
      <c r="P1112" s="4" t="s">
        <v>900</v>
      </c>
      <c r="Q1112" s="8" t="s">
        <v>144</v>
      </c>
      <c r="R1112" s="9">
        <f t="shared" si="18"/>
        <v>5.716382709932287E-5</v>
      </c>
      <c r="S1112" s="55">
        <f>Tabla3[[#This Row],[Subtotal]]/12</f>
        <v>271530.3</v>
      </c>
    </row>
    <row r="1113" spans="1:19" x14ac:dyDescent="0.2">
      <c r="A1113" s="4">
        <v>1370</v>
      </c>
      <c r="B1113" s="2">
        <v>3251049</v>
      </c>
      <c r="C1113" s="2">
        <v>0</v>
      </c>
      <c r="D1113" s="4" t="s">
        <v>3439</v>
      </c>
      <c r="E1113" s="2">
        <v>3251049</v>
      </c>
      <c r="F1113" s="2">
        <v>617699.31000000006</v>
      </c>
      <c r="G1113" s="2">
        <v>0</v>
      </c>
      <c r="H1113" s="4">
        <v>0</v>
      </c>
      <c r="I1113" s="4">
        <v>0</v>
      </c>
      <c r="J1113" s="4">
        <v>0</v>
      </c>
      <c r="K1113" s="4">
        <v>3868748.31</v>
      </c>
      <c r="L1113" s="4" t="s">
        <v>3437</v>
      </c>
      <c r="M1113" s="4" t="s">
        <v>3438</v>
      </c>
      <c r="N1113" s="4" t="s">
        <v>272</v>
      </c>
      <c r="O1113" s="4" t="s">
        <v>89</v>
      </c>
      <c r="P1113" s="4" t="s">
        <v>89</v>
      </c>
      <c r="Q1113" s="8" t="s">
        <v>100</v>
      </c>
      <c r="R1113" s="9">
        <f t="shared" si="18"/>
        <v>5.7035501786058043E-5</v>
      </c>
      <c r="S1113" s="55">
        <f>Tabla3[[#This Row],[Subtotal]]/12</f>
        <v>270920.75</v>
      </c>
    </row>
    <row r="1114" spans="1:19" x14ac:dyDescent="0.2">
      <c r="A1114" s="4">
        <v>1507</v>
      </c>
      <c r="B1114" s="2">
        <v>3247544</v>
      </c>
      <c r="C1114" s="2">
        <v>0</v>
      </c>
      <c r="D1114" s="4" t="s">
        <v>3442</v>
      </c>
      <c r="E1114" s="2">
        <v>3247544</v>
      </c>
      <c r="F1114" s="2">
        <v>617033.36</v>
      </c>
      <c r="G1114" s="2">
        <v>0</v>
      </c>
      <c r="H1114" s="4">
        <v>0</v>
      </c>
      <c r="I1114" s="4">
        <v>0</v>
      </c>
      <c r="J1114" s="4">
        <v>0</v>
      </c>
      <c r="K1114" s="4">
        <v>3864577.36</v>
      </c>
      <c r="L1114" s="4" t="s">
        <v>3440</v>
      </c>
      <c r="M1114" s="4" t="s">
        <v>3441</v>
      </c>
      <c r="N1114" s="4" t="s">
        <v>20</v>
      </c>
      <c r="O1114" s="4" t="s">
        <v>1157</v>
      </c>
      <c r="P1114" s="4" t="s">
        <v>1157</v>
      </c>
      <c r="Q1114" s="8" t="s">
        <v>100</v>
      </c>
      <c r="R1114" s="9">
        <f t="shared" si="18"/>
        <v>5.6974011038376255E-5</v>
      </c>
      <c r="S1114" s="55">
        <f>Tabla3[[#This Row],[Subtotal]]/12</f>
        <v>270628.66666666669</v>
      </c>
    </row>
    <row r="1115" spans="1:19" x14ac:dyDescent="0.2">
      <c r="A1115" s="4">
        <v>1208</v>
      </c>
      <c r="B1115" s="2">
        <v>3235058</v>
      </c>
      <c r="C1115" s="2">
        <v>0</v>
      </c>
      <c r="D1115" s="4" t="s">
        <v>3445</v>
      </c>
      <c r="E1115" s="2">
        <v>3235058</v>
      </c>
      <c r="F1115" s="2">
        <v>614661.02</v>
      </c>
      <c r="G1115" s="2">
        <v>0</v>
      </c>
      <c r="H1115" s="4">
        <v>0</v>
      </c>
      <c r="I1115" s="4">
        <v>0</v>
      </c>
      <c r="J1115" s="4">
        <v>0</v>
      </c>
      <c r="K1115" s="4">
        <v>3849719.02</v>
      </c>
      <c r="L1115" s="4" t="s">
        <v>3443</v>
      </c>
      <c r="M1115" s="4" t="s">
        <v>3444</v>
      </c>
      <c r="N1115" s="4" t="s">
        <v>124</v>
      </c>
      <c r="O1115" s="4" t="s">
        <v>33</v>
      </c>
      <c r="P1115" s="4" t="s">
        <v>33</v>
      </c>
      <c r="Q1115" s="8" t="s">
        <v>100</v>
      </c>
      <c r="R1115" s="9">
        <f t="shared" si="18"/>
        <v>5.6754960118103835E-5</v>
      </c>
      <c r="S1115" s="55">
        <f>Tabla3[[#This Row],[Subtotal]]/12</f>
        <v>269588.16666666669</v>
      </c>
    </row>
    <row r="1116" spans="1:19" x14ac:dyDescent="0.2">
      <c r="A1116" s="4">
        <v>1441</v>
      </c>
      <c r="B1116" s="2">
        <v>3233845</v>
      </c>
      <c r="C1116" s="2">
        <v>0</v>
      </c>
      <c r="D1116" s="4" t="s">
        <v>3448</v>
      </c>
      <c r="E1116" s="2">
        <v>3233845</v>
      </c>
      <c r="F1116" s="2">
        <v>614430.55000000005</v>
      </c>
      <c r="G1116" s="2">
        <v>0</v>
      </c>
      <c r="H1116" s="4">
        <v>0</v>
      </c>
      <c r="I1116" s="4">
        <v>0</v>
      </c>
      <c r="J1116" s="4">
        <v>0</v>
      </c>
      <c r="K1116" s="4">
        <v>3848275.55</v>
      </c>
      <c r="L1116" s="4" t="s">
        <v>3446</v>
      </c>
      <c r="M1116" s="4" t="s">
        <v>3447</v>
      </c>
      <c r="N1116" s="4" t="s">
        <v>1273</v>
      </c>
      <c r="O1116" s="4" t="s">
        <v>2025</v>
      </c>
      <c r="P1116" s="4" t="s">
        <v>1039</v>
      </c>
      <c r="Q1116" s="8" t="s">
        <v>100</v>
      </c>
      <c r="R1116" s="9">
        <f t="shared" si="18"/>
        <v>5.673367958260084E-5</v>
      </c>
      <c r="S1116" s="55">
        <f>Tabla3[[#This Row],[Subtotal]]/12</f>
        <v>269487.08333333331</v>
      </c>
    </row>
    <row r="1117" spans="1:19" x14ac:dyDescent="0.2">
      <c r="A1117" s="4">
        <v>993</v>
      </c>
      <c r="B1117" s="2">
        <v>3222608</v>
      </c>
      <c r="C1117" s="2">
        <v>0</v>
      </c>
      <c r="D1117" s="4" t="s">
        <v>3451</v>
      </c>
      <c r="E1117" s="2">
        <v>3222608</v>
      </c>
      <c r="F1117" s="2">
        <v>612295.52</v>
      </c>
      <c r="G1117" s="2">
        <v>80565.2</v>
      </c>
      <c r="H1117" s="4">
        <v>0</v>
      </c>
      <c r="I1117" s="4">
        <v>0</v>
      </c>
      <c r="J1117" s="4">
        <v>80565.2</v>
      </c>
      <c r="K1117" s="4">
        <v>3754338.32</v>
      </c>
      <c r="L1117" s="4" t="s">
        <v>3449</v>
      </c>
      <c r="M1117" s="4" t="s">
        <v>3450</v>
      </c>
      <c r="N1117" s="4" t="s">
        <v>32</v>
      </c>
      <c r="O1117" s="4" t="s">
        <v>1188</v>
      </c>
      <c r="P1117" s="4" t="s">
        <v>1188</v>
      </c>
      <c r="Q1117" s="8" t="s">
        <v>100</v>
      </c>
      <c r="R1117" s="9">
        <f t="shared" si="18"/>
        <v>5.6536540771844698E-5</v>
      </c>
      <c r="S1117" s="55">
        <f>Tabla3[[#This Row],[Subtotal]]/12</f>
        <v>268550.66666666669</v>
      </c>
    </row>
    <row r="1118" spans="1:19" x14ac:dyDescent="0.2">
      <c r="A1118" s="4">
        <v>681</v>
      </c>
      <c r="B1118" s="2">
        <v>3210120</v>
      </c>
      <c r="C1118" s="2">
        <v>0</v>
      </c>
      <c r="D1118" s="4" t="s">
        <v>3454</v>
      </c>
      <c r="E1118" s="2">
        <v>3210120</v>
      </c>
      <c r="F1118" s="2">
        <v>609922.80000000005</v>
      </c>
      <c r="G1118" s="2">
        <v>80253</v>
      </c>
      <c r="H1118" s="4">
        <v>0</v>
      </c>
      <c r="I1118" s="4">
        <v>0</v>
      </c>
      <c r="J1118" s="4">
        <v>80253</v>
      </c>
      <c r="K1118" s="4">
        <v>3739789.8</v>
      </c>
      <c r="L1118" s="4" t="s">
        <v>3452</v>
      </c>
      <c r="M1118" s="4" t="s">
        <v>3453</v>
      </c>
      <c r="N1118" s="4" t="s">
        <v>20</v>
      </c>
      <c r="O1118" s="4" t="s">
        <v>257</v>
      </c>
      <c r="P1118" s="4" t="s">
        <v>257</v>
      </c>
      <c r="Q1118" s="8" t="s">
        <v>100</v>
      </c>
      <c r="R1118" s="9">
        <f t="shared" si="18"/>
        <v>5.6317454764127102E-5</v>
      </c>
      <c r="S1118" s="55">
        <f>Tabla3[[#This Row],[Subtotal]]/12</f>
        <v>267510</v>
      </c>
    </row>
    <row r="1119" spans="1:19" x14ac:dyDescent="0.2">
      <c r="A1119" s="4">
        <v>939</v>
      </c>
      <c r="B1119" s="2">
        <v>3207320</v>
      </c>
      <c r="C1119" s="2">
        <v>0</v>
      </c>
      <c r="D1119" s="4" t="s">
        <v>3457</v>
      </c>
      <c r="E1119" s="2">
        <v>3207320</v>
      </c>
      <c r="F1119" s="2">
        <v>609390.80000000005</v>
      </c>
      <c r="G1119" s="2">
        <v>0</v>
      </c>
      <c r="H1119" s="4">
        <v>0</v>
      </c>
      <c r="I1119" s="4">
        <v>0</v>
      </c>
      <c r="J1119" s="4">
        <v>0</v>
      </c>
      <c r="K1119" s="4">
        <v>3816710.8</v>
      </c>
      <c r="L1119" s="4" t="s">
        <v>3455</v>
      </c>
      <c r="M1119" s="4" t="s">
        <v>3456</v>
      </c>
      <c r="N1119" s="4" t="s">
        <v>332</v>
      </c>
      <c r="O1119" s="4" t="s">
        <v>1127</v>
      </c>
      <c r="P1119" s="4" t="s">
        <v>1127</v>
      </c>
      <c r="Q1119" s="8" t="s">
        <v>100</v>
      </c>
      <c r="R1119" s="9">
        <f t="shared" si="18"/>
        <v>5.626833234087203E-5</v>
      </c>
      <c r="S1119" s="55">
        <f>Tabla3[[#This Row],[Subtotal]]/12</f>
        <v>267276.66666666669</v>
      </c>
    </row>
    <row r="1120" spans="1:19" x14ac:dyDescent="0.2">
      <c r="A1120" s="4">
        <v>670</v>
      </c>
      <c r="B1120" s="2">
        <v>3188471</v>
      </c>
      <c r="C1120" s="2">
        <v>0</v>
      </c>
      <c r="D1120" s="4" t="s">
        <v>3459</v>
      </c>
      <c r="E1120" s="2">
        <v>3188471</v>
      </c>
      <c r="F1120" s="2">
        <v>605809.49</v>
      </c>
      <c r="G1120" s="2">
        <v>0</v>
      </c>
      <c r="H1120" s="4">
        <v>0</v>
      </c>
      <c r="I1120" s="4">
        <v>0</v>
      </c>
      <c r="J1120" s="4">
        <v>0</v>
      </c>
      <c r="K1120" s="4">
        <v>3794280.49</v>
      </c>
      <c r="L1120" s="4" t="s">
        <v>3458</v>
      </c>
      <c r="M1120" s="4" t="s">
        <v>1930</v>
      </c>
      <c r="N1120" s="4" t="s">
        <v>3460</v>
      </c>
      <c r="O1120" s="4" t="s">
        <v>89</v>
      </c>
      <c r="P1120" s="4" t="s">
        <v>89</v>
      </c>
      <c r="Q1120" s="8" t="s">
        <v>28</v>
      </c>
      <c r="R1120" s="9">
        <f t="shared" si="18"/>
        <v>5.5937650713752477E-5</v>
      </c>
      <c r="S1120" s="55">
        <f>Tabla3[[#This Row],[Subtotal]]/12</f>
        <v>265705.91666666669</v>
      </c>
    </row>
    <row r="1121" spans="1:19" x14ac:dyDescent="0.2">
      <c r="A1121" s="4">
        <v>860</v>
      </c>
      <c r="B1121" s="2">
        <v>3181079</v>
      </c>
      <c r="C1121" s="2">
        <v>0</v>
      </c>
      <c r="D1121" s="4" t="s">
        <v>3463</v>
      </c>
      <c r="E1121" s="2">
        <v>3181079</v>
      </c>
      <c r="F1121" s="2">
        <v>604405.01</v>
      </c>
      <c r="G1121" s="2">
        <v>0</v>
      </c>
      <c r="H1121" s="4">
        <v>0</v>
      </c>
      <c r="I1121" s="4">
        <v>0</v>
      </c>
      <c r="J1121" s="4">
        <v>0</v>
      </c>
      <c r="K1121" s="4">
        <v>3785484.01</v>
      </c>
      <c r="L1121" s="4" t="s">
        <v>3461</v>
      </c>
      <c r="M1121" s="4" t="s">
        <v>3462</v>
      </c>
      <c r="N1121" s="4" t="s">
        <v>3464</v>
      </c>
      <c r="O1121" s="4" t="s">
        <v>229</v>
      </c>
      <c r="P1121" s="4" t="s">
        <v>229</v>
      </c>
      <c r="Q1121" s="8" t="s">
        <v>100</v>
      </c>
      <c r="R1121" s="9">
        <f t="shared" si="18"/>
        <v>5.5807967516359099E-5</v>
      </c>
      <c r="S1121" s="55">
        <f>Tabla3[[#This Row],[Subtotal]]/12</f>
        <v>265089.91666666669</v>
      </c>
    </row>
    <row r="1122" spans="1:19" x14ac:dyDescent="0.2">
      <c r="A1122" s="4">
        <v>592</v>
      </c>
      <c r="B1122" s="2">
        <v>3174714</v>
      </c>
      <c r="C1122" s="2">
        <v>0</v>
      </c>
      <c r="D1122" s="4" t="s">
        <v>3467</v>
      </c>
      <c r="E1122" s="2">
        <v>3174714</v>
      </c>
      <c r="F1122" s="2">
        <v>603195.66</v>
      </c>
      <c r="G1122" s="2">
        <v>49972.35</v>
      </c>
      <c r="H1122" s="4">
        <v>0</v>
      </c>
      <c r="I1122" s="4">
        <v>0</v>
      </c>
      <c r="J1122" s="4">
        <v>49972.35</v>
      </c>
      <c r="K1122" s="4">
        <v>3727937.31</v>
      </c>
      <c r="L1122" s="4" t="s">
        <v>3465</v>
      </c>
      <c r="M1122" s="4" t="s">
        <v>3466</v>
      </c>
      <c r="N1122" s="4" t="s">
        <v>142</v>
      </c>
      <c r="O1122" s="4" t="s">
        <v>340</v>
      </c>
      <c r="P1122" s="4" t="s">
        <v>340</v>
      </c>
      <c r="Q1122" s="8" t="s">
        <v>100</v>
      </c>
      <c r="R1122" s="9">
        <f t="shared" si="18"/>
        <v>5.5696301722066775E-5</v>
      </c>
      <c r="S1122" s="55">
        <f>Tabla3[[#This Row],[Subtotal]]/12</f>
        <v>264559.5</v>
      </c>
    </row>
    <row r="1123" spans="1:19" x14ac:dyDescent="0.2">
      <c r="A1123" s="4">
        <v>1569</v>
      </c>
      <c r="B1123" s="2">
        <v>3166851</v>
      </c>
      <c r="C1123" s="2">
        <v>0</v>
      </c>
      <c r="D1123" s="4" t="s">
        <v>3470</v>
      </c>
      <c r="E1123" s="2">
        <v>3166851</v>
      </c>
      <c r="F1123" s="2">
        <v>601701.68999999994</v>
      </c>
      <c r="G1123" s="2">
        <v>0</v>
      </c>
      <c r="H1123" s="4">
        <v>0</v>
      </c>
      <c r="I1123" s="4">
        <v>0</v>
      </c>
      <c r="J1123" s="4">
        <v>0</v>
      </c>
      <c r="K1123" s="4">
        <v>3768552.69</v>
      </c>
      <c r="L1123" s="4" t="s">
        <v>3468</v>
      </c>
      <c r="M1123" s="4" t="s">
        <v>3469</v>
      </c>
      <c r="N1123" s="4" t="s">
        <v>20</v>
      </c>
      <c r="O1123" s="4" t="s">
        <v>692</v>
      </c>
      <c r="P1123" s="4" t="s">
        <v>692</v>
      </c>
      <c r="Q1123" s="8" t="s">
        <v>100</v>
      </c>
      <c r="R1123" s="9">
        <f t="shared" si="18"/>
        <v>5.5558355431332992E-5</v>
      </c>
      <c r="S1123" s="55">
        <f>Tabla3[[#This Row],[Subtotal]]/12</f>
        <v>263904.25</v>
      </c>
    </row>
    <row r="1124" spans="1:19" x14ac:dyDescent="0.2">
      <c r="A1124" s="4">
        <v>962</v>
      </c>
      <c r="B1124" s="2">
        <v>3164472</v>
      </c>
      <c r="C1124" s="2">
        <v>0</v>
      </c>
      <c r="D1124" s="4" t="s">
        <v>3473</v>
      </c>
      <c r="E1124" s="2">
        <v>3164472</v>
      </c>
      <c r="F1124" s="2">
        <v>601249.68000000005</v>
      </c>
      <c r="G1124" s="2">
        <v>0</v>
      </c>
      <c r="H1124" s="4">
        <v>0</v>
      </c>
      <c r="I1124" s="4">
        <v>0</v>
      </c>
      <c r="J1124" s="4">
        <v>0</v>
      </c>
      <c r="K1124" s="4">
        <v>3765721.68</v>
      </c>
      <c r="L1124" s="4" t="s">
        <v>3471</v>
      </c>
      <c r="M1124" s="4" t="s">
        <v>3472</v>
      </c>
      <c r="N1124" s="4" t="s">
        <v>20</v>
      </c>
      <c r="O1124" s="4" t="s">
        <v>2863</v>
      </c>
      <c r="P1124" s="4" t="s">
        <v>2863</v>
      </c>
      <c r="Q1124" s="8" t="s">
        <v>100</v>
      </c>
      <c r="R1124" s="9">
        <f t="shared" si="18"/>
        <v>5.5516618915288779E-5</v>
      </c>
      <c r="S1124" s="55">
        <f>Tabla3[[#This Row],[Subtotal]]/12</f>
        <v>263706</v>
      </c>
    </row>
    <row r="1125" spans="1:19" x14ac:dyDescent="0.2">
      <c r="A1125" s="4">
        <v>954</v>
      </c>
      <c r="B1125" s="2">
        <v>3145267</v>
      </c>
      <c r="C1125" s="2">
        <v>0</v>
      </c>
      <c r="D1125" s="4" t="s">
        <v>3476</v>
      </c>
      <c r="E1125" s="2">
        <v>3145267</v>
      </c>
      <c r="F1125" s="2">
        <v>597600.73</v>
      </c>
      <c r="G1125" s="2">
        <v>78631.679999999993</v>
      </c>
      <c r="H1125" s="4">
        <v>0</v>
      </c>
      <c r="I1125" s="4">
        <v>0</v>
      </c>
      <c r="J1125" s="4">
        <v>78631.679999999993</v>
      </c>
      <c r="K1125" s="4">
        <v>3664236.05</v>
      </c>
      <c r="L1125" s="4" t="s">
        <v>3474</v>
      </c>
      <c r="M1125" s="4" t="s">
        <v>3475</v>
      </c>
      <c r="N1125" s="4" t="s">
        <v>20</v>
      </c>
      <c r="O1125" s="4" t="s">
        <v>386</v>
      </c>
      <c r="P1125" s="4" t="s">
        <v>386</v>
      </c>
      <c r="Q1125" s="8" t="s">
        <v>1378</v>
      </c>
      <c r="R1125" s="9">
        <f t="shared" si="18"/>
        <v>5.5179691722926789E-5</v>
      </c>
      <c r="S1125" s="55">
        <f>Tabla3[[#This Row],[Subtotal]]/12</f>
        <v>262105.58333333334</v>
      </c>
    </row>
    <row r="1126" spans="1:19" x14ac:dyDescent="0.2">
      <c r="A1126" s="4">
        <v>516</v>
      </c>
      <c r="B1126" s="2">
        <v>3129867</v>
      </c>
      <c r="C1126" s="2">
        <v>0</v>
      </c>
      <c r="D1126" s="4" t="s">
        <v>3479</v>
      </c>
      <c r="E1126" s="2">
        <v>3129867</v>
      </c>
      <c r="F1126" s="2">
        <v>594674.73</v>
      </c>
      <c r="G1126" s="2">
        <v>78246.679999999993</v>
      </c>
      <c r="H1126" s="4">
        <v>0</v>
      </c>
      <c r="I1126" s="4">
        <v>0</v>
      </c>
      <c r="J1126" s="4">
        <v>78246.679999999993</v>
      </c>
      <c r="K1126" s="4">
        <v>3646295.05</v>
      </c>
      <c r="L1126" s="4" t="s">
        <v>3477</v>
      </c>
      <c r="M1126" s="4" t="s">
        <v>3478</v>
      </c>
      <c r="N1126" s="4" t="s">
        <v>20</v>
      </c>
      <c r="O1126" s="4" t="s">
        <v>257</v>
      </c>
      <c r="P1126" s="4" t="s">
        <v>257</v>
      </c>
      <c r="Q1126" s="8" t="s">
        <v>100</v>
      </c>
      <c r="R1126" s="9">
        <f t="shared" si="18"/>
        <v>5.4909518395023921E-5</v>
      </c>
      <c r="S1126" s="55">
        <f>Tabla3[[#This Row],[Subtotal]]/12</f>
        <v>260822.25</v>
      </c>
    </row>
    <row r="1127" spans="1:19" x14ac:dyDescent="0.2">
      <c r="A1127" s="4">
        <v>669</v>
      </c>
      <c r="B1127" s="2">
        <v>3129035</v>
      </c>
      <c r="C1127" s="2">
        <v>0</v>
      </c>
      <c r="D1127" s="4" t="s">
        <v>3481</v>
      </c>
      <c r="E1127" s="2">
        <v>3129035</v>
      </c>
      <c r="F1127" s="2">
        <v>594516.65</v>
      </c>
      <c r="G1127" s="2">
        <v>0</v>
      </c>
      <c r="H1127" s="4">
        <v>0</v>
      </c>
      <c r="I1127" s="4">
        <v>0</v>
      </c>
      <c r="J1127" s="4">
        <v>0</v>
      </c>
      <c r="K1127" s="4">
        <v>3723551.65</v>
      </c>
      <c r="L1127" s="4" t="s">
        <v>3480</v>
      </c>
      <c r="M1127" s="4" t="s">
        <v>1930</v>
      </c>
      <c r="N1127" s="4" t="s">
        <v>3482</v>
      </c>
      <c r="O1127" s="4" t="s">
        <v>89</v>
      </c>
      <c r="P1127" s="4" t="s">
        <v>89</v>
      </c>
      <c r="Q1127" s="8" t="s">
        <v>28</v>
      </c>
      <c r="R1127" s="9">
        <f t="shared" si="18"/>
        <v>5.4894922017828128E-5</v>
      </c>
      <c r="S1127" s="55">
        <f>Tabla3[[#This Row],[Subtotal]]/12</f>
        <v>260752.91666666666</v>
      </c>
    </row>
    <row r="1128" spans="1:19" x14ac:dyDescent="0.2">
      <c r="A1128" s="4">
        <v>969</v>
      </c>
      <c r="B1128" s="2">
        <v>3128860</v>
      </c>
      <c r="C1128" s="2">
        <v>0</v>
      </c>
      <c r="D1128" s="4" t="s">
        <v>3485</v>
      </c>
      <c r="E1128" s="2">
        <v>3128860</v>
      </c>
      <c r="F1128" s="2">
        <v>594483.4</v>
      </c>
      <c r="G1128" s="2">
        <v>78221.5</v>
      </c>
      <c r="H1128" s="4">
        <v>0</v>
      </c>
      <c r="I1128" s="4">
        <v>0</v>
      </c>
      <c r="J1128" s="4">
        <v>78221.5</v>
      </c>
      <c r="K1128" s="4">
        <v>3645121.9</v>
      </c>
      <c r="L1128" s="4" t="s">
        <v>3483</v>
      </c>
      <c r="M1128" s="4" t="s">
        <v>3484</v>
      </c>
      <c r="N1128" s="4" t="s">
        <v>172</v>
      </c>
      <c r="O1128" s="4" t="s">
        <v>173</v>
      </c>
      <c r="P1128" s="4" t="s">
        <v>173</v>
      </c>
      <c r="Q1128" s="8" t="s">
        <v>100</v>
      </c>
      <c r="R1128" s="9">
        <f t="shared" si="18"/>
        <v>5.4891851866374688E-5</v>
      </c>
      <c r="S1128" s="55">
        <f>Tabla3[[#This Row],[Subtotal]]/12</f>
        <v>260738.33333333334</v>
      </c>
    </row>
    <row r="1129" spans="1:19" x14ac:dyDescent="0.2">
      <c r="A1129" s="4">
        <v>161</v>
      </c>
      <c r="B1129" s="2">
        <v>3119120</v>
      </c>
      <c r="C1129" s="2">
        <v>0</v>
      </c>
      <c r="D1129" s="4" t="s">
        <v>3488</v>
      </c>
      <c r="E1129" s="2">
        <v>3119120</v>
      </c>
      <c r="F1129" s="2">
        <v>592632.80000000005</v>
      </c>
      <c r="G1129" s="2">
        <v>0</v>
      </c>
      <c r="H1129" s="4">
        <v>0</v>
      </c>
      <c r="I1129" s="4">
        <v>0</v>
      </c>
      <c r="J1129" s="4">
        <v>0</v>
      </c>
      <c r="K1129" s="4">
        <v>3711752.8</v>
      </c>
      <c r="L1129" s="4" t="s">
        <v>3486</v>
      </c>
      <c r="M1129" s="4" t="s">
        <v>3487</v>
      </c>
      <c r="N1129" s="4" t="s">
        <v>746</v>
      </c>
      <c r="O1129" s="4" t="s">
        <v>747</v>
      </c>
      <c r="P1129" s="4" t="s">
        <v>747</v>
      </c>
      <c r="Q1129" s="8" t="s">
        <v>100</v>
      </c>
      <c r="R1129" s="9">
        <f t="shared" si="18"/>
        <v>5.4720976008337421E-5</v>
      </c>
      <c r="S1129" s="55">
        <f>Tabla3[[#This Row],[Subtotal]]/12</f>
        <v>259926.66666666666</v>
      </c>
    </row>
    <row r="1130" spans="1:19" x14ac:dyDescent="0.2">
      <c r="A1130" s="4">
        <v>715</v>
      </c>
      <c r="B1130" s="2">
        <v>3094540</v>
      </c>
      <c r="C1130" s="2">
        <v>0</v>
      </c>
      <c r="D1130" s="4" t="s">
        <v>3491</v>
      </c>
      <c r="E1130" s="2">
        <v>3094540</v>
      </c>
      <c r="F1130" s="2">
        <v>587962.6</v>
      </c>
      <c r="G1130" s="2">
        <v>0</v>
      </c>
      <c r="H1130" s="4">
        <v>0</v>
      </c>
      <c r="I1130" s="4">
        <v>0</v>
      </c>
      <c r="J1130" s="4">
        <v>0</v>
      </c>
      <c r="K1130" s="4">
        <v>3682502.6</v>
      </c>
      <c r="L1130" s="4" t="s">
        <v>3489</v>
      </c>
      <c r="M1130" s="4" t="s">
        <v>3490</v>
      </c>
      <c r="N1130" s="4" t="s">
        <v>20</v>
      </c>
      <c r="O1130" s="4" t="s">
        <v>316</v>
      </c>
      <c r="P1130" s="4" t="s">
        <v>1039</v>
      </c>
      <c r="Q1130" s="8" t="s">
        <v>100</v>
      </c>
      <c r="R1130" s="9">
        <f t="shared" si="18"/>
        <v>5.4289751307048294E-5</v>
      </c>
      <c r="S1130" s="55">
        <f>Tabla3[[#This Row],[Subtotal]]/12</f>
        <v>257878.33333333334</v>
      </c>
    </row>
    <row r="1131" spans="1:19" x14ac:dyDescent="0.2">
      <c r="A1131" s="4">
        <v>1499</v>
      </c>
      <c r="B1131" s="2">
        <v>3086226</v>
      </c>
      <c r="C1131" s="2">
        <v>0</v>
      </c>
      <c r="D1131" s="4" t="s">
        <v>3494</v>
      </c>
      <c r="E1131" s="2">
        <v>3086226</v>
      </c>
      <c r="F1131" s="2">
        <v>586382.93999999994</v>
      </c>
      <c r="G1131" s="2">
        <v>0</v>
      </c>
      <c r="H1131" s="4">
        <v>0</v>
      </c>
      <c r="I1131" s="4">
        <v>0</v>
      </c>
      <c r="J1131" s="4">
        <v>0</v>
      </c>
      <c r="K1131" s="4">
        <v>3672608.94</v>
      </c>
      <c r="L1131" s="4" t="s">
        <v>3492</v>
      </c>
      <c r="M1131" s="4" t="s">
        <v>3493</v>
      </c>
      <c r="N1131" s="4" t="s">
        <v>1107</v>
      </c>
      <c r="O1131" s="4" t="s">
        <v>89</v>
      </c>
      <c r="P1131" s="4" t="s">
        <v>89</v>
      </c>
      <c r="Q1131" s="8" t="s">
        <v>100</v>
      </c>
      <c r="R1131" s="9">
        <f t="shared" si="18"/>
        <v>5.4143892797425927E-5</v>
      </c>
      <c r="S1131" s="55">
        <f>Tabla3[[#This Row],[Subtotal]]/12</f>
        <v>257185.5</v>
      </c>
    </row>
    <row r="1132" spans="1:19" x14ac:dyDescent="0.2">
      <c r="A1132" s="4">
        <v>1029</v>
      </c>
      <c r="B1132" s="2">
        <v>3079925</v>
      </c>
      <c r="C1132" s="2">
        <v>0</v>
      </c>
      <c r="D1132" s="4" t="s">
        <v>3496</v>
      </c>
      <c r="E1132" s="2">
        <v>3079925</v>
      </c>
      <c r="F1132" s="2">
        <v>585185.75</v>
      </c>
      <c r="G1132" s="2">
        <v>36446.300000000003</v>
      </c>
      <c r="H1132" s="4">
        <v>87777.86</v>
      </c>
      <c r="I1132" s="4">
        <v>8747.11</v>
      </c>
      <c r="J1132" s="4">
        <v>132971.26999999999</v>
      </c>
      <c r="K1132" s="4">
        <v>3532139.48</v>
      </c>
      <c r="L1132" s="4" t="s">
        <v>3495</v>
      </c>
      <c r="M1132" s="4" t="s">
        <v>178</v>
      </c>
      <c r="N1132" s="4" t="s">
        <v>20</v>
      </c>
      <c r="O1132" s="4" t="s">
        <v>1043</v>
      </c>
      <c r="P1132" s="4" t="s">
        <v>1043</v>
      </c>
      <c r="Q1132" s="8" t="s">
        <v>28</v>
      </c>
      <c r="R1132" s="9">
        <f t="shared" si="18"/>
        <v>5.4033349801379434E-5</v>
      </c>
      <c r="S1132" s="55">
        <f>Tabla3[[#This Row],[Subtotal]]/12</f>
        <v>256660.41666666666</v>
      </c>
    </row>
    <row r="1133" spans="1:19" x14ac:dyDescent="0.2">
      <c r="A1133" s="4">
        <v>217</v>
      </c>
      <c r="B1133" s="2">
        <v>3074415</v>
      </c>
      <c r="C1133" s="2">
        <v>0</v>
      </c>
      <c r="D1133" s="4" t="s">
        <v>3499</v>
      </c>
      <c r="E1133" s="2">
        <v>3074415</v>
      </c>
      <c r="F1133" s="2">
        <v>584138.85</v>
      </c>
      <c r="G1133" s="2">
        <v>68079.38</v>
      </c>
      <c r="H1133" s="4">
        <v>0</v>
      </c>
      <c r="I1133" s="4">
        <v>0</v>
      </c>
      <c r="J1133" s="4">
        <v>68079.38</v>
      </c>
      <c r="K1133" s="4">
        <v>3590474.47</v>
      </c>
      <c r="L1133" s="4" t="s">
        <v>3497</v>
      </c>
      <c r="M1133" s="4" t="s">
        <v>3498</v>
      </c>
      <c r="N1133" s="4" t="s">
        <v>3500</v>
      </c>
      <c r="O1133" s="4" t="s">
        <v>2025</v>
      </c>
      <c r="P1133" s="4" t="s">
        <v>2025</v>
      </c>
      <c r="Q1133" s="8" t="s">
        <v>100</v>
      </c>
      <c r="R1133" s="9">
        <f t="shared" si="18"/>
        <v>5.3936683889902499E-5</v>
      </c>
      <c r="S1133" s="55">
        <f>Tabla3[[#This Row],[Subtotal]]/12</f>
        <v>256201.25</v>
      </c>
    </row>
    <row r="1134" spans="1:19" x14ac:dyDescent="0.2">
      <c r="A1134" s="4">
        <v>1165</v>
      </c>
      <c r="B1134" s="2">
        <v>3073657</v>
      </c>
      <c r="C1134" s="2">
        <v>0</v>
      </c>
      <c r="D1134" s="4" t="s">
        <v>3503</v>
      </c>
      <c r="E1134" s="2">
        <v>3073657</v>
      </c>
      <c r="F1134" s="2">
        <v>549794.82999999996</v>
      </c>
      <c r="G1134" s="2">
        <v>16957.88</v>
      </c>
      <c r="H1134" s="4">
        <v>0</v>
      </c>
      <c r="I1134" s="4">
        <v>0</v>
      </c>
      <c r="J1134" s="4">
        <v>16957.88</v>
      </c>
      <c r="K1134" s="4">
        <v>3606493.95</v>
      </c>
      <c r="L1134" s="4" t="s">
        <v>3501</v>
      </c>
      <c r="M1134" s="4" t="s">
        <v>3502</v>
      </c>
      <c r="N1134" s="4" t="s">
        <v>20</v>
      </c>
      <c r="O1134" s="4" t="s">
        <v>76</v>
      </c>
      <c r="P1134" s="4" t="s">
        <v>76</v>
      </c>
      <c r="Q1134" s="8" t="s">
        <v>585</v>
      </c>
      <c r="R1134" s="9">
        <f t="shared" si="18"/>
        <v>5.3923385748178448E-5</v>
      </c>
      <c r="S1134" s="55">
        <f>Tabla3[[#This Row],[Subtotal]]/12</f>
        <v>256138.08333333334</v>
      </c>
    </row>
    <row r="1135" spans="1:19" x14ac:dyDescent="0.2">
      <c r="A1135" s="4">
        <v>1558</v>
      </c>
      <c r="B1135" s="2">
        <v>3056236</v>
      </c>
      <c r="C1135" s="2">
        <v>0</v>
      </c>
      <c r="D1135" s="4" t="s">
        <v>3506</v>
      </c>
      <c r="E1135" s="2">
        <v>3056236</v>
      </c>
      <c r="F1135" s="2">
        <v>580684.84</v>
      </c>
      <c r="G1135" s="2">
        <v>0</v>
      </c>
      <c r="H1135" s="4">
        <v>0</v>
      </c>
      <c r="I1135" s="4">
        <v>0</v>
      </c>
      <c r="J1135" s="4">
        <v>0</v>
      </c>
      <c r="K1135" s="4">
        <v>3636920.84</v>
      </c>
      <c r="L1135" s="4" t="s">
        <v>3504</v>
      </c>
      <c r="M1135" s="4" t="s">
        <v>3505</v>
      </c>
      <c r="N1135" s="4" t="s">
        <v>20</v>
      </c>
      <c r="O1135" s="4" t="s">
        <v>257</v>
      </c>
      <c r="P1135" s="4" t="s">
        <v>257</v>
      </c>
      <c r="Q1135" s="8" t="s">
        <v>100</v>
      </c>
      <c r="R1135" s="9">
        <f t="shared" si="18"/>
        <v>5.3617756556918979E-5</v>
      </c>
      <c r="S1135" s="55">
        <f>Tabla3[[#This Row],[Subtotal]]/12</f>
        <v>254686.33333333334</v>
      </c>
    </row>
    <row r="1136" spans="1:19" x14ac:dyDescent="0.2">
      <c r="A1136" s="4">
        <v>818</v>
      </c>
      <c r="B1136" s="2">
        <v>3033961</v>
      </c>
      <c r="C1136" s="2">
        <v>0</v>
      </c>
      <c r="D1136" s="4" t="s">
        <v>3509</v>
      </c>
      <c r="E1136" s="2">
        <v>3033961</v>
      </c>
      <c r="F1136" s="2">
        <v>576452.59</v>
      </c>
      <c r="G1136" s="2">
        <v>0</v>
      </c>
      <c r="H1136" s="4">
        <v>0</v>
      </c>
      <c r="I1136" s="4">
        <v>0</v>
      </c>
      <c r="J1136" s="4">
        <v>0</v>
      </c>
      <c r="K1136" s="4">
        <v>3610413.59</v>
      </c>
      <c r="L1136" s="4" t="s">
        <v>3507</v>
      </c>
      <c r="M1136" s="4" t="s">
        <v>3508</v>
      </c>
      <c r="N1136" s="4" t="s">
        <v>20</v>
      </c>
      <c r="O1136" s="4" t="s">
        <v>540</v>
      </c>
      <c r="P1136" s="4" t="s">
        <v>540</v>
      </c>
      <c r="Q1136" s="8" t="s">
        <v>100</v>
      </c>
      <c r="R1136" s="9">
        <f t="shared" si="18"/>
        <v>5.322697013620233E-5</v>
      </c>
      <c r="S1136" s="55">
        <f>Tabla3[[#This Row],[Subtotal]]/12</f>
        <v>252830.08333333334</v>
      </c>
    </row>
    <row r="1137" spans="1:19" x14ac:dyDescent="0.2">
      <c r="A1137" s="4">
        <v>118</v>
      </c>
      <c r="B1137" s="2">
        <v>3022685</v>
      </c>
      <c r="C1137" s="2">
        <v>0</v>
      </c>
      <c r="D1137" s="4" t="s">
        <v>3512</v>
      </c>
      <c r="E1137" s="2">
        <v>3022685</v>
      </c>
      <c r="F1137" s="2">
        <v>574310.15</v>
      </c>
      <c r="G1137" s="2">
        <v>75567.13</v>
      </c>
      <c r="H1137" s="4">
        <v>0</v>
      </c>
      <c r="I1137" s="4">
        <v>0</v>
      </c>
      <c r="J1137" s="4">
        <v>75567.13</v>
      </c>
      <c r="K1137" s="4">
        <v>3521428.02</v>
      </c>
      <c r="L1137" s="4" t="s">
        <v>3510</v>
      </c>
      <c r="M1137" s="4" t="s">
        <v>3511</v>
      </c>
      <c r="N1137" s="4" t="s">
        <v>3513</v>
      </c>
      <c r="O1137" s="4" t="s">
        <v>382</v>
      </c>
      <c r="P1137" s="4" t="s">
        <v>382</v>
      </c>
      <c r="Q1137" s="8" t="s">
        <v>100</v>
      </c>
      <c r="R1137" s="9">
        <f t="shared" si="18"/>
        <v>5.3029147120265138E-5</v>
      </c>
      <c r="S1137" s="55">
        <f>Tabla3[[#This Row],[Subtotal]]/12</f>
        <v>251890.41666666666</v>
      </c>
    </row>
    <row r="1138" spans="1:19" x14ac:dyDescent="0.2">
      <c r="A1138" s="4">
        <v>1682</v>
      </c>
      <c r="B1138" s="2">
        <v>3016984</v>
      </c>
      <c r="C1138" s="2">
        <v>0</v>
      </c>
      <c r="D1138" s="4" t="s">
        <v>3516</v>
      </c>
      <c r="E1138" s="2">
        <v>3016984</v>
      </c>
      <c r="F1138" s="2">
        <v>573226.96</v>
      </c>
      <c r="G1138" s="2">
        <v>0</v>
      </c>
      <c r="H1138" s="4">
        <v>0</v>
      </c>
      <c r="I1138" s="4">
        <v>0</v>
      </c>
      <c r="J1138" s="4">
        <v>0</v>
      </c>
      <c r="K1138" s="4">
        <v>3590210.96</v>
      </c>
      <c r="L1138" s="4" t="s">
        <v>3514</v>
      </c>
      <c r="M1138" s="4" t="s">
        <v>3515</v>
      </c>
      <c r="N1138" s="4" t="s">
        <v>20</v>
      </c>
      <c r="O1138" s="4" t="s">
        <v>316</v>
      </c>
      <c r="P1138" s="4" t="s">
        <v>316</v>
      </c>
      <c r="Q1138" s="8" t="s">
        <v>100</v>
      </c>
      <c r="R1138" s="9">
        <f t="shared" si="18"/>
        <v>5.2929130357773303E-5</v>
      </c>
      <c r="S1138" s="55">
        <f>Tabla3[[#This Row],[Subtotal]]/12</f>
        <v>251415.33333333334</v>
      </c>
    </row>
    <row r="1139" spans="1:19" x14ac:dyDescent="0.2">
      <c r="A1139" s="4">
        <v>43</v>
      </c>
      <c r="B1139" s="2">
        <v>3002983.22</v>
      </c>
      <c r="C1139" s="2">
        <v>0</v>
      </c>
      <c r="D1139" s="4" t="s">
        <v>3519</v>
      </c>
      <c r="E1139" s="2">
        <v>3002983.22</v>
      </c>
      <c r="F1139" s="2">
        <v>569616.81000000006</v>
      </c>
      <c r="G1139" s="2">
        <v>0</v>
      </c>
      <c r="H1139" s="4">
        <v>0</v>
      </c>
      <c r="I1139" s="4">
        <v>0</v>
      </c>
      <c r="J1139" s="4">
        <v>0</v>
      </c>
      <c r="K1139" s="4">
        <v>3572600.03</v>
      </c>
      <c r="L1139" s="4" t="s">
        <v>3517</v>
      </c>
      <c r="M1139" s="4" t="s">
        <v>3518</v>
      </c>
      <c r="N1139" s="4" t="s">
        <v>368</v>
      </c>
      <c r="O1139" s="4" t="s">
        <v>1677</v>
      </c>
      <c r="P1139" s="4" t="s">
        <v>1677</v>
      </c>
      <c r="Q1139" s="8" t="s">
        <v>144</v>
      </c>
      <c r="R1139" s="9">
        <f t="shared" si="18"/>
        <v>5.268350455739435E-5</v>
      </c>
      <c r="S1139" s="55">
        <f>Tabla3[[#This Row],[Subtotal]]/12</f>
        <v>250248.60166666668</v>
      </c>
    </row>
    <row r="1140" spans="1:19" x14ac:dyDescent="0.2">
      <c r="A1140" s="4">
        <v>1047</v>
      </c>
      <c r="B1140" s="2">
        <v>2998046</v>
      </c>
      <c r="C1140" s="2">
        <v>0</v>
      </c>
      <c r="D1140" s="4" t="s">
        <v>3522</v>
      </c>
      <c r="E1140" s="2">
        <v>2998046</v>
      </c>
      <c r="F1140" s="2">
        <v>569628.74</v>
      </c>
      <c r="G1140" s="2">
        <v>0</v>
      </c>
      <c r="H1140" s="4">
        <v>0</v>
      </c>
      <c r="I1140" s="4">
        <v>0</v>
      </c>
      <c r="J1140" s="4">
        <v>0</v>
      </c>
      <c r="K1140" s="4">
        <v>3567674.74</v>
      </c>
      <c r="L1140" s="4" t="s">
        <v>3520</v>
      </c>
      <c r="M1140" s="4" t="s">
        <v>3521</v>
      </c>
      <c r="N1140" s="4" t="s">
        <v>272</v>
      </c>
      <c r="O1140" s="4" t="s">
        <v>89</v>
      </c>
      <c r="P1140" s="4" t="s">
        <v>89</v>
      </c>
      <c r="Q1140" s="8" t="s">
        <v>100</v>
      </c>
      <c r="R1140" s="9">
        <f t="shared" si="18"/>
        <v>5.2596887339343139E-5</v>
      </c>
      <c r="S1140" s="55">
        <f>Tabla3[[#This Row],[Subtotal]]/12</f>
        <v>249837.16666666666</v>
      </c>
    </row>
    <row r="1141" spans="1:19" x14ac:dyDescent="0.2">
      <c r="A1141" s="4">
        <v>971</v>
      </c>
      <c r="B1141" s="2">
        <v>2995106</v>
      </c>
      <c r="C1141" s="2">
        <v>0</v>
      </c>
      <c r="D1141" s="4" t="s">
        <v>3525</v>
      </c>
      <c r="E1141" s="2">
        <v>2995106</v>
      </c>
      <c r="F1141" s="2">
        <v>569070.14</v>
      </c>
      <c r="G1141" s="2">
        <v>0</v>
      </c>
      <c r="H1141" s="4">
        <v>0</v>
      </c>
      <c r="I1141" s="4">
        <v>0</v>
      </c>
      <c r="J1141" s="4">
        <v>0</v>
      </c>
      <c r="K1141" s="4">
        <v>3564176.14</v>
      </c>
      <c r="L1141" s="4" t="s">
        <v>3523</v>
      </c>
      <c r="M1141" s="4" t="s">
        <v>3524</v>
      </c>
      <c r="N1141" s="4" t="s">
        <v>20</v>
      </c>
      <c r="O1141" s="4" t="s">
        <v>1356</v>
      </c>
      <c r="P1141" s="4" t="s">
        <v>1356</v>
      </c>
      <c r="Q1141" s="8" t="s">
        <v>100</v>
      </c>
      <c r="R1141" s="9">
        <f t="shared" si="18"/>
        <v>5.2545308794925318E-5</v>
      </c>
      <c r="S1141" s="55">
        <f>Tabla3[[#This Row],[Subtotal]]/12</f>
        <v>249592.16666666666</v>
      </c>
    </row>
    <row r="1142" spans="1:19" x14ac:dyDescent="0.2">
      <c r="A1142" s="4">
        <v>249</v>
      </c>
      <c r="B1142" s="2">
        <v>2986339</v>
      </c>
      <c r="C1142" s="2">
        <v>0</v>
      </c>
      <c r="D1142" s="4" t="s">
        <v>3528</v>
      </c>
      <c r="E1142" s="2">
        <v>2986339</v>
      </c>
      <c r="F1142" s="2">
        <v>567404.41</v>
      </c>
      <c r="G1142" s="2">
        <v>0</v>
      </c>
      <c r="H1142" s="4">
        <v>0</v>
      </c>
      <c r="I1142" s="4">
        <v>0</v>
      </c>
      <c r="J1142" s="4">
        <v>0</v>
      </c>
      <c r="K1142" s="4">
        <v>3553743.41</v>
      </c>
      <c r="L1142" s="4" t="s">
        <v>3526</v>
      </c>
      <c r="M1142" s="4" t="s">
        <v>3527</v>
      </c>
      <c r="N1142" s="4" t="s">
        <v>272</v>
      </c>
      <c r="O1142" s="4" t="s">
        <v>89</v>
      </c>
      <c r="P1142" s="4" t="s">
        <v>89</v>
      </c>
      <c r="Q1142" s="8" t="s">
        <v>100</v>
      </c>
      <c r="R1142" s="9">
        <f t="shared" si="18"/>
        <v>5.2391502978969185E-5</v>
      </c>
      <c r="S1142" s="55">
        <f>Tabla3[[#This Row],[Subtotal]]/12</f>
        <v>248861.58333333334</v>
      </c>
    </row>
    <row r="1143" spans="1:19" x14ac:dyDescent="0.2">
      <c r="A1143" s="4">
        <v>1431</v>
      </c>
      <c r="B1143" s="2">
        <v>2953960</v>
      </c>
      <c r="C1143" s="2">
        <v>0</v>
      </c>
      <c r="D1143" s="4" t="s">
        <v>3531</v>
      </c>
      <c r="E1143" s="2">
        <v>2953960</v>
      </c>
      <c r="F1143" s="2">
        <v>561252.4</v>
      </c>
      <c r="G1143" s="2">
        <v>0</v>
      </c>
      <c r="H1143" s="4">
        <v>0</v>
      </c>
      <c r="I1143" s="4">
        <v>0</v>
      </c>
      <c r="J1143" s="4">
        <v>0</v>
      </c>
      <c r="K1143" s="4">
        <v>3515212.4</v>
      </c>
      <c r="L1143" s="4" t="s">
        <v>3529</v>
      </c>
      <c r="M1143" s="4" t="s">
        <v>3530</v>
      </c>
      <c r="N1143" s="4" t="s">
        <v>599</v>
      </c>
      <c r="O1143" s="4" t="s">
        <v>559</v>
      </c>
      <c r="P1143" s="4" t="s">
        <v>559</v>
      </c>
      <c r="Q1143" s="8" t="s">
        <v>100</v>
      </c>
      <c r="R1143" s="9">
        <f t="shared" si="18"/>
        <v>5.1823454785192105E-5</v>
      </c>
      <c r="S1143" s="55">
        <f>Tabla3[[#This Row],[Subtotal]]/12</f>
        <v>246163.33333333334</v>
      </c>
    </row>
    <row r="1144" spans="1:19" x14ac:dyDescent="0.2">
      <c r="A1144" s="4">
        <v>1523</v>
      </c>
      <c r="B1144" s="2">
        <v>2952179</v>
      </c>
      <c r="C1144" s="2">
        <v>0</v>
      </c>
      <c r="D1144" s="4" t="s">
        <v>3534</v>
      </c>
      <c r="E1144" s="2">
        <v>2952179</v>
      </c>
      <c r="F1144" s="2">
        <v>560914.01</v>
      </c>
      <c r="G1144" s="2">
        <v>0</v>
      </c>
      <c r="H1144" s="4">
        <v>0</v>
      </c>
      <c r="I1144" s="4">
        <v>0</v>
      </c>
      <c r="J1144" s="4">
        <v>0</v>
      </c>
      <c r="K1144" s="4">
        <v>3513093.01</v>
      </c>
      <c r="L1144" s="4" t="s">
        <v>3532</v>
      </c>
      <c r="M1144" s="4" t="s">
        <v>3533</v>
      </c>
      <c r="N1144" s="4" t="s">
        <v>20</v>
      </c>
      <c r="O1144" s="4" t="s">
        <v>1356</v>
      </c>
      <c r="P1144" s="4" t="s">
        <v>1356</v>
      </c>
      <c r="Q1144" s="8" t="s">
        <v>100</v>
      </c>
      <c r="R1144" s="9">
        <f t="shared" si="18"/>
        <v>5.1792209415257367E-5</v>
      </c>
      <c r="S1144" s="55">
        <f>Tabla3[[#This Row],[Subtotal]]/12</f>
        <v>246014.91666666666</v>
      </c>
    </row>
    <row r="1145" spans="1:19" x14ac:dyDescent="0.2">
      <c r="A1145" s="4">
        <v>1524</v>
      </c>
      <c r="B1145" s="2">
        <v>2950345</v>
      </c>
      <c r="C1145" s="2">
        <v>0</v>
      </c>
      <c r="D1145" s="4" t="s">
        <v>3537</v>
      </c>
      <c r="E1145" s="2">
        <v>2950345</v>
      </c>
      <c r="F1145" s="2">
        <v>560565.55000000005</v>
      </c>
      <c r="G1145" s="2">
        <v>34198.1</v>
      </c>
      <c r="H1145" s="4">
        <v>0</v>
      </c>
      <c r="I1145" s="4">
        <v>0</v>
      </c>
      <c r="J1145" s="4">
        <v>34198.1</v>
      </c>
      <c r="K1145" s="4">
        <v>3476712.45</v>
      </c>
      <c r="L1145" s="4" t="s">
        <v>3535</v>
      </c>
      <c r="M1145" s="4" t="s">
        <v>3536</v>
      </c>
      <c r="N1145" s="4" t="s">
        <v>648</v>
      </c>
      <c r="O1145" s="4" t="s">
        <v>340</v>
      </c>
      <c r="P1145" s="4" t="s">
        <v>340</v>
      </c>
      <c r="Q1145" s="8" t="s">
        <v>100</v>
      </c>
      <c r="R1145" s="9">
        <f t="shared" si="18"/>
        <v>5.17600342280253E-5</v>
      </c>
      <c r="S1145" s="55">
        <f>Tabla3[[#This Row],[Subtotal]]/12</f>
        <v>245862.08333333334</v>
      </c>
    </row>
    <row r="1146" spans="1:19" x14ac:dyDescent="0.2">
      <c r="A1146" s="4">
        <v>1594</v>
      </c>
      <c r="B1146" s="2">
        <v>2943074</v>
      </c>
      <c r="C1146" s="2">
        <v>0</v>
      </c>
      <c r="D1146" s="4" t="s">
        <v>3540</v>
      </c>
      <c r="E1146" s="2">
        <v>2943074</v>
      </c>
      <c r="F1146" s="2">
        <v>559184.06000000006</v>
      </c>
      <c r="G1146" s="2">
        <v>73576.850000000006</v>
      </c>
      <c r="H1146" s="4">
        <v>0</v>
      </c>
      <c r="I1146" s="4">
        <v>0</v>
      </c>
      <c r="J1146" s="4">
        <v>73576.850000000006</v>
      </c>
      <c r="K1146" s="4">
        <v>3428681.21</v>
      </c>
      <c r="L1146" s="4" t="s">
        <v>3538</v>
      </c>
      <c r="M1146" s="4" t="s">
        <v>3539</v>
      </c>
      <c r="N1146" s="4" t="s">
        <v>2117</v>
      </c>
      <c r="O1146" s="4" t="s">
        <v>89</v>
      </c>
      <c r="P1146" s="4" t="s">
        <v>89</v>
      </c>
      <c r="Q1146" s="8" t="s">
        <v>100</v>
      </c>
      <c r="R1146" s="9">
        <f t="shared" si="18"/>
        <v>5.1632473821065441E-5</v>
      </c>
      <c r="S1146" s="55">
        <f>Tabla3[[#This Row],[Subtotal]]/12</f>
        <v>245256.16666666666</v>
      </c>
    </row>
    <row r="1147" spans="1:19" x14ac:dyDescent="0.2">
      <c r="A1147" s="4">
        <v>637</v>
      </c>
      <c r="B1147" s="2">
        <v>2942659</v>
      </c>
      <c r="C1147" s="2">
        <v>0</v>
      </c>
      <c r="D1147" s="4" t="s">
        <v>3542</v>
      </c>
      <c r="E1147" s="2">
        <v>2942659</v>
      </c>
      <c r="F1147" s="2">
        <v>559105.21</v>
      </c>
      <c r="G1147" s="2">
        <v>73566.48</v>
      </c>
      <c r="H1147" s="4">
        <v>0</v>
      </c>
      <c r="I1147" s="4">
        <v>0</v>
      </c>
      <c r="J1147" s="4">
        <v>73566.48</v>
      </c>
      <c r="K1147" s="4">
        <v>3428197.73</v>
      </c>
      <c r="L1147" s="4" t="s">
        <v>3541</v>
      </c>
      <c r="M1147" s="4" t="s">
        <v>304</v>
      </c>
      <c r="N1147" s="4" t="s">
        <v>565</v>
      </c>
      <c r="O1147" s="4" t="s">
        <v>42</v>
      </c>
      <c r="P1147" s="4" t="s">
        <v>42</v>
      </c>
      <c r="Q1147" s="8" t="s">
        <v>28</v>
      </c>
      <c r="R1147" s="9">
        <f t="shared" si="18"/>
        <v>5.162519317619014E-5</v>
      </c>
      <c r="S1147" s="55">
        <f>Tabla3[[#This Row],[Subtotal]]/12</f>
        <v>245221.58333333334</v>
      </c>
    </row>
    <row r="1148" spans="1:19" x14ac:dyDescent="0.2">
      <c r="A1148" s="4">
        <v>1178</v>
      </c>
      <c r="B1148" s="2">
        <v>2933880</v>
      </c>
      <c r="C1148" s="2">
        <v>0</v>
      </c>
      <c r="D1148" s="4" t="s">
        <v>3545</v>
      </c>
      <c r="E1148" s="2">
        <v>2933880</v>
      </c>
      <c r="F1148" s="2">
        <v>550597.19999999995</v>
      </c>
      <c r="G1148" s="2">
        <v>0</v>
      </c>
      <c r="H1148" s="4">
        <v>0</v>
      </c>
      <c r="I1148" s="4">
        <v>0</v>
      </c>
      <c r="J1148" s="4">
        <v>0</v>
      </c>
      <c r="K1148" s="4">
        <v>3484477.2</v>
      </c>
      <c r="L1148" s="4" t="s">
        <v>3543</v>
      </c>
      <c r="M1148" s="4" t="s">
        <v>3544</v>
      </c>
      <c r="N1148" s="4" t="s">
        <v>20</v>
      </c>
      <c r="O1148" s="4" t="s">
        <v>2863</v>
      </c>
      <c r="P1148" s="4" t="s">
        <v>2863</v>
      </c>
      <c r="Q1148" s="8" t="s">
        <v>100</v>
      </c>
      <c r="R1148" s="9">
        <f t="shared" si="18"/>
        <v>5.1471176835562912E-5</v>
      </c>
      <c r="S1148" s="55">
        <f>Tabla3[[#This Row],[Subtotal]]/12</f>
        <v>244490</v>
      </c>
    </row>
    <row r="1149" spans="1:19" x14ac:dyDescent="0.2">
      <c r="A1149" s="4">
        <v>105</v>
      </c>
      <c r="B1149" s="2">
        <v>2910704</v>
      </c>
      <c r="C1149" s="2">
        <v>0</v>
      </c>
      <c r="D1149" s="4" t="s">
        <v>3548</v>
      </c>
      <c r="E1149" s="2">
        <v>2910704</v>
      </c>
      <c r="F1149" s="2">
        <v>553033.76</v>
      </c>
      <c r="G1149" s="2">
        <v>0</v>
      </c>
      <c r="H1149" s="4">
        <v>0</v>
      </c>
      <c r="I1149" s="4">
        <v>0</v>
      </c>
      <c r="J1149" s="4">
        <v>0</v>
      </c>
      <c r="K1149" s="4">
        <v>3463737.76</v>
      </c>
      <c r="L1149" s="4" t="s">
        <v>3546</v>
      </c>
      <c r="M1149" s="4" t="s">
        <v>3547</v>
      </c>
      <c r="N1149" s="4" t="s">
        <v>20</v>
      </c>
      <c r="O1149" s="4" t="s">
        <v>316</v>
      </c>
      <c r="P1149" s="4" t="s">
        <v>316</v>
      </c>
      <c r="Q1149" s="8" t="s">
        <v>100</v>
      </c>
      <c r="R1149" s="9">
        <f t="shared" si="18"/>
        <v>5.1064583520791688E-5</v>
      </c>
      <c r="S1149" s="55">
        <f>Tabla3[[#This Row],[Subtotal]]/12</f>
        <v>242558.66666666666</v>
      </c>
    </row>
    <row r="1150" spans="1:19" x14ac:dyDescent="0.2">
      <c r="A1150" s="4">
        <v>1298</v>
      </c>
      <c r="B1150" s="2">
        <v>2899749</v>
      </c>
      <c r="C1150" s="2">
        <v>0</v>
      </c>
      <c r="D1150" s="4" t="s">
        <v>3551</v>
      </c>
      <c r="E1150" s="2">
        <v>2899749</v>
      </c>
      <c r="F1150" s="2">
        <v>550952.31000000006</v>
      </c>
      <c r="G1150" s="2">
        <v>0</v>
      </c>
      <c r="H1150" s="4">
        <v>0</v>
      </c>
      <c r="I1150" s="4">
        <v>0</v>
      </c>
      <c r="J1150" s="4">
        <v>0</v>
      </c>
      <c r="K1150" s="4">
        <v>3450701.31</v>
      </c>
      <c r="L1150" s="4" t="s">
        <v>3549</v>
      </c>
      <c r="M1150" s="4" t="s">
        <v>3550</v>
      </c>
      <c r="N1150" s="4" t="s">
        <v>58</v>
      </c>
      <c r="O1150" s="4" t="s">
        <v>59</v>
      </c>
      <c r="P1150" s="4" t="s">
        <v>59</v>
      </c>
      <c r="Q1150" s="8" t="s">
        <v>100</v>
      </c>
      <c r="R1150" s="9">
        <f t="shared" si="18"/>
        <v>5.0872392039806235E-5</v>
      </c>
      <c r="S1150" s="55">
        <f>Tabla3[[#This Row],[Subtotal]]/12</f>
        <v>241645.75</v>
      </c>
    </row>
    <row r="1151" spans="1:19" x14ac:dyDescent="0.2">
      <c r="A1151" s="4">
        <v>1584</v>
      </c>
      <c r="B1151" s="2">
        <v>2898529.48</v>
      </c>
      <c r="C1151" s="2">
        <v>0</v>
      </c>
      <c r="D1151" s="4" t="s">
        <v>3554</v>
      </c>
      <c r="E1151" s="2">
        <v>2898529.48</v>
      </c>
      <c r="F1151" s="2">
        <v>549770.6</v>
      </c>
      <c r="G1151" s="2">
        <v>72463.240000000005</v>
      </c>
      <c r="H1151" s="4">
        <v>0</v>
      </c>
      <c r="I1151" s="4">
        <v>0</v>
      </c>
      <c r="J1151" s="4">
        <v>72463.240000000005</v>
      </c>
      <c r="K1151" s="4">
        <v>3375836.84</v>
      </c>
      <c r="L1151" s="4" t="s">
        <v>3552</v>
      </c>
      <c r="M1151" s="4" t="s">
        <v>3553</v>
      </c>
      <c r="N1151" s="4" t="s">
        <v>20</v>
      </c>
      <c r="O1151" s="4" t="s">
        <v>1677</v>
      </c>
      <c r="P1151" s="4" t="s">
        <v>1677</v>
      </c>
      <c r="Q1151" s="8" t="s">
        <v>144</v>
      </c>
      <c r="R1151" s="9">
        <f t="shared" si="18"/>
        <v>5.0850997119231946E-5</v>
      </c>
      <c r="S1151" s="55">
        <f>Tabla3[[#This Row],[Subtotal]]/12</f>
        <v>241544.12333333332</v>
      </c>
    </row>
    <row r="1152" spans="1:19" x14ac:dyDescent="0.2">
      <c r="A1152" s="4">
        <v>364</v>
      </c>
      <c r="B1152" s="2">
        <v>2885163</v>
      </c>
      <c r="C1152" s="2">
        <v>0</v>
      </c>
      <c r="D1152" s="4" t="s">
        <v>3557</v>
      </c>
      <c r="E1152" s="2">
        <v>2885163</v>
      </c>
      <c r="F1152" s="2">
        <v>548180.97</v>
      </c>
      <c r="G1152" s="2">
        <v>0</v>
      </c>
      <c r="H1152" s="4">
        <v>0</v>
      </c>
      <c r="I1152" s="4">
        <v>0</v>
      </c>
      <c r="J1152" s="4">
        <v>0</v>
      </c>
      <c r="K1152" s="4">
        <v>3433343.97</v>
      </c>
      <c r="L1152" s="4" t="s">
        <v>3555</v>
      </c>
      <c r="M1152" s="4" t="s">
        <v>3556</v>
      </c>
      <c r="N1152" s="4" t="s">
        <v>20</v>
      </c>
      <c r="O1152" s="4" t="s">
        <v>540</v>
      </c>
      <c r="P1152" s="4" t="s">
        <v>540</v>
      </c>
      <c r="Q1152" s="8" t="s">
        <v>100</v>
      </c>
      <c r="R1152" s="9">
        <f t="shared" si="18"/>
        <v>5.0616499302092521E-5</v>
      </c>
      <c r="S1152" s="55">
        <f>Tabla3[[#This Row],[Subtotal]]/12</f>
        <v>240430.25</v>
      </c>
    </row>
    <row r="1153" spans="1:19" x14ac:dyDescent="0.2">
      <c r="A1153" s="4">
        <v>402</v>
      </c>
      <c r="B1153" s="2">
        <v>2857438</v>
      </c>
      <c r="C1153" s="2">
        <v>0</v>
      </c>
      <c r="D1153" s="4" t="s">
        <v>3560</v>
      </c>
      <c r="E1153" s="2">
        <v>2857438</v>
      </c>
      <c r="F1153" s="2">
        <v>542913.22</v>
      </c>
      <c r="G1153" s="2">
        <v>0</v>
      </c>
      <c r="H1153" s="4">
        <v>0</v>
      </c>
      <c r="I1153" s="4">
        <v>0</v>
      </c>
      <c r="J1153" s="4">
        <v>0</v>
      </c>
      <c r="K1153" s="4">
        <v>3400351.22</v>
      </c>
      <c r="L1153" s="4" t="s">
        <v>3558</v>
      </c>
      <c r="M1153" s="4" t="s">
        <v>3559</v>
      </c>
      <c r="N1153" s="4" t="s">
        <v>20</v>
      </c>
      <c r="O1153" s="4" t="s">
        <v>316</v>
      </c>
      <c r="P1153" s="4" t="s">
        <v>316</v>
      </c>
      <c r="Q1153" s="8" t="s">
        <v>100</v>
      </c>
      <c r="R1153" s="9">
        <f t="shared" si="18"/>
        <v>5.0130099593254402E-5</v>
      </c>
      <c r="S1153" s="55">
        <f>Tabla3[[#This Row],[Subtotal]]/12</f>
        <v>238119.83333333334</v>
      </c>
    </row>
    <row r="1154" spans="1:19" x14ac:dyDescent="0.2">
      <c r="A1154" s="4">
        <v>710</v>
      </c>
      <c r="B1154" s="2">
        <v>2855700</v>
      </c>
      <c r="C1154" s="2">
        <v>0</v>
      </c>
      <c r="D1154" s="4" t="s">
        <v>3563</v>
      </c>
      <c r="E1154" s="2">
        <v>2855700</v>
      </c>
      <c r="F1154" s="2">
        <v>542583</v>
      </c>
      <c r="G1154" s="2">
        <v>38210.1</v>
      </c>
      <c r="H1154" s="4">
        <v>0</v>
      </c>
      <c r="I1154" s="4">
        <v>0</v>
      </c>
      <c r="J1154" s="4">
        <v>38210.1</v>
      </c>
      <c r="K1154" s="4">
        <v>3360072.9</v>
      </c>
      <c r="L1154" s="4" t="s">
        <v>3561</v>
      </c>
      <c r="M1154" s="4" t="s">
        <v>3562</v>
      </c>
      <c r="N1154" s="4" t="s">
        <v>20</v>
      </c>
      <c r="O1154" s="4" t="s">
        <v>76</v>
      </c>
      <c r="P1154" s="4" t="s">
        <v>76</v>
      </c>
      <c r="Q1154" s="8" t="s">
        <v>408</v>
      </c>
      <c r="R1154" s="9">
        <f t="shared" si="18"/>
        <v>5.0099608603391075E-5</v>
      </c>
      <c r="S1154" s="55">
        <f>Tabla3[[#This Row],[Subtotal]]/12</f>
        <v>237975</v>
      </c>
    </row>
    <row r="1155" spans="1:19" x14ac:dyDescent="0.2">
      <c r="A1155" s="4">
        <v>1076</v>
      </c>
      <c r="B1155" s="2">
        <v>2848964</v>
      </c>
      <c r="C1155" s="2">
        <v>0</v>
      </c>
      <c r="D1155" s="4" t="s">
        <v>3566</v>
      </c>
      <c r="E1155" s="2">
        <v>2848964</v>
      </c>
      <c r="F1155" s="2">
        <v>541303.16</v>
      </c>
      <c r="G1155" s="2">
        <v>0</v>
      </c>
      <c r="H1155" s="4">
        <v>0</v>
      </c>
      <c r="I1155" s="4">
        <v>0</v>
      </c>
      <c r="J1155" s="4">
        <v>0</v>
      </c>
      <c r="K1155" s="4">
        <v>3390267.16</v>
      </c>
      <c r="L1155" s="4" t="s">
        <v>3564</v>
      </c>
      <c r="M1155" s="4" t="s">
        <v>3565</v>
      </c>
      <c r="N1155" s="4" t="s">
        <v>20</v>
      </c>
      <c r="O1155" s="4" t="s">
        <v>1562</v>
      </c>
      <c r="P1155" s="4" t="s">
        <v>1562</v>
      </c>
      <c r="Q1155" s="8" t="s">
        <v>100</v>
      </c>
      <c r="R1155" s="9">
        <f t="shared" ref="R1155:R1218" si="19">E1155/$E$1757</f>
        <v>4.9981434088017459E-5</v>
      </c>
      <c r="S1155" s="55">
        <f>Tabla3[[#This Row],[Subtotal]]/12</f>
        <v>237413.66666666666</v>
      </c>
    </row>
    <row r="1156" spans="1:19" x14ac:dyDescent="0.2">
      <c r="A1156" s="4">
        <v>1555</v>
      </c>
      <c r="B1156" s="2">
        <v>2844170</v>
      </c>
      <c r="C1156" s="2">
        <v>0</v>
      </c>
      <c r="D1156" s="4" t="s">
        <v>3569</v>
      </c>
      <c r="E1156" s="2">
        <v>2844170</v>
      </c>
      <c r="F1156" s="2">
        <v>540392.30000000005</v>
      </c>
      <c r="G1156" s="2">
        <v>0</v>
      </c>
      <c r="H1156" s="4">
        <v>0</v>
      </c>
      <c r="I1156" s="4">
        <v>0</v>
      </c>
      <c r="J1156" s="4">
        <v>0</v>
      </c>
      <c r="K1156" s="4">
        <v>3384562.3</v>
      </c>
      <c r="L1156" s="4" t="s">
        <v>3567</v>
      </c>
      <c r="M1156" s="4" t="s">
        <v>3568</v>
      </c>
      <c r="N1156" s="4" t="s">
        <v>705</v>
      </c>
      <c r="O1156" s="4" t="s">
        <v>59</v>
      </c>
      <c r="P1156" s="4" t="s">
        <v>59</v>
      </c>
      <c r="Q1156" s="8" t="s">
        <v>100</v>
      </c>
      <c r="R1156" s="9">
        <f t="shared" si="19"/>
        <v>4.9897329481915743E-5</v>
      </c>
      <c r="S1156" s="55">
        <f>Tabla3[[#This Row],[Subtotal]]/12</f>
        <v>237014.16666666666</v>
      </c>
    </row>
    <row r="1157" spans="1:19" x14ac:dyDescent="0.2">
      <c r="A1157" s="4">
        <v>1257</v>
      </c>
      <c r="B1157" s="2">
        <v>2841818</v>
      </c>
      <c r="C1157" s="2">
        <v>0</v>
      </c>
      <c r="D1157" s="4" t="s">
        <v>3572</v>
      </c>
      <c r="E1157" s="2">
        <v>2841818</v>
      </c>
      <c r="F1157" s="2">
        <v>539945.42000000004</v>
      </c>
      <c r="G1157" s="2">
        <v>0</v>
      </c>
      <c r="H1157" s="4">
        <v>0</v>
      </c>
      <c r="I1157" s="4">
        <v>0</v>
      </c>
      <c r="J1157" s="4">
        <v>0</v>
      </c>
      <c r="K1157" s="4">
        <v>3381763.42</v>
      </c>
      <c r="L1157" s="4" t="s">
        <v>3570</v>
      </c>
      <c r="M1157" s="4" t="s">
        <v>3571</v>
      </c>
      <c r="N1157" s="4" t="s">
        <v>20</v>
      </c>
      <c r="O1157" s="4" t="s">
        <v>316</v>
      </c>
      <c r="P1157" s="4" t="s">
        <v>316</v>
      </c>
      <c r="Q1157" s="8" t="s">
        <v>100</v>
      </c>
      <c r="R1157" s="9">
        <f t="shared" si="19"/>
        <v>4.9856066646381486E-5</v>
      </c>
      <c r="S1157" s="55">
        <f>Tabla3[[#This Row],[Subtotal]]/12</f>
        <v>236818.16666666666</v>
      </c>
    </row>
    <row r="1158" spans="1:19" x14ac:dyDescent="0.2">
      <c r="A1158" s="4">
        <v>1467</v>
      </c>
      <c r="B1158" s="2">
        <v>2839796</v>
      </c>
      <c r="C1158" s="2">
        <v>0</v>
      </c>
      <c r="D1158" s="4" t="s">
        <v>3575</v>
      </c>
      <c r="E1158" s="2">
        <v>2839796</v>
      </c>
      <c r="F1158" s="2">
        <v>539561.24</v>
      </c>
      <c r="G1158" s="2">
        <v>0</v>
      </c>
      <c r="H1158" s="4">
        <v>0</v>
      </c>
      <c r="I1158" s="4">
        <v>0</v>
      </c>
      <c r="J1158" s="4">
        <v>0</v>
      </c>
      <c r="K1158" s="4">
        <v>3379357.24</v>
      </c>
      <c r="L1158" s="4" t="s">
        <v>3573</v>
      </c>
      <c r="M1158" s="4" t="s">
        <v>3574</v>
      </c>
      <c r="N1158" s="4" t="s">
        <v>20</v>
      </c>
      <c r="O1158" s="4" t="s">
        <v>692</v>
      </c>
      <c r="P1158" s="4" t="s">
        <v>692</v>
      </c>
      <c r="Q1158" s="8" t="s">
        <v>100</v>
      </c>
      <c r="R1158" s="9">
        <f t="shared" si="19"/>
        <v>4.9820593239302294E-5</v>
      </c>
      <c r="S1158" s="55">
        <f>Tabla3[[#This Row],[Subtotal]]/12</f>
        <v>236649.66666666666</v>
      </c>
    </row>
    <row r="1159" spans="1:19" x14ac:dyDescent="0.2">
      <c r="A1159" s="4">
        <v>658</v>
      </c>
      <c r="B1159" s="2">
        <v>2835770</v>
      </c>
      <c r="C1159" s="2">
        <v>0</v>
      </c>
      <c r="D1159" s="4" t="s">
        <v>3578</v>
      </c>
      <c r="E1159" s="2">
        <v>2835770</v>
      </c>
      <c r="F1159" s="2">
        <v>538796.30000000005</v>
      </c>
      <c r="G1159" s="2">
        <v>0</v>
      </c>
      <c r="H1159" s="4">
        <v>0</v>
      </c>
      <c r="I1159" s="4">
        <v>0</v>
      </c>
      <c r="J1159" s="4">
        <v>0</v>
      </c>
      <c r="K1159" s="4">
        <v>3374566.3</v>
      </c>
      <c r="L1159" s="4" t="s">
        <v>3576</v>
      </c>
      <c r="M1159" s="4" t="s">
        <v>3577</v>
      </c>
      <c r="N1159" s="4" t="s">
        <v>20</v>
      </c>
      <c r="O1159" s="4" t="s">
        <v>359</v>
      </c>
      <c r="P1159" s="4" t="s">
        <v>359</v>
      </c>
      <c r="Q1159" s="8" t="s">
        <v>100</v>
      </c>
      <c r="R1159" s="9">
        <f t="shared" si="19"/>
        <v>4.9749962212150548E-5</v>
      </c>
      <c r="S1159" s="55">
        <f>Tabla3[[#This Row],[Subtotal]]/12</f>
        <v>236314.16666666666</v>
      </c>
    </row>
    <row r="1160" spans="1:19" x14ac:dyDescent="0.2">
      <c r="A1160" s="4">
        <v>966</v>
      </c>
      <c r="B1160" s="2">
        <v>2827967</v>
      </c>
      <c r="C1160" s="2">
        <v>0</v>
      </c>
      <c r="D1160" s="4" t="s">
        <v>3581</v>
      </c>
      <c r="E1160" s="2">
        <v>2827967</v>
      </c>
      <c r="F1160" s="2">
        <v>537313.73</v>
      </c>
      <c r="G1160" s="2">
        <v>0</v>
      </c>
      <c r="H1160" s="4">
        <v>0</v>
      </c>
      <c r="I1160" s="4">
        <v>0</v>
      </c>
      <c r="J1160" s="4">
        <v>0</v>
      </c>
      <c r="K1160" s="4">
        <v>3365280.73</v>
      </c>
      <c r="L1160" s="4" t="s">
        <v>3579</v>
      </c>
      <c r="M1160" s="4" t="s">
        <v>3580</v>
      </c>
      <c r="N1160" s="4" t="s">
        <v>20</v>
      </c>
      <c r="O1160" s="4" t="s">
        <v>316</v>
      </c>
      <c r="P1160" s="4" t="s">
        <v>316</v>
      </c>
      <c r="Q1160" s="8" t="s">
        <v>100</v>
      </c>
      <c r="R1160" s="9">
        <f t="shared" si="19"/>
        <v>4.9613068544772229E-5</v>
      </c>
      <c r="S1160" s="55">
        <f>Tabla3[[#This Row],[Subtotal]]/12</f>
        <v>235663.91666666666</v>
      </c>
    </row>
    <row r="1161" spans="1:19" x14ac:dyDescent="0.2">
      <c r="A1161" s="4">
        <v>1356</v>
      </c>
      <c r="B1161" s="2">
        <v>2826268</v>
      </c>
      <c r="C1161" s="2">
        <v>0</v>
      </c>
      <c r="D1161" s="4" t="s">
        <v>3584</v>
      </c>
      <c r="E1161" s="2">
        <v>2826268</v>
      </c>
      <c r="F1161" s="2">
        <v>536990.92000000004</v>
      </c>
      <c r="G1161" s="2">
        <v>0</v>
      </c>
      <c r="H1161" s="4">
        <v>0</v>
      </c>
      <c r="I1161" s="4">
        <v>0</v>
      </c>
      <c r="J1161" s="4">
        <v>0</v>
      </c>
      <c r="K1161" s="4">
        <v>3363258.92</v>
      </c>
      <c r="L1161" s="4" t="s">
        <v>3582</v>
      </c>
      <c r="M1161" s="4" t="s">
        <v>3583</v>
      </c>
      <c r="N1161" s="4" t="s">
        <v>20</v>
      </c>
      <c r="O1161" s="4" t="s">
        <v>1549</v>
      </c>
      <c r="P1161" s="4" t="s">
        <v>1039</v>
      </c>
      <c r="Q1161" s="8" t="s">
        <v>100</v>
      </c>
      <c r="R1161" s="9">
        <f t="shared" si="19"/>
        <v>4.9583261760089959E-5</v>
      </c>
      <c r="S1161" s="55">
        <f>Tabla3[[#This Row],[Subtotal]]/12</f>
        <v>235522.33333333334</v>
      </c>
    </row>
    <row r="1162" spans="1:19" x14ac:dyDescent="0.2">
      <c r="A1162" s="4">
        <v>1013</v>
      </c>
      <c r="B1162" s="2">
        <v>2820154</v>
      </c>
      <c r="C1162" s="2">
        <v>0</v>
      </c>
      <c r="D1162" s="4" t="s">
        <v>3587</v>
      </c>
      <c r="E1162" s="2">
        <v>2820154</v>
      </c>
      <c r="F1162" s="2">
        <v>535829.26</v>
      </c>
      <c r="G1162" s="2">
        <v>18457.75</v>
      </c>
      <c r="H1162" s="4">
        <v>0</v>
      </c>
      <c r="I1162" s="4">
        <v>0</v>
      </c>
      <c r="J1162" s="4">
        <v>18457.75</v>
      </c>
      <c r="K1162" s="4">
        <v>3337525.51</v>
      </c>
      <c r="L1162" s="4" t="s">
        <v>3585</v>
      </c>
      <c r="M1162" s="4" t="s">
        <v>3586</v>
      </c>
      <c r="N1162" s="4" t="s">
        <v>648</v>
      </c>
      <c r="O1162" s="4" t="s">
        <v>340</v>
      </c>
      <c r="P1162" s="4" t="s">
        <v>340</v>
      </c>
      <c r="Q1162" s="8" t="s">
        <v>100</v>
      </c>
      <c r="R1162" s="9">
        <f t="shared" si="19"/>
        <v>4.9475999440167999E-5</v>
      </c>
      <c r="S1162" s="55">
        <f>Tabla3[[#This Row],[Subtotal]]/12</f>
        <v>235012.83333333334</v>
      </c>
    </row>
    <row r="1163" spans="1:19" x14ac:dyDescent="0.2">
      <c r="A1163" s="4">
        <v>690</v>
      </c>
      <c r="B1163" s="2">
        <v>2791030</v>
      </c>
      <c r="C1163" s="2">
        <v>0</v>
      </c>
      <c r="D1163" s="4" t="s">
        <v>3590</v>
      </c>
      <c r="E1163" s="2">
        <v>2791030</v>
      </c>
      <c r="F1163" s="2">
        <v>530295.69999999995</v>
      </c>
      <c r="G1163" s="2">
        <v>0</v>
      </c>
      <c r="H1163" s="4">
        <v>0</v>
      </c>
      <c r="I1163" s="4">
        <v>0</v>
      </c>
      <c r="J1163" s="4">
        <v>0</v>
      </c>
      <c r="K1163" s="4">
        <v>3321325.7</v>
      </c>
      <c r="L1163" s="4" t="s">
        <v>3588</v>
      </c>
      <c r="M1163" s="4" t="s">
        <v>3589</v>
      </c>
      <c r="N1163" s="4" t="s">
        <v>88</v>
      </c>
      <c r="O1163" s="4" t="s">
        <v>89</v>
      </c>
      <c r="P1163" s="4" t="s">
        <v>89</v>
      </c>
      <c r="Q1163" s="8" t="s">
        <v>100</v>
      </c>
      <c r="R1163" s="9">
        <f t="shared" si="19"/>
        <v>4.8965056063424935E-5</v>
      </c>
      <c r="S1163" s="55">
        <f>Tabla3[[#This Row],[Subtotal]]/12</f>
        <v>232585.83333333334</v>
      </c>
    </row>
    <row r="1164" spans="1:19" x14ac:dyDescent="0.2">
      <c r="A1164" s="4">
        <v>832</v>
      </c>
      <c r="B1164" s="2">
        <v>2786790</v>
      </c>
      <c r="C1164" s="2">
        <v>0</v>
      </c>
      <c r="D1164" s="4" t="s">
        <v>3593</v>
      </c>
      <c r="E1164" s="2">
        <v>2786790</v>
      </c>
      <c r="F1164" s="2">
        <v>529490.1</v>
      </c>
      <c r="G1164" s="2">
        <v>64338.63</v>
      </c>
      <c r="H1164" s="4">
        <v>0</v>
      </c>
      <c r="I1164" s="4">
        <v>0</v>
      </c>
      <c r="J1164" s="4">
        <v>64338.63</v>
      </c>
      <c r="K1164" s="4">
        <v>3251941.47</v>
      </c>
      <c r="L1164" s="4" t="s">
        <v>3591</v>
      </c>
      <c r="M1164" s="4" t="s">
        <v>3592</v>
      </c>
      <c r="N1164" s="4" t="s">
        <v>20</v>
      </c>
      <c r="O1164" s="4" t="s">
        <v>631</v>
      </c>
      <c r="P1164" s="4" t="s">
        <v>631</v>
      </c>
      <c r="Q1164" s="8" t="s">
        <v>100</v>
      </c>
      <c r="R1164" s="9">
        <f t="shared" si="19"/>
        <v>4.8890670679638692E-5</v>
      </c>
      <c r="S1164" s="55">
        <f>Tabla3[[#This Row],[Subtotal]]/12</f>
        <v>232232.5</v>
      </c>
    </row>
    <row r="1165" spans="1:19" x14ac:dyDescent="0.2">
      <c r="A1165" s="4">
        <v>1383</v>
      </c>
      <c r="B1165" s="2">
        <v>2779656</v>
      </c>
      <c r="C1165" s="2">
        <v>0</v>
      </c>
      <c r="D1165" s="4" t="s">
        <v>3596</v>
      </c>
      <c r="E1165" s="2">
        <v>2779656</v>
      </c>
      <c r="F1165" s="2">
        <v>528134.64</v>
      </c>
      <c r="G1165" s="2">
        <v>69491.399999999994</v>
      </c>
      <c r="H1165" s="4">
        <v>0</v>
      </c>
      <c r="I1165" s="4">
        <v>0</v>
      </c>
      <c r="J1165" s="4">
        <v>69491.399999999994</v>
      </c>
      <c r="K1165" s="4">
        <v>3238299.24</v>
      </c>
      <c r="L1165" s="4" t="s">
        <v>3594</v>
      </c>
      <c r="M1165" s="4" t="s">
        <v>3595</v>
      </c>
      <c r="N1165" s="4" t="s">
        <v>20</v>
      </c>
      <c r="O1165" s="4" t="s">
        <v>257</v>
      </c>
      <c r="P1165" s="4" t="s">
        <v>257</v>
      </c>
      <c r="Q1165" s="8" t="s">
        <v>100</v>
      </c>
      <c r="R1165" s="9">
        <f t="shared" si="19"/>
        <v>4.876551376267382E-5</v>
      </c>
      <c r="S1165" s="55">
        <f>Tabla3[[#This Row],[Subtotal]]/12</f>
        <v>231638</v>
      </c>
    </row>
    <row r="1166" spans="1:19" x14ac:dyDescent="0.2">
      <c r="A1166" s="4">
        <v>1450</v>
      </c>
      <c r="B1166" s="2">
        <v>2765333.79</v>
      </c>
      <c r="C1166" s="2">
        <v>0</v>
      </c>
      <c r="D1166" s="4" t="s">
        <v>3599</v>
      </c>
      <c r="E1166" s="2">
        <v>2765333.79</v>
      </c>
      <c r="F1166" s="2">
        <v>525413.42000000004</v>
      </c>
      <c r="G1166" s="2">
        <v>69133.34</v>
      </c>
      <c r="H1166" s="4">
        <v>0</v>
      </c>
      <c r="I1166" s="4">
        <v>0</v>
      </c>
      <c r="J1166" s="4">
        <v>69133.34</v>
      </c>
      <c r="K1166" s="4">
        <v>3221613.87</v>
      </c>
      <c r="L1166" s="4" t="s">
        <v>3597</v>
      </c>
      <c r="M1166" s="4" t="s">
        <v>3598</v>
      </c>
      <c r="N1166" s="4" t="s">
        <v>20</v>
      </c>
      <c r="O1166" s="4" t="s">
        <v>76</v>
      </c>
      <c r="P1166" s="4" t="s">
        <v>76</v>
      </c>
      <c r="Q1166" s="8" t="s">
        <v>144</v>
      </c>
      <c r="R1166" s="9">
        <f t="shared" si="19"/>
        <v>4.8514248883542407E-5</v>
      </c>
      <c r="S1166" s="55">
        <f>Tabla3[[#This Row],[Subtotal]]/12</f>
        <v>230444.48250000001</v>
      </c>
    </row>
    <row r="1167" spans="1:19" x14ac:dyDescent="0.2">
      <c r="A1167" s="4">
        <v>774</v>
      </c>
      <c r="B1167" s="2">
        <v>2756587</v>
      </c>
      <c r="C1167" s="2">
        <v>0</v>
      </c>
      <c r="D1167" s="4" t="s">
        <v>3602</v>
      </c>
      <c r="E1167" s="2">
        <v>2756587</v>
      </c>
      <c r="F1167" s="2">
        <v>523751.53</v>
      </c>
      <c r="G1167" s="2">
        <v>0</v>
      </c>
      <c r="H1167" s="4">
        <v>0</v>
      </c>
      <c r="I1167" s="4">
        <v>0</v>
      </c>
      <c r="J1167" s="4">
        <v>0</v>
      </c>
      <c r="K1167" s="4">
        <v>3280338.53</v>
      </c>
      <c r="L1167" s="4" t="s">
        <v>3600</v>
      </c>
      <c r="M1167" s="4" t="s">
        <v>3601</v>
      </c>
      <c r="N1167" s="4" t="s">
        <v>20</v>
      </c>
      <c r="O1167" s="4" t="s">
        <v>316</v>
      </c>
      <c r="P1167" s="4" t="s">
        <v>316</v>
      </c>
      <c r="Q1167" s="8" t="s">
        <v>100</v>
      </c>
      <c r="R1167" s="9">
        <f t="shared" si="19"/>
        <v>4.8360797626219838E-5</v>
      </c>
      <c r="S1167" s="55">
        <f>Tabla3[[#This Row],[Subtotal]]/12</f>
        <v>229715.58333333334</v>
      </c>
    </row>
    <row r="1168" spans="1:19" x14ac:dyDescent="0.2">
      <c r="A1168" s="4">
        <v>651</v>
      </c>
      <c r="B1168" s="2">
        <v>2748184</v>
      </c>
      <c r="C1168" s="2">
        <v>0</v>
      </c>
      <c r="D1168" s="4" t="s">
        <v>3605</v>
      </c>
      <c r="E1168" s="2">
        <v>2748184</v>
      </c>
      <c r="F1168" s="2">
        <v>522154.96</v>
      </c>
      <c r="G1168" s="2">
        <v>68704.600000000006</v>
      </c>
      <c r="H1168" s="4">
        <v>0</v>
      </c>
      <c r="I1168" s="4">
        <v>0</v>
      </c>
      <c r="J1168" s="4">
        <v>68704.600000000006</v>
      </c>
      <c r="K1168" s="4">
        <v>3201634.36</v>
      </c>
      <c r="L1168" s="4" t="s">
        <v>3603</v>
      </c>
      <c r="M1168" s="4" t="s">
        <v>3604</v>
      </c>
      <c r="N1168" s="4" t="s">
        <v>415</v>
      </c>
      <c r="O1168" s="4" t="s">
        <v>382</v>
      </c>
      <c r="P1168" s="4" t="s">
        <v>382</v>
      </c>
      <c r="Q1168" s="8" t="s">
        <v>585</v>
      </c>
      <c r="R1168" s="9">
        <f t="shared" si="19"/>
        <v>4.8213377725286867E-5</v>
      </c>
      <c r="S1168" s="55">
        <f>Tabla3[[#This Row],[Subtotal]]/12</f>
        <v>229015.33333333334</v>
      </c>
    </row>
    <row r="1169" spans="1:19" x14ac:dyDescent="0.2">
      <c r="A1169" s="4">
        <v>1157</v>
      </c>
      <c r="B1169" s="2">
        <v>2742841</v>
      </c>
      <c r="C1169" s="2">
        <v>0</v>
      </c>
      <c r="D1169" s="4" t="s">
        <v>3608</v>
      </c>
      <c r="E1169" s="2">
        <v>2742841</v>
      </c>
      <c r="F1169" s="2">
        <v>521139.79</v>
      </c>
      <c r="G1169" s="2">
        <v>0</v>
      </c>
      <c r="H1169" s="4">
        <v>0</v>
      </c>
      <c r="I1169" s="4">
        <v>0</v>
      </c>
      <c r="J1169" s="4">
        <v>0</v>
      </c>
      <c r="K1169" s="4">
        <v>3263980.79</v>
      </c>
      <c r="L1169" s="4" t="s">
        <v>3606</v>
      </c>
      <c r="M1169" s="4" t="s">
        <v>3607</v>
      </c>
      <c r="N1169" s="4" t="s">
        <v>20</v>
      </c>
      <c r="O1169" s="4" t="s">
        <v>1517</v>
      </c>
      <c r="P1169" s="4" t="s">
        <v>1517</v>
      </c>
      <c r="Q1169" s="8" t="s">
        <v>100</v>
      </c>
      <c r="R1169" s="9">
        <f t="shared" si="19"/>
        <v>4.8119641615482645E-5</v>
      </c>
      <c r="S1169" s="55">
        <f>Tabla3[[#This Row],[Subtotal]]/12</f>
        <v>228570.08333333334</v>
      </c>
    </row>
    <row r="1170" spans="1:19" x14ac:dyDescent="0.2">
      <c r="A1170" s="4">
        <v>1334</v>
      </c>
      <c r="B1170" s="2">
        <v>2734489</v>
      </c>
      <c r="C1170" s="2">
        <v>0</v>
      </c>
      <c r="D1170" s="4" t="s">
        <v>3611</v>
      </c>
      <c r="E1170" s="2">
        <v>2734489</v>
      </c>
      <c r="F1170" s="2">
        <v>519552.91</v>
      </c>
      <c r="G1170" s="2">
        <v>0</v>
      </c>
      <c r="H1170" s="4">
        <v>0</v>
      </c>
      <c r="I1170" s="4">
        <v>0</v>
      </c>
      <c r="J1170" s="4">
        <v>0</v>
      </c>
      <c r="K1170" s="4">
        <v>3254041.91</v>
      </c>
      <c r="L1170" s="4" t="s">
        <v>3609</v>
      </c>
      <c r="M1170" s="4" t="s">
        <v>3610</v>
      </c>
      <c r="N1170" s="4" t="s">
        <v>322</v>
      </c>
      <c r="O1170" s="4" t="s">
        <v>229</v>
      </c>
      <c r="P1170" s="4" t="s">
        <v>229</v>
      </c>
      <c r="Q1170" s="8" t="s">
        <v>100</v>
      </c>
      <c r="R1170" s="9">
        <f t="shared" si="19"/>
        <v>4.7973116444401813E-5</v>
      </c>
      <c r="S1170" s="55">
        <f>Tabla3[[#This Row],[Subtotal]]/12</f>
        <v>227874.08333333334</v>
      </c>
    </row>
    <row r="1171" spans="1:19" x14ac:dyDescent="0.2">
      <c r="A1171" s="4">
        <v>12</v>
      </c>
      <c r="B1171" s="2">
        <v>2711930</v>
      </c>
      <c r="C1171" s="2">
        <v>0</v>
      </c>
      <c r="D1171" s="4" t="s">
        <v>3614</v>
      </c>
      <c r="E1171" s="2">
        <v>2711930</v>
      </c>
      <c r="F1171" s="2">
        <v>515266.7</v>
      </c>
      <c r="G1171" s="2">
        <v>67798.25</v>
      </c>
      <c r="H1171" s="4">
        <v>0</v>
      </c>
      <c r="I1171" s="4">
        <v>0</v>
      </c>
      <c r="J1171" s="4">
        <v>67798.25</v>
      </c>
      <c r="K1171" s="4">
        <v>3159398.45</v>
      </c>
      <c r="L1171" s="4" t="s">
        <v>3612</v>
      </c>
      <c r="M1171" s="4" t="s">
        <v>3613</v>
      </c>
      <c r="N1171" s="4" t="s">
        <v>20</v>
      </c>
      <c r="O1171" s="4" t="s">
        <v>631</v>
      </c>
      <c r="P1171" s="4" t="s">
        <v>631</v>
      </c>
      <c r="Q1171" s="8" t="s">
        <v>100</v>
      </c>
      <c r="R1171" s="9">
        <f t="shared" si="19"/>
        <v>4.7577347606469293E-5</v>
      </c>
      <c r="S1171" s="55">
        <f>Tabla3[[#This Row],[Subtotal]]/12</f>
        <v>225994.16666666666</v>
      </c>
    </row>
    <row r="1172" spans="1:19" x14ac:dyDescent="0.2">
      <c r="A1172" s="4">
        <v>1293</v>
      </c>
      <c r="B1172" s="2">
        <v>2701793</v>
      </c>
      <c r="C1172" s="2">
        <v>0</v>
      </c>
      <c r="D1172" s="4" t="s">
        <v>3617</v>
      </c>
      <c r="E1172" s="2">
        <v>2701793</v>
      </c>
      <c r="F1172" s="2">
        <v>513340.67</v>
      </c>
      <c r="G1172" s="2">
        <v>0</v>
      </c>
      <c r="H1172" s="4">
        <v>0</v>
      </c>
      <c r="I1172" s="4">
        <v>0</v>
      </c>
      <c r="J1172" s="4">
        <v>0</v>
      </c>
      <c r="K1172" s="4">
        <v>3215133.67</v>
      </c>
      <c r="L1172" s="4" t="s">
        <v>3615</v>
      </c>
      <c r="M1172" s="4" t="s">
        <v>3616</v>
      </c>
      <c r="N1172" s="4" t="s">
        <v>20</v>
      </c>
      <c r="O1172" s="4" t="s">
        <v>316</v>
      </c>
      <c r="P1172" s="4" t="s">
        <v>316</v>
      </c>
      <c r="Q1172" s="8" t="s">
        <v>100</v>
      </c>
      <c r="R1172" s="9">
        <f t="shared" si="19"/>
        <v>4.7399506890563362E-5</v>
      </c>
      <c r="S1172" s="55">
        <f>Tabla3[[#This Row],[Subtotal]]/12</f>
        <v>225149.41666666666</v>
      </c>
    </row>
    <row r="1173" spans="1:19" x14ac:dyDescent="0.2">
      <c r="A1173" s="4">
        <v>947</v>
      </c>
      <c r="B1173" s="2">
        <v>2696550</v>
      </c>
      <c r="C1173" s="2">
        <v>0</v>
      </c>
      <c r="D1173" s="4" t="s">
        <v>3620</v>
      </c>
      <c r="E1173" s="2">
        <v>2696550</v>
      </c>
      <c r="F1173" s="2">
        <v>512344.5</v>
      </c>
      <c r="G1173" s="2">
        <v>67413.75</v>
      </c>
      <c r="H1173" s="4">
        <v>0</v>
      </c>
      <c r="I1173" s="4">
        <v>0</v>
      </c>
      <c r="J1173" s="4">
        <v>67413.75</v>
      </c>
      <c r="K1173" s="4">
        <v>3141480.75</v>
      </c>
      <c r="L1173" s="4" t="s">
        <v>3618</v>
      </c>
      <c r="M1173" s="4" t="s">
        <v>3619</v>
      </c>
      <c r="N1173" s="4" t="s">
        <v>20</v>
      </c>
      <c r="O1173" s="4" t="s">
        <v>76</v>
      </c>
      <c r="P1173" s="4" t="s">
        <v>76</v>
      </c>
      <c r="Q1173" s="8" t="s">
        <v>408</v>
      </c>
      <c r="R1173" s="9">
        <f t="shared" si="19"/>
        <v>4.7307525153018246E-5</v>
      </c>
      <c r="S1173" s="55">
        <f>Tabla3[[#This Row],[Subtotal]]/12</f>
        <v>224712.5</v>
      </c>
    </row>
    <row r="1174" spans="1:19" x14ac:dyDescent="0.2">
      <c r="A1174" s="4">
        <v>782</v>
      </c>
      <c r="B1174" s="2">
        <v>2694238</v>
      </c>
      <c r="C1174" s="2">
        <v>0</v>
      </c>
      <c r="D1174" s="4" t="s">
        <v>3623</v>
      </c>
      <c r="E1174" s="2">
        <v>2694238</v>
      </c>
      <c r="F1174" s="2">
        <v>511905.22</v>
      </c>
      <c r="G1174" s="2">
        <v>0</v>
      </c>
      <c r="H1174" s="4">
        <v>0</v>
      </c>
      <c r="I1174" s="4">
        <v>0</v>
      </c>
      <c r="J1174" s="4">
        <v>0</v>
      </c>
      <c r="K1174" s="4">
        <v>3206143.22</v>
      </c>
      <c r="L1174" s="4" t="s">
        <v>3621</v>
      </c>
      <c r="M1174" s="4" t="s">
        <v>3622</v>
      </c>
      <c r="N1174" s="4" t="s">
        <v>20</v>
      </c>
      <c r="O1174" s="4" t="s">
        <v>1356</v>
      </c>
      <c r="P1174" s="4" t="s">
        <v>1356</v>
      </c>
      <c r="Q1174" s="8" t="s">
        <v>100</v>
      </c>
      <c r="R1174" s="9">
        <f t="shared" si="19"/>
        <v>4.7266964066387632E-5</v>
      </c>
      <c r="S1174" s="55">
        <f>Tabla3[[#This Row],[Subtotal]]/12</f>
        <v>224519.83333333334</v>
      </c>
    </row>
    <row r="1175" spans="1:19" x14ac:dyDescent="0.2">
      <c r="A1175" s="4">
        <v>590</v>
      </c>
      <c r="B1175" s="2">
        <v>2682059</v>
      </c>
      <c r="C1175" s="2">
        <v>0</v>
      </c>
      <c r="D1175" s="4" t="s">
        <v>3626</v>
      </c>
      <c r="E1175" s="2">
        <v>2682059</v>
      </c>
      <c r="F1175" s="2">
        <v>509591.21</v>
      </c>
      <c r="G1175" s="2">
        <v>67051.48</v>
      </c>
      <c r="H1175" s="4">
        <v>0</v>
      </c>
      <c r="I1175" s="4">
        <v>0</v>
      </c>
      <c r="J1175" s="4">
        <v>67051.48</v>
      </c>
      <c r="K1175" s="4">
        <v>3124598.73</v>
      </c>
      <c r="L1175" s="4" t="s">
        <v>3624</v>
      </c>
      <c r="M1175" s="4" t="s">
        <v>3625</v>
      </c>
      <c r="N1175" s="4" t="s">
        <v>482</v>
      </c>
      <c r="O1175" s="4" t="s">
        <v>89</v>
      </c>
      <c r="P1175" s="4" t="s">
        <v>89</v>
      </c>
      <c r="Q1175" s="8" t="s">
        <v>100</v>
      </c>
      <c r="R1175" s="9">
        <f t="shared" si="19"/>
        <v>4.705329906895068E-5</v>
      </c>
      <c r="S1175" s="55">
        <f>Tabla3[[#This Row],[Subtotal]]/12</f>
        <v>223504.91666666666</v>
      </c>
    </row>
    <row r="1176" spans="1:19" x14ac:dyDescent="0.2">
      <c r="A1176" s="4">
        <v>1331</v>
      </c>
      <c r="B1176" s="2">
        <v>2655833</v>
      </c>
      <c r="C1176" s="2">
        <v>0</v>
      </c>
      <c r="D1176" s="4" t="s">
        <v>3629</v>
      </c>
      <c r="E1176" s="2">
        <v>2655833</v>
      </c>
      <c r="F1176" s="2">
        <v>504608.27</v>
      </c>
      <c r="G1176" s="2">
        <v>0</v>
      </c>
      <c r="H1176" s="4">
        <v>0</v>
      </c>
      <c r="I1176" s="4">
        <v>0</v>
      </c>
      <c r="J1176" s="4">
        <v>0</v>
      </c>
      <c r="K1176" s="4">
        <v>3160441.27</v>
      </c>
      <c r="L1176" s="4" t="s">
        <v>3627</v>
      </c>
      <c r="M1176" s="4" t="s">
        <v>3628</v>
      </c>
      <c r="N1176" s="4" t="s">
        <v>3630</v>
      </c>
      <c r="O1176" s="4" t="s">
        <v>1277</v>
      </c>
      <c r="P1176" s="4" t="s">
        <v>1277</v>
      </c>
      <c r="Q1176" s="8" t="s">
        <v>100</v>
      </c>
      <c r="R1176" s="9">
        <f t="shared" si="19"/>
        <v>4.6593197400276612E-5</v>
      </c>
      <c r="S1176" s="55">
        <f>Tabla3[[#This Row],[Subtotal]]/12</f>
        <v>221319.41666666666</v>
      </c>
    </row>
    <row r="1177" spans="1:19" x14ac:dyDescent="0.2">
      <c r="A1177" s="4">
        <v>687</v>
      </c>
      <c r="B1177" s="2">
        <v>2652696</v>
      </c>
      <c r="C1177" s="2">
        <v>0</v>
      </c>
      <c r="D1177" s="4" t="s">
        <v>3633</v>
      </c>
      <c r="E1177" s="2">
        <v>2652696</v>
      </c>
      <c r="F1177" s="2">
        <v>504012.24</v>
      </c>
      <c r="G1177" s="2">
        <v>0</v>
      </c>
      <c r="H1177" s="4">
        <v>0</v>
      </c>
      <c r="I1177" s="4">
        <v>0</v>
      </c>
      <c r="J1177" s="4">
        <v>0</v>
      </c>
      <c r="K1177" s="4">
        <v>3156708.24</v>
      </c>
      <c r="L1177" s="4" t="s">
        <v>3631</v>
      </c>
      <c r="M1177" s="4" t="s">
        <v>3632</v>
      </c>
      <c r="N1177" s="4" t="s">
        <v>20</v>
      </c>
      <c r="O1177" s="4" t="s">
        <v>372</v>
      </c>
      <c r="P1177" s="4" t="s">
        <v>372</v>
      </c>
      <c r="Q1177" s="8" t="s">
        <v>100</v>
      </c>
      <c r="R1177" s="9">
        <f t="shared" si="19"/>
        <v>4.6538162742508347E-5</v>
      </c>
      <c r="S1177" s="55">
        <f>Tabla3[[#This Row],[Subtotal]]/12</f>
        <v>221058</v>
      </c>
    </row>
    <row r="1178" spans="1:19" x14ac:dyDescent="0.2">
      <c r="A1178" s="4">
        <v>1054</v>
      </c>
      <c r="B1178" s="2">
        <v>2652500</v>
      </c>
      <c r="C1178" s="2">
        <v>0</v>
      </c>
      <c r="D1178" s="4" t="s">
        <v>3636</v>
      </c>
      <c r="E1178" s="2">
        <v>2652500</v>
      </c>
      <c r="F1178" s="2">
        <v>503975</v>
      </c>
      <c r="G1178" s="2">
        <v>66312.509999999995</v>
      </c>
      <c r="H1178" s="4">
        <v>0</v>
      </c>
      <c r="I1178" s="4">
        <v>0</v>
      </c>
      <c r="J1178" s="4">
        <v>66312.509999999995</v>
      </c>
      <c r="K1178" s="4">
        <v>3090162.49</v>
      </c>
      <c r="L1178" s="4" t="s">
        <v>3634</v>
      </c>
      <c r="M1178" s="4" t="s">
        <v>3635</v>
      </c>
      <c r="N1178" s="4" t="s">
        <v>20</v>
      </c>
      <c r="O1178" s="4" t="s">
        <v>76</v>
      </c>
      <c r="P1178" s="4" t="s">
        <v>76</v>
      </c>
      <c r="Q1178" s="8" t="s">
        <v>1378</v>
      </c>
      <c r="R1178" s="9">
        <f t="shared" si="19"/>
        <v>4.6534724172880494E-5</v>
      </c>
      <c r="S1178" s="55">
        <f>Tabla3[[#This Row],[Subtotal]]/12</f>
        <v>221041.66666666666</v>
      </c>
    </row>
    <row r="1179" spans="1:19" x14ac:dyDescent="0.2">
      <c r="A1179" s="4">
        <v>1539</v>
      </c>
      <c r="B1179" s="2">
        <v>2639272</v>
      </c>
      <c r="C1179" s="2">
        <v>0</v>
      </c>
      <c r="D1179" s="4" t="s">
        <v>3638</v>
      </c>
      <c r="E1179" s="2">
        <v>2639272</v>
      </c>
      <c r="F1179" s="2">
        <v>501461.68</v>
      </c>
      <c r="G1179" s="2">
        <v>0</v>
      </c>
      <c r="H1179" s="4">
        <v>0</v>
      </c>
      <c r="I1179" s="4">
        <v>0</v>
      </c>
      <c r="J1179" s="4">
        <v>0</v>
      </c>
      <c r="K1179" s="4">
        <v>3140733.68</v>
      </c>
      <c r="L1179" s="4" t="s">
        <v>3637</v>
      </c>
      <c r="M1179" s="4" t="s">
        <v>3637</v>
      </c>
      <c r="N1179" s="4" t="s">
        <v>20</v>
      </c>
      <c r="O1179" s="4" t="s">
        <v>1356</v>
      </c>
      <c r="P1179" s="4" t="s">
        <v>1356</v>
      </c>
      <c r="Q1179" s="8" t="s">
        <v>100</v>
      </c>
      <c r="R1179" s="9">
        <f t="shared" si="19"/>
        <v>4.6302655810445484E-5</v>
      </c>
      <c r="S1179" s="55">
        <f>Tabla3[[#This Row],[Subtotal]]/12</f>
        <v>219939.33333333334</v>
      </c>
    </row>
    <row r="1180" spans="1:19" x14ac:dyDescent="0.2">
      <c r="A1180" s="4">
        <v>1107</v>
      </c>
      <c r="B1180" s="2">
        <v>2621792</v>
      </c>
      <c r="C1180" s="2">
        <v>0</v>
      </c>
      <c r="D1180" s="4" t="s">
        <v>3641</v>
      </c>
      <c r="E1180" s="2">
        <v>2621792</v>
      </c>
      <c r="F1180" s="2">
        <v>498140.48</v>
      </c>
      <c r="G1180" s="2">
        <v>0</v>
      </c>
      <c r="H1180" s="4">
        <v>0</v>
      </c>
      <c r="I1180" s="4">
        <v>0</v>
      </c>
      <c r="J1180" s="4">
        <v>0</v>
      </c>
      <c r="K1180" s="4">
        <v>3119932.48</v>
      </c>
      <c r="L1180" s="4" t="s">
        <v>3639</v>
      </c>
      <c r="M1180" s="4" t="s">
        <v>3640</v>
      </c>
      <c r="N1180" s="4" t="s">
        <v>20</v>
      </c>
      <c r="O1180" s="4" t="s">
        <v>1043</v>
      </c>
      <c r="P1180" s="4" t="s">
        <v>1043</v>
      </c>
      <c r="Q1180" s="8" t="s">
        <v>100</v>
      </c>
      <c r="R1180" s="9">
        <f t="shared" si="19"/>
        <v>4.5995991539553137E-5</v>
      </c>
      <c r="S1180" s="55">
        <f>Tabla3[[#This Row],[Subtotal]]/12</f>
        <v>218482.66666666666</v>
      </c>
    </row>
    <row r="1181" spans="1:19" x14ac:dyDescent="0.2">
      <c r="A1181" s="4">
        <v>377</v>
      </c>
      <c r="B1181" s="2">
        <v>2603616</v>
      </c>
      <c r="C1181" s="2">
        <v>0</v>
      </c>
      <c r="D1181" s="4" t="s">
        <v>3644</v>
      </c>
      <c r="E1181" s="2">
        <v>2603616</v>
      </c>
      <c r="F1181" s="2">
        <v>494687.04</v>
      </c>
      <c r="G1181" s="2">
        <v>0</v>
      </c>
      <c r="H1181" s="4">
        <v>0</v>
      </c>
      <c r="I1181" s="4">
        <v>0</v>
      </c>
      <c r="J1181" s="4">
        <v>0</v>
      </c>
      <c r="K1181" s="4">
        <v>3098303.04</v>
      </c>
      <c r="L1181" s="4" t="s">
        <v>3642</v>
      </c>
      <c r="M1181" s="4" t="s">
        <v>3643</v>
      </c>
      <c r="N1181" s="4" t="s">
        <v>20</v>
      </c>
      <c r="O1181" s="4" t="s">
        <v>316</v>
      </c>
      <c r="P1181" s="4" t="s">
        <v>316</v>
      </c>
      <c r="Q1181" s="8" t="s">
        <v>100</v>
      </c>
      <c r="R1181" s="9">
        <f t="shared" si="19"/>
        <v>4.5677116837737385E-5</v>
      </c>
      <c r="S1181" s="55">
        <f>Tabla3[[#This Row],[Subtotal]]/12</f>
        <v>216968</v>
      </c>
    </row>
    <row r="1182" spans="1:19" x14ac:dyDescent="0.2">
      <c r="A1182" s="4">
        <v>1684</v>
      </c>
      <c r="B1182" s="2">
        <v>2599356</v>
      </c>
      <c r="C1182" s="2">
        <v>0</v>
      </c>
      <c r="D1182" s="4" t="s">
        <v>3647</v>
      </c>
      <c r="E1182" s="2">
        <v>2599356</v>
      </c>
      <c r="F1182" s="2">
        <v>493877.64</v>
      </c>
      <c r="G1182" s="2">
        <v>64983.9</v>
      </c>
      <c r="H1182" s="4">
        <v>0</v>
      </c>
      <c r="I1182" s="4">
        <v>0</v>
      </c>
      <c r="J1182" s="4">
        <v>64983.9</v>
      </c>
      <c r="K1182" s="4">
        <v>3028249.74</v>
      </c>
      <c r="L1182" s="4" t="s">
        <v>3645</v>
      </c>
      <c r="M1182" s="4" t="s">
        <v>3646</v>
      </c>
      <c r="N1182" s="4" t="s">
        <v>464</v>
      </c>
      <c r="O1182" s="4" t="s">
        <v>105</v>
      </c>
      <c r="P1182" s="4" t="s">
        <v>105</v>
      </c>
      <c r="Q1182" s="8" t="s">
        <v>100</v>
      </c>
      <c r="R1182" s="9">
        <f t="shared" si="19"/>
        <v>4.560238057949932E-5</v>
      </c>
      <c r="S1182" s="55">
        <f>Tabla3[[#This Row],[Subtotal]]/12</f>
        <v>216613</v>
      </c>
    </row>
    <row r="1183" spans="1:19" x14ac:dyDescent="0.2">
      <c r="A1183" s="4">
        <v>85</v>
      </c>
      <c r="B1183" s="2">
        <v>2595235</v>
      </c>
      <c r="C1183" s="2">
        <v>0</v>
      </c>
      <c r="D1183" s="4" t="s">
        <v>2994</v>
      </c>
      <c r="E1183" s="2">
        <v>2595235</v>
      </c>
      <c r="F1183" s="2">
        <v>493094.65</v>
      </c>
      <c r="G1183" s="2">
        <v>0</v>
      </c>
      <c r="H1183" s="4">
        <v>0</v>
      </c>
      <c r="I1183" s="4">
        <v>0</v>
      </c>
      <c r="J1183" s="4">
        <v>0</v>
      </c>
      <c r="K1183" s="4">
        <v>3088329.65</v>
      </c>
      <c r="L1183" s="4" t="s">
        <v>2992</v>
      </c>
      <c r="M1183" s="4" t="s">
        <v>2993</v>
      </c>
      <c r="N1183" s="4" t="s">
        <v>20</v>
      </c>
      <c r="O1183" s="4" t="s">
        <v>143</v>
      </c>
      <c r="P1183" s="4" t="s">
        <v>143</v>
      </c>
      <c r="Q1183" s="8" t="s">
        <v>1378</v>
      </c>
      <c r="R1183" s="9">
        <f t="shared" si="19"/>
        <v>4.5530082898701419E-5</v>
      </c>
      <c r="S1183" s="55">
        <f>Tabla3[[#This Row],[Subtotal]]/12</f>
        <v>216269.58333333334</v>
      </c>
    </row>
    <row r="1184" spans="1:19" x14ac:dyDescent="0.2">
      <c r="A1184" s="4">
        <v>1313</v>
      </c>
      <c r="B1184" s="2">
        <v>2592034</v>
      </c>
      <c r="C1184" s="2">
        <v>0</v>
      </c>
      <c r="D1184" s="4" t="s">
        <v>3650</v>
      </c>
      <c r="E1184" s="2">
        <v>2592034</v>
      </c>
      <c r="F1184" s="2">
        <v>492486.46</v>
      </c>
      <c r="G1184" s="2">
        <v>64800.85</v>
      </c>
      <c r="H1184" s="4">
        <v>0</v>
      </c>
      <c r="I1184" s="4">
        <v>0</v>
      </c>
      <c r="J1184" s="4">
        <v>64800.85</v>
      </c>
      <c r="K1184" s="4">
        <v>3019719.61</v>
      </c>
      <c r="L1184" s="4" t="s">
        <v>3648</v>
      </c>
      <c r="M1184" s="4" t="s">
        <v>3649</v>
      </c>
      <c r="N1184" s="4" t="s">
        <v>221</v>
      </c>
      <c r="O1184" s="4" t="s">
        <v>33</v>
      </c>
      <c r="P1184" s="4" t="s">
        <v>33</v>
      </c>
      <c r="Q1184" s="8" t="s">
        <v>100</v>
      </c>
      <c r="R1184" s="9">
        <f t="shared" si="19"/>
        <v>4.5473925442687323E-5</v>
      </c>
      <c r="S1184" s="55">
        <f>Tabla3[[#This Row],[Subtotal]]/12</f>
        <v>216002.83333333334</v>
      </c>
    </row>
    <row r="1185" spans="1:19" x14ac:dyDescent="0.2">
      <c r="A1185" s="4">
        <v>1623</v>
      </c>
      <c r="B1185" s="2">
        <v>2591166</v>
      </c>
      <c r="C1185" s="2">
        <v>0</v>
      </c>
      <c r="D1185" s="4" t="s">
        <v>3653</v>
      </c>
      <c r="E1185" s="2">
        <v>2591166</v>
      </c>
      <c r="F1185" s="2">
        <v>492321.54</v>
      </c>
      <c r="G1185" s="2">
        <v>64779.15</v>
      </c>
      <c r="H1185" s="4">
        <v>0</v>
      </c>
      <c r="I1185" s="4">
        <v>0</v>
      </c>
      <c r="J1185" s="4">
        <v>64779.15</v>
      </c>
      <c r="K1185" s="4">
        <v>3018708.39</v>
      </c>
      <c r="L1185" s="4" t="s">
        <v>3651</v>
      </c>
      <c r="M1185" s="4" t="s">
        <v>3652</v>
      </c>
      <c r="N1185" s="4" t="s">
        <v>20</v>
      </c>
      <c r="O1185" s="4" t="s">
        <v>386</v>
      </c>
      <c r="P1185" s="4" t="s">
        <v>386</v>
      </c>
      <c r="Q1185" s="8" t="s">
        <v>585</v>
      </c>
      <c r="R1185" s="9">
        <f t="shared" si="19"/>
        <v>4.5458697491478248E-5</v>
      </c>
      <c r="S1185" s="55">
        <f>Tabla3[[#This Row],[Subtotal]]/12</f>
        <v>215930.5</v>
      </c>
    </row>
    <row r="1186" spans="1:19" x14ac:dyDescent="0.2">
      <c r="A1186" s="4">
        <v>1473</v>
      </c>
      <c r="B1186" s="2">
        <v>2575705</v>
      </c>
      <c r="C1186" s="2">
        <v>0</v>
      </c>
      <c r="D1186" s="4" t="s">
        <v>3656</v>
      </c>
      <c r="E1186" s="2">
        <v>2575705</v>
      </c>
      <c r="F1186" s="2">
        <v>489383.95</v>
      </c>
      <c r="G1186" s="2">
        <v>0</v>
      </c>
      <c r="H1186" s="4">
        <v>0</v>
      </c>
      <c r="I1186" s="4">
        <v>0</v>
      </c>
      <c r="J1186" s="4">
        <v>0</v>
      </c>
      <c r="K1186" s="4">
        <v>3065088.95</v>
      </c>
      <c r="L1186" s="4" t="s">
        <v>3654</v>
      </c>
      <c r="M1186" s="4" t="s">
        <v>3655</v>
      </c>
      <c r="N1186" s="4" t="s">
        <v>20</v>
      </c>
      <c r="O1186" s="4" t="s">
        <v>316</v>
      </c>
      <c r="P1186" s="4" t="s">
        <v>316</v>
      </c>
      <c r="Q1186" s="8" t="s">
        <v>100</v>
      </c>
      <c r="R1186" s="9">
        <f t="shared" si="19"/>
        <v>4.5187453996497324E-5</v>
      </c>
      <c r="S1186" s="55">
        <f>Tabla3[[#This Row],[Subtotal]]/12</f>
        <v>214642.08333333334</v>
      </c>
    </row>
    <row r="1187" spans="1:19" x14ac:dyDescent="0.2">
      <c r="A1187" s="4">
        <v>562</v>
      </c>
      <c r="B1187" s="2">
        <v>2561227</v>
      </c>
      <c r="C1187" s="2">
        <v>0</v>
      </c>
      <c r="D1187" s="4" t="s">
        <v>3659</v>
      </c>
      <c r="E1187" s="2">
        <v>2561227</v>
      </c>
      <c r="F1187" s="2">
        <v>486633.13</v>
      </c>
      <c r="G1187" s="2">
        <v>53104.78</v>
      </c>
      <c r="H1187" s="4">
        <v>0</v>
      </c>
      <c r="I1187" s="4">
        <v>0</v>
      </c>
      <c r="J1187" s="4">
        <v>53104.78</v>
      </c>
      <c r="K1187" s="4">
        <v>2994755.35</v>
      </c>
      <c r="L1187" s="4" t="s">
        <v>3657</v>
      </c>
      <c r="M1187" s="4" t="s">
        <v>3658</v>
      </c>
      <c r="N1187" s="4" t="s">
        <v>3660</v>
      </c>
      <c r="O1187" s="4" t="s">
        <v>2025</v>
      </c>
      <c r="P1187" s="4" t="s">
        <v>2025</v>
      </c>
      <c r="Q1187" s="8" t="s">
        <v>100</v>
      </c>
      <c r="R1187" s="9">
        <f t="shared" si="19"/>
        <v>4.4933455980823444E-5</v>
      </c>
      <c r="S1187" s="55">
        <f>Tabla3[[#This Row],[Subtotal]]/12</f>
        <v>213435.58333333334</v>
      </c>
    </row>
    <row r="1188" spans="1:19" x14ac:dyDescent="0.2">
      <c r="A1188" s="4">
        <v>222</v>
      </c>
      <c r="B1188" s="2">
        <v>2547608</v>
      </c>
      <c r="C1188" s="2">
        <v>0</v>
      </c>
      <c r="D1188" s="4" t="s">
        <v>3663</v>
      </c>
      <c r="E1188" s="2">
        <v>2547608</v>
      </c>
      <c r="F1188" s="2">
        <v>484045.52</v>
      </c>
      <c r="G1188" s="2">
        <v>0</v>
      </c>
      <c r="H1188" s="4">
        <v>0</v>
      </c>
      <c r="I1188" s="4">
        <v>0</v>
      </c>
      <c r="J1188" s="4">
        <v>0</v>
      </c>
      <c r="K1188" s="4">
        <v>3031653.52</v>
      </c>
      <c r="L1188" s="4" t="s">
        <v>3661</v>
      </c>
      <c r="M1188" s="4" t="s">
        <v>3662</v>
      </c>
      <c r="N1188" s="4" t="s">
        <v>651</v>
      </c>
      <c r="O1188" s="4" t="s">
        <v>196</v>
      </c>
      <c r="P1188" s="4" t="s">
        <v>196</v>
      </c>
      <c r="Q1188" s="8" t="s">
        <v>100</v>
      </c>
      <c r="R1188" s="9">
        <f t="shared" si="19"/>
        <v>4.4694528022855321E-5</v>
      </c>
      <c r="S1188" s="55">
        <f>Tabla3[[#This Row],[Subtotal]]/12</f>
        <v>212300.66666666666</v>
      </c>
    </row>
    <row r="1189" spans="1:19" x14ac:dyDescent="0.2">
      <c r="A1189" s="4">
        <v>1455</v>
      </c>
      <c r="B1189" s="2">
        <v>2525083</v>
      </c>
      <c r="C1189" s="2">
        <v>0</v>
      </c>
      <c r="D1189" s="4" t="s">
        <v>3666</v>
      </c>
      <c r="E1189" s="2">
        <v>2525083</v>
      </c>
      <c r="F1189" s="2">
        <v>479765.77</v>
      </c>
      <c r="G1189" s="2">
        <v>0</v>
      </c>
      <c r="H1189" s="4">
        <v>0</v>
      </c>
      <c r="I1189" s="4">
        <v>0</v>
      </c>
      <c r="J1189" s="4">
        <v>0</v>
      </c>
      <c r="K1189" s="4">
        <v>3004848.77</v>
      </c>
      <c r="L1189" s="4" t="s">
        <v>3664</v>
      </c>
      <c r="M1189" s="4" t="s">
        <v>3665</v>
      </c>
      <c r="N1189" s="4" t="s">
        <v>349</v>
      </c>
      <c r="O1189" s="4" t="s">
        <v>93</v>
      </c>
      <c r="P1189" s="4" t="s">
        <v>93</v>
      </c>
      <c r="Q1189" s="8" t="s">
        <v>100</v>
      </c>
      <c r="R1189" s="9">
        <f t="shared" si="19"/>
        <v>4.4299355671490893E-5</v>
      </c>
      <c r="S1189" s="55">
        <f>Tabla3[[#This Row],[Subtotal]]/12</f>
        <v>210423.58333333334</v>
      </c>
    </row>
    <row r="1190" spans="1:19" x14ac:dyDescent="0.2">
      <c r="A1190" s="4">
        <v>1300</v>
      </c>
      <c r="B1190" s="2">
        <v>2522439</v>
      </c>
      <c r="C1190" s="2">
        <v>0</v>
      </c>
      <c r="D1190" s="4" t="s">
        <v>3669</v>
      </c>
      <c r="E1190" s="2">
        <v>2522439</v>
      </c>
      <c r="F1190" s="2">
        <v>479263.41</v>
      </c>
      <c r="G1190" s="2">
        <v>0</v>
      </c>
      <c r="H1190" s="4">
        <v>0</v>
      </c>
      <c r="I1190" s="4">
        <v>0</v>
      </c>
      <c r="J1190" s="4">
        <v>0</v>
      </c>
      <c r="K1190" s="4">
        <v>3001702.41</v>
      </c>
      <c r="L1190" s="4" t="s">
        <v>3667</v>
      </c>
      <c r="M1190" s="4" t="s">
        <v>3668</v>
      </c>
      <c r="N1190" s="4" t="s">
        <v>20</v>
      </c>
      <c r="O1190" s="4" t="s">
        <v>768</v>
      </c>
      <c r="P1190" s="4" t="s">
        <v>768</v>
      </c>
      <c r="Q1190" s="8" t="s">
        <v>100</v>
      </c>
      <c r="R1190" s="9">
        <f t="shared" si="19"/>
        <v>4.4252970068960038E-5</v>
      </c>
      <c r="S1190" s="55">
        <f>Tabla3[[#This Row],[Subtotal]]/12</f>
        <v>210203.25</v>
      </c>
    </row>
    <row r="1191" spans="1:19" x14ac:dyDescent="0.2">
      <c r="A1191" s="4">
        <v>117</v>
      </c>
      <c r="B1191" s="2">
        <v>2511127</v>
      </c>
      <c r="C1191" s="2">
        <v>0</v>
      </c>
      <c r="D1191" s="4" t="s">
        <v>3672</v>
      </c>
      <c r="E1191" s="2">
        <v>2511127</v>
      </c>
      <c r="F1191" s="2">
        <v>477114.13</v>
      </c>
      <c r="G1191" s="2">
        <v>0</v>
      </c>
      <c r="H1191" s="4">
        <v>0</v>
      </c>
      <c r="I1191" s="4">
        <v>0</v>
      </c>
      <c r="J1191" s="4">
        <v>0</v>
      </c>
      <c r="K1191" s="4">
        <v>2988241.13</v>
      </c>
      <c r="L1191" s="4" t="s">
        <v>3670</v>
      </c>
      <c r="M1191" s="4" t="s">
        <v>3671</v>
      </c>
      <c r="N1191" s="4" t="s">
        <v>20</v>
      </c>
      <c r="O1191" s="4" t="s">
        <v>257</v>
      </c>
      <c r="P1191" s="4" t="s">
        <v>257</v>
      </c>
      <c r="Q1191" s="8" t="s">
        <v>100</v>
      </c>
      <c r="R1191" s="9">
        <f t="shared" si="19"/>
        <v>4.405451547900957E-5</v>
      </c>
      <c r="S1191" s="55">
        <f>Tabla3[[#This Row],[Subtotal]]/12</f>
        <v>209260.58333333334</v>
      </c>
    </row>
    <row r="1192" spans="1:19" x14ac:dyDescent="0.2">
      <c r="A1192" s="4">
        <v>1701</v>
      </c>
      <c r="B1192" s="2">
        <v>2510882.4</v>
      </c>
      <c r="C1192" s="2">
        <v>0</v>
      </c>
      <c r="D1192" s="4" t="s">
        <v>3675</v>
      </c>
      <c r="E1192" s="2">
        <v>2510882.4</v>
      </c>
      <c r="F1192" s="2">
        <v>476117.66</v>
      </c>
      <c r="G1192" s="2">
        <v>0</v>
      </c>
      <c r="H1192" s="4">
        <v>0</v>
      </c>
      <c r="I1192" s="4">
        <v>0</v>
      </c>
      <c r="J1192" s="4">
        <v>0</v>
      </c>
      <c r="K1192" s="4">
        <v>2987000.06</v>
      </c>
      <c r="L1192" s="4" t="s">
        <v>3673</v>
      </c>
      <c r="M1192" s="4" t="s">
        <v>3674</v>
      </c>
      <c r="N1192" s="4" t="s">
        <v>20</v>
      </c>
      <c r="O1192" s="4" t="s">
        <v>1677</v>
      </c>
      <c r="P1192" s="4" t="s">
        <v>1677</v>
      </c>
      <c r="Q1192" s="8" t="s">
        <v>144</v>
      </c>
      <c r="R1192" s="9">
        <f t="shared" si="19"/>
        <v>4.4050224284463784E-5</v>
      </c>
      <c r="S1192" s="55">
        <f>Tabla3[[#This Row],[Subtotal]]/12</f>
        <v>209240.19999999998</v>
      </c>
    </row>
    <row r="1193" spans="1:19" x14ac:dyDescent="0.2">
      <c r="A1193" s="4">
        <v>1708</v>
      </c>
      <c r="B1193" s="2">
        <v>2493004</v>
      </c>
      <c r="C1193" s="2">
        <v>0</v>
      </c>
      <c r="D1193" s="4" t="s">
        <v>3678</v>
      </c>
      <c r="E1193" s="2">
        <v>2493004</v>
      </c>
      <c r="F1193" s="2">
        <v>473670.76</v>
      </c>
      <c r="G1193" s="2">
        <v>0</v>
      </c>
      <c r="H1193" s="4">
        <v>0</v>
      </c>
      <c r="I1193" s="4">
        <v>0</v>
      </c>
      <c r="J1193" s="4">
        <v>0</v>
      </c>
      <c r="K1193" s="4">
        <v>2966674.76</v>
      </c>
      <c r="L1193" s="4" t="s">
        <v>3676</v>
      </c>
      <c r="M1193" s="4" t="s">
        <v>3677</v>
      </c>
      <c r="N1193" s="4" t="s">
        <v>272</v>
      </c>
      <c r="O1193" s="4" t="s">
        <v>89</v>
      </c>
      <c r="P1193" s="4" t="s">
        <v>89</v>
      </c>
      <c r="Q1193" s="8" t="s">
        <v>100</v>
      </c>
      <c r="R1193" s="9">
        <f t="shared" si="19"/>
        <v>4.3736570594491147E-5</v>
      </c>
      <c r="S1193" s="55">
        <f>Tabla3[[#This Row],[Subtotal]]/12</f>
        <v>207750.33333333334</v>
      </c>
    </row>
    <row r="1194" spans="1:19" x14ac:dyDescent="0.2">
      <c r="A1194" s="4">
        <v>1183</v>
      </c>
      <c r="B1194" s="2">
        <v>2476191</v>
      </c>
      <c r="C1194" s="2">
        <v>0</v>
      </c>
      <c r="D1194" s="4" t="s">
        <v>3681</v>
      </c>
      <c r="E1194" s="2">
        <v>2476191</v>
      </c>
      <c r="F1194" s="2">
        <v>470476.29</v>
      </c>
      <c r="G1194" s="2">
        <v>0</v>
      </c>
      <c r="H1194" s="4">
        <v>0</v>
      </c>
      <c r="I1194" s="4">
        <v>0</v>
      </c>
      <c r="J1194" s="4">
        <v>0</v>
      </c>
      <c r="K1194" s="4">
        <v>2946667.29</v>
      </c>
      <c r="L1194" s="4" t="s">
        <v>3679</v>
      </c>
      <c r="M1194" s="4" t="s">
        <v>3680</v>
      </c>
      <c r="N1194" s="4" t="s">
        <v>20</v>
      </c>
      <c r="O1194" s="4" t="s">
        <v>540</v>
      </c>
      <c r="P1194" s="4" t="s">
        <v>540</v>
      </c>
      <c r="Q1194" s="8" t="s">
        <v>100</v>
      </c>
      <c r="R1194" s="9">
        <f t="shared" si="19"/>
        <v>4.3441607986567056E-5</v>
      </c>
      <c r="S1194" s="55">
        <f>Tabla3[[#This Row],[Subtotal]]/12</f>
        <v>206349.25</v>
      </c>
    </row>
    <row r="1195" spans="1:19" x14ac:dyDescent="0.2">
      <c r="A1195" s="4">
        <v>1537</v>
      </c>
      <c r="B1195" s="2">
        <v>2475425</v>
      </c>
      <c r="C1195" s="2">
        <v>0</v>
      </c>
      <c r="D1195" s="4" t="s">
        <v>3684</v>
      </c>
      <c r="E1195" s="2">
        <v>2475425</v>
      </c>
      <c r="F1195" s="2">
        <v>470330.75</v>
      </c>
      <c r="G1195" s="2">
        <v>0</v>
      </c>
      <c r="H1195" s="4">
        <v>0</v>
      </c>
      <c r="I1195" s="4">
        <v>0</v>
      </c>
      <c r="J1195" s="4">
        <v>0</v>
      </c>
      <c r="K1195" s="4">
        <v>2945755.75</v>
      </c>
      <c r="L1195" s="4" t="s">
        <v>3682</v>
      </c>
      <c r="M1195" s="4" t="s">
        <v>3683</v>
      </c>
      <c r="N1195" s="4" t="s">
        <v>20</v>
      </c>
      <c r="O1195" s="4" t="s">
        <v>631</v>
      </c>
      <c r="P1195" s="4" t="s">
        <v>631</v>
      </c>
      <c r="Q1195" s="8" t="s">
        <v>100</v>
      </c>
      <c r="R1195" s="9">
        <f t="shared" si="19"/>
        <v>4.3428169495062278E-5</v>
      </c>
      <c r="S1195" s="55">
        <f>Tabla3[[#This Row],[Subtotal]]/12</f>
        <v>206285.41666666666</v>
      </c>
    </row>
    <row r="1196" spans="1:19" x14ac:dyDescent="0.2">
      <c r="A1196" s="4">
        <v>1725</v>
      </c>
      <c r="B1196" s="2">
        <v>2468482</v>
      </c>
      <c r="C1196" s="2">
        <v>0</v>
      </c>
      <c r="D1196" s="4" t="s">
        <v>3687</v>
      </c>
      <c r="E1196" s="2">
        <v>2468482</v>
      </c>
      <c r="F1196" s="2">
        <v>469011.58</v>
      </c>
      <c r="G1196" s="2">
        <v>0</v>
      </c>
      <c r="H1196" s="4">
        <v>0</v>
      </c>
      <c r="I1196" s="4">
        <v>0</v>
      </c>
      <c r="J1196" s="4">
        <v>0</v>
      </c>
      <c r="K1196" s="4">
        <v>2937493.58</v>
      </c>
      <c r="L1196" s="4" t="s">
        <v>3685</v>
      </c>
      <c r="M1196" s="4" t="s">
        <v>3686</v>
      </c>
      <c r="N1196" s="4" t="s">
        <v>20</v>
      </c>
      <c r="O1196" s="4" t="s">
        <v>1549</v>
      </c>
      <c r="P1196" s="4" t="s">
        <v>1549</v>
      </c>
      <c r="Q1196" s="8" t="s">
        <v>100</v>
      </c>
      <c r="R1196" s="9">
        <f t="shared" si="19"/>
        <v>4.3306363429112307E-5</v>
      </c>
      <c r="S1196" s="55">
        <f>Tabla3[[#This Row],[Subtotal]]/12</f>
        <v>205706.83333333334</v>
      </c>
    </row>
    <row r="1197" spans="1:19" x14ac:dyDescent="0.2">
      <c r="A1197" s="4">
        <v>1292</v>
      </c>
      <c r="B1197" s="2">
        <v>2466980</v>
      </c>
      <c r="C1197" s="2">
        <v>0</v>
      </c>
      <c r="D1197" s="4" t="s">
        <v>3690</v>
      </c>
      <c r="E1197" s="2">
        <v>2466980</v>
      </c>
      <c r="F1197" s="2">
        <v>468726.2</v>
      </c>
      <c r="G1197" s="2">
        <v>0</v>
      </c>
      <c r="H1197" s="4">
        <v>0</v>
      </c>
      <c r="I1197" s="4">
        <v>0</v>
      </c>
      <c r="J1197" s="4">
        <v>0</v>
      </c>
      <c r="K1197" s="4">
        <v>2935706.2</v>
      </c>
      <c r="L1197" s="4" t="s">
        <v>3688</v>
      </c>
      <c r="M1197" s="4" t="s">
        <v>3689</v>
      </c>
      <c r="N1197" s="4" t="s">
        <v>20</v>
      </c>
      <c r="O1197" s="4" t="s">
        <v>359</v>
      </c>
      <c r="P1197" s="4" t="s">
        <v>359</v>
      </c>
      <c r="Q1197" s="8" t="s">
        <v>100</v>
      </c>
      <c r="R1197" s="9">
        <f t="shared" si="19"/>
        <v>4.3280012757780481E-5</v>
      </c>
      <c r="S1197" s="55">
        <f>Tabla3[[#This Row],[Subtotal]]/12</f>
        <v>205581.66666666666</v>
      </c>
    </row>
    <row r="1198" spans="1:19" x14ac:dyDescent="0.2">
      <c r="A1198" s="4">
        <v>1649</v>
      </c>
      <c r="B1198" s="2">
        <v>2460088</v>
      </c>
      <c r="C1198" s="2">
        <v>0</v>
      </c>
      <c r="D1198" s="4" t="s">
        <v>3693</v>
      </c>
      <c r="E1198" s="2">
        <v>2460088</v>
      </c>
      <c r="F1198" s="2">
        <v>467416.72</v>
      </c>
      <c r="G1198" s="2">
        <v>61502.2</v>
      </c>
      <c r="H1198" s="4">
        <v>0</v>
      </c>
      <c r="I1198" s="4">
        <v>0</v>
      </c>
      <c r="J1198" s="4">
        <v>61502.2</v>
      </c>
      <c r="K1198" s="4">
        <v>2866002.52</v>
      </c>
      <c r="L1198" s="4" t="s">
        <v>3691</v>
      </c>
      <c r="M1198" s="4" t="s">
        <v>3692</v>
      </c>
      <c r="N1198" s="4" t="s">
        <v>46</v>
      </c>
      <c r="O1198" s="4" t="s">
        <v>27</v>
      </c>
      <c r="P1198" s="4" t="s">
        <v>27</v>
      </c>
      <c r="Q1198" s="8" t="s">
        <v>100</v>
      </c>
      <c r="R1198" s="9">
        <f t="shared" si="19"/>
        <v>4.3159101421682648E-5</v>
      </c>
      <c r="S1198" s="55">
        <f>Tabla3[[#This Row],[Subtotal]]/12</f>
        <v>205007.33333333334</v>
      </c>
    </row>
    <row r="1199" spans="1:19" x14ac:dyDescent="0.2">
      <c r="A1199" s="4">
        <v>617</v>
      </c>
      <c r="B1199" s="2">
        <v>2454511</v>
      </c>
      <c r="C1199" s="2">
        <v>0</v>
      </c>
      <c r="D1199" s="4" t="s">
        <v>3696</v>
      </c>
      <c r="E1199" s="2">
        <v>2454511</v>
      </c>
      <c r="F1199" s="2">
        <v>466357.09</v>
      </c>
      <c r="G1199" s="2">
        <v>76889.289999999994</v>
      </c>
      <c r="H1199" s="4">
        <v>0</v>
      </c>
      <c r="I1199" s="4">
        <v>0</v>
      </c>
      <c r="J1199" s="4">
        <v>76889.289999999994</v>
      </c>
      <c r="K1199" s="4">
        <v>2843978.8</v>
      </c>
      <c r="L1199" s="4" t="s">
        <v>3694</v>
      </c>
      <c r="M1199" s="4" t="s">
        <v>3695</v>
      </c>
      <c r="N1199" s="4" t="s">
        <v>32</v>
      </c>
      <c r="O1199" s="4" t="s">
        <v>33</v>
      </c>
      <c r="P1199" s="4" t="s">
        <v>33</v>
      </c>
      <c r="Q1199" s="8" t="s">
        <v>100</v>
      </c>
      <c r="R1199" s="9">
        <f t="shared" si="19"/>
        <v>4.3061260080792114E-5</v>
      </c>
      <c r="S1199" s="55">
        <f>Tabla3[[#This Row],[Subtotal]]/12</f>
        <v>204542.58333333334</v>
      </c>
    </row>
    <row r="1200" spans="1:19" x14ac:dyDescent="0.2">
      <c r="A1200" s="4">
        <v>748</v>
      </c>
      <c r="B1200" s="2">
        <v>2447281</v>
      </c>
      <c r="C1200" s="2">
        <v>0</v>
      </c>
      <c r="D1200" s="4" t="s">
        <v>3698</v>
      </c>
      <c r="E1200" s="2">
        <v>2447281</v>
      </c>
      <c r="F1200" s="2">
        <v>464983.39</v>
      </c>
      <c r="G1200" s="2">
        <v>32928.800000000003</v>
      </c>
      <c r="H1200" s="4">
        <v>69747.509999999995</v>
      </c>
      <c r="I1200" s="4">
        <v>0</v>
      </c>
      <c r="J1200" s="4">
        <v>102676.31</v>
      </c>
      <c r="K1200" s="4">
        <v>2809588.08</v>
      </c>
      <c r="L1200" s="4" t="s">
        <v>3697</v>
      </c>
      <c r="M1200" s="4" t="s">
        <v>81</v>
      </c>
      <c r="N1200" s="4" t="s">
        <v>2803</v>
      </c>
      <c r="O1200" s="4" t="s">
        <v>59</v>
      </c>
      <c r="P1200" s="4" t="s">
        <v>59</v>
      </c>
      <c r="Q1200" s="8" t="s">
        <v>28</v>
      </c>
      <c r="R1200" s="9">
        <f t="shared" si="19"/>
        <v>4.293441896645849E-5</v>
      </c>
      <c r="S1200" s="55">
        <f>Tabla3[[#This Row],[Subtotal]]/12</f>
        <v>203940.08333333334</v>
      </c>
    </row>
    <row r="1201" spans="1:19" x14ac:dyDescent="0.2">
      <c r="A1201" s="4">
        <v>1518</v>
      </c>
      <c r="B1201" s="2">
        <v>2438670</v>
      </c>
      <c r="C1201" s="2">
        <v>0</v>
      </c>
      <c r="D1201" s="4" t="s">
        <v>3701</v>
      </c>
      <c r="E1201" s="2">
        <v>2438670</v>
      </c>
      <c r="F1201" s="2">
        <v>463347.3</v>
      </c>
      <c r="G1201" s="2">
        <v>0</v>
      </c>
      <c r="H1201" s="4">
        <v>0</v>
      </c>
      <c r="I1201" s="4">
        <v>0</v>
      </c>
      <c r="J1201" s="4">
        <v>0</v>
      </c>
      <c r="K1201" s="4">
        <v>2902017.3</v>
      </c>
      <c r="L1201" s="4" t="s">
        <v>3699</v>
      </c>
      <c r="M1201" s="4" t="s">
        <v>3700</v>
      </c>
      <c r="N1201" s="4" t="s">
        <v>32</v>
      </c>
      <c r="O1201" s="4" t="s">
        <v>33</v>
      </c>
      <c r="P1201" s="4" t="s">
        <v>1039</v>
      </c>
      <c r="Q1201" s="8" t="s">
        <v>100</v>
      </c>
      <c r="R1201" s="9">
        <f t="shared" si="19"/>
        <v>4.2783349971226566E-5</v>
      </c>
      <c r="S1201" s="55">
        <f>Tabla3[[#This Row],[Subtotal]]/12</f>
        <v>203222.5</v>
      </c>
    </row>
    <row r="1202" spans="1:19" x14ac:dyDescent="0.2">
      <c r="A1202" s="4">
        <v>978</v>
      </c>
      <c r="B1202" s="2">
        <v>2437018</v>
      </c>
      <c r="C1202" s="2">
        <v>0</v>
      </c>
      <c r="D1202" s="4" t="s">
        <v>3704</v>
      </c>
      <c r="E1202" s="2">
        <v>2437018</v>
      </c>
      <c r="F1202" s="2">
        <v>463033.42</v>
      </c>
      <c r="G1202" s="2">
        <v>60925.45</v>
      </c>
      <c r="H1202" s="4">
        <v>0</v>
      </c>
      <c r="I1202" s="4">
        <v>0</v>
      </c>
      <c r="J1202" s="4">
        <v>60925.45</v>
      </c>
      <c r="K1202" s="4">
        <v>2839125.97</v>
      </c>
      <c r="L1202" s="4" t="s">
        <v>3702</v>
      </c>
      <c r="M1202" s="4" t="s">
        <v>3703</v>
      </c>
      <c r="N1202" s="4" t="s">
        <v>368</v>
      </c>
      <c r="O1202" s="4" t="s">
        <v>89</v>
      </c>
      <c r="P1202" s="4" t="s">
        <v>89</v>
      </c>
      <c r="Q1202" s="8" t="s">
        <v>100</v>
      </c>
      <c r="R1202" s="9">
        <f t="shared" si="19"/>
        <v>4.2754367741506081E-5</v>
      </c>
      <c r="S1202" s="55">
        <f>Tabla3[[#This Row],[Subtotal]]/12</f>
        <v>203084.83333333334</v>
      </c>
    </row>
    <row r="1203" spans="1:19" x14ac:dyDescent="0.2">
      <c r="A1203" s="4">
        <v>1379</v>
      </c>
      <c r="B1203" s="2">
        <v>2422160</v>
      </c>
      <c r="C1203" s="2">
        <v>0</v>
      </c>
      <c r="D1203" s="4" t="s">
        <v>3707</v>
      </c>
      <c r="E1203" s="2">
        <v>2422160</v>
      </c>
      <c r="F1203" s="2">
        <v>460210.4</v>
      </c>
      <c r="G1203" s="2">
        <v>60554</v>
      </c>
      <c r="H1203" s="4">
        <v>0</v>
      </c>
      <c r="I1203" s="4">
        <v>0</v>
      </c>
      <c r="J1203" s="4">
        <v>60554</v>
      </c>
      <c r="K1203" s="4">
        <v>2821816.4</v>
      </c>
      <c r="L1203" s="4" t="s">
        <v>3705</v>
      </c>
      <c r="M1203" s="4" t="s">
        <v>3706</v>
      </c>
      <c r="N1203" s="4" t="s">
        <v>20</v>
      </c>
      <c r="O1203" s="4" t="s">
        <v>257</v>
      </c>
      <c r="P1203" s="4" t="s">
        <v>257</v>
      </c>
      <c r="Q1203" s="8" t="s">
        <v>100</v>
      </c>
      <c r="R1203" s="9">
        <f t="shared" si="19"/>
        <v>4.2493703111247584E-5</v>
      </c>
      <c r="S1203" s="55">
        <f>Tabla3[[#This Row],[Subtotal]]/12</f>
        <v>201846.66666666666</v>
      </c>
    </row>
    <row r="1204" spans="1:19" x14ac:dyDescent="0.2">
      <c r="A1204" s="4">
        <v>1618</v>
      </c>
      <c r="B1204" s="2">
        <v>2422160</v>
      </c>
      <c r="C1204" s="2">
        <v>0</v>
      </c>
      <c r="D1204" s="4" t="s">
        <v>3710</v>
      </c>
      <c r="E1204" s="2">
        <v>2422160</v>
      </c>
      <c r="F1204" s="2">
        <v>460210.4</v>
      </c>
      <c r="G1204" s="2">
        <v>60554</v>
      </c>
      <c r="H1204" s="4">
        <v>0</v>
      </c>
      <c r="I1204" s="4">
        <v>0</v>
      </c>
      <c r="J1204" s="4">
        <v>60554</v>
      </c>
      <c r="K1204" s="4">
        <v>2821816.4</v>
      </c>
      <c r="L1204" s="4" t="s">
        <v>3708</v>
      </c>
      <c r="M1204" s="4" t="s">
        <v>3709</v>
      </c>
      <c r="N1204" s="4" t="s">
        <v>142</v>
      </c>
      <c r="O1204" s="4" t="s">
        <v>340</v>
      </c>
      <c r="P1204" s="4" t="s">
        <v>340</v>
      </c>
      <c r="Q1204" s="8" t="s">
        <v>100</v>
      </c>
      <c r="R1204" s="9">
        <f t="shared" si="19"/>
        <v>4.2493703111247584E-5</v>
      </c>
      <c r="S1204" s="55">
        <f>Tabla3[[#This Row],[Subtotal]]/12</f>
        <v>201846.66666666666</v>
      </c>
    </row>
    <row r="1205" spans="1:19" x14ac:dyDescent="0.2">
      <c r="A1205" s="4">
        <v>1527</v>
      </c>
      <c r="B1205" s="2">
        <v>2417865.12</v>
      </c>
      <c r="C1205" s="2">
        <v>0</v>
      </c>
      <c r="D1205" s="4" t="s">
        <v>3713</v>
      </c>
      <c r="E1205" s="2">
        <v>2417865.12</v>
      </c>
      <c r="F1205" s="2">
        <v>459394.37</v>
      </c>
      <c r="G1205" s="2">
        <v>0</v>
      </c>
      <c r="H1205" s="4">
        <v>0</v>
      </c>
      <c r="I1205" s="4">
        <v>0</v>
      </c>
      <c r="J1205" s="4">
        <v>0</v>
      </c>
      <c r="K1205" s="4">
        <v>2877259.49</v>
      </c>
      <c r="L1205" s="4" t="s">
        <v>3711</v>
      </c>
      <c r="M1205" s="4" t="s">
        <v>3712</v>
      </c>
      <c r="N1205" s="4" t="s">
        <v>233</v>
      </c>
      <c r="O1205" s="4" t="s">
        <v>900</v>
      </c>
      <c r="P1205" s="4" t="s">
        <v>900</v>
      </c>
      <c r="Q1205" s="8" t="s">
        <v>144</v>
      </c>
      <c r="R1205" s="9">
        <f t="shared" si="19"/>
        <v>4.2418354927965544E-5</v>
      </c>
      <c r="S1205" s="55">
        <f>Tabla3[[#This Row],[Subtotal]]/12</f>
        <v>201488.76</v>
      </c>
    </row>
    <row r="1206" spans="1:19" x14ac:dyDescent="0.2">
      <c r="A1206" s="4">
        <v>756</v>
      </c>
      <c r="B1206" s="2">
        <v>2416052</v>
      </c>
      <c r="C1206" s="2">
        <v>0</v>
      </c>
      <c r="D1206" s="4" t="s">
        <v>3715</v>
      </c>
      <c r="E1206" s="2">
        <v>2416052</v>
      </c>
      <c r="F1206" s="2">
        <v>459049.88</v>
      </c>
      <c r="G1206" s="2">
        <v>60401.3</v>
      </c>
      <c r="H1206" s="4">
        <v>68857.48</v>
      </c>
      <c r="I1206" s="4">
        <v>0</v>
      </c>
      <c r="J1206" s="4">
        <v>129258.78</v>
      </c>
      <c r="K1206" s="4">
        <v>2745843.1</v>
      </c>
      <c r="L1206" s="4" t="s">
        <v>3714</v>
      </c>
      <c r="M1206" s="4" t="s">
        <v>81</v>
      </c>
      <c r="N1206" s="4" t="s">
        <v>58</v>
      </c>
      <c r="O1206" s="4" t="s">
        <v>59</v>
      </c>
      <c r="P1206" s="4" t="s">
        <v>59</v>
      </c>
      <c r="Q1206" s="8" t="s">
        <v>28</v>
      </c>
      <c r="R1206" s="9">
        <f t="shared" si="19"/>
        <v>4.2386546053661174E-5</v>
      </c>
      <c r="S1206" s="55">
        <f>Tabla3[[#This Row],[Subtotal]]/12</f>
        <v>201337.66666666666</v>
      </c>
    </row>
    <row r="1207" spans="1:19" x14ac:dyDescent="0.2">
      <c r="A1207" s="4">
        <v>174</v>
      </c>
      <c r="B1207" s="2">
        <v>2407706</v>
      </c>
      <c r="C1207" s="2">
        <v>0</v>
      </c>
      <c r="D1207" s="4" t="s">
        <v>3718</v>
      </c>
      <c r="E1207" s="2">
        <v>2407706</v>
      </c>
      <c r="F1207" s="2">
        <v>457464.14</v>
      </c>
      <c r="G1207" s="2">
        <v>60192.65</v>
      </c>
      <c r="H1207" s="4">
        <v>68619.62</v>
      </c>
      <c r="I1207" s="4">
        <v>0</v>
      </c>
      <c r="J1207" s="4">
        <v>128812.27</v>
      </c>
      <c r="K1207" s="4">
        <v>2736357.87</v>
      </c>
      <c r="L1207" s="4" t="s">
        <v>3716</v>
      </c>
      <c r="M1207" s="4" t="s">
        <v>3717</v>
      </c>
      <c r="N1207" s="4" t="s">
        <v>20</v>
      </c>
      <c r="O1207" s="4" t="s">
        <v>21</v>
      </c>
      <c r="P1207" s="4" t="s">
        <v>21</v>
      </c>
      <c r="Q1207" s="8" t="s">
        <v>585</v>
      </c>
      <c r="R1207" s="9">
        <f t="shared" si="19"/>
        <v>4.2240126144915892E-5</v>
      </c>
      <c r="S1207" s="55">
        <f>Tabla3[[#This Row],[Subtotal]]/12</f>
        <v>200642.16666666666</v>
      </c>
    </row>
    <row r="1208" spans="1:19" x14ac:dyDescent="0.2">
      <c r="A1208" s="4">
        <v>1465</v>
      </c>
      <c r="B1208" s="2">
        <v>2407464</v>
      </c>
      <c r="C1208" s="2">
        <v>0</v>
      </c>
      <c r="D1208" s="4" t="s">
        <v>3721</v>
      </c>
      <c r="E1208" s="2">
        <v>2407464</v>
      </c>
      <c r="F1208" s="2">
        <v>457418.16</v>
      </c>
      <c r="G1208" s="2">
        <v>0</v>
      </c>
      <c r="H1208" s="4">
        <v>0</v>
      </c>
      <c r="I1208" s="4">
        <v>0</v>
      </c>
      <c r="J1208" s="4">
        <v>0</v>
      </c>
      <c r="K1208" s="4">
        <v>2864882.16</v>
      </c>
      <c r="L1208" s="4" t="s">
        <v>3719</v>
      </c>
      <c r="M1208" s="4" t="s">
        <v>3720</v>
      </c>
      <c r="N1208" s="4" t="s">
        <v>20</v>
      </c>
      <c r="O1208" s="4" t="s">
        <v>2863</v>
      </c>
      <c r="P1208" s="4" t="s">
        <v>2863</v>
      </c>
      <c r="Q1208" s="8" t="s">
        <v>100</v>
      </c>
      <c r="R1208" s="9">
        <f t="shared" si="19"/>
        <v>4.2235880564048847E-5</v>
      </c>
      <c r="S1208" s="55">
        <f>Tabla3[[#This Row],[Subtotal]]/12</f>
        <v>200622</v>
      </c>
    </row>
    <row r="1209" spans="1:19" x14ac:dyDescent="0.2">
      <c r="A1209" s="4">
        <v>151</v>
      </c>
      <c r="B1209" s="2">
        <v>2376094</v>
      </c>
      <c r="C1209" s="2">
        <v>0</v>
      </c>
      <c r="D1209" s="4" t="s">
        <v>3724</v>
      </c>
      <c r="E1209" s="2">
        <v>2376094</v>
      </c>
      <c r="F1209" s="2">
        <v>451457.86</v>
      </c>
      <c r="G1209" s="2">
        <v>0</v>
      </c>
      <c r="H1209" s="4">
        <v>0</v>
      </c>
      <c r="I1209" s="4">
        <v>0</v>
      </c>
      <c r="J1209" s="4">
        <v>0</v>
      </c>
      <c r="K1209" s="4">
        <v>2827551.86</v>
      </c>
      <c r="L1209" s="4" t="s">
        <v>3722</v>
      </c>
      <c r="M1209" s="4" t="s">
        <v>3723</v>
      </c>
      <c r="N1209" s="4" t="s">
        <v>1150</v>
      </c>
      <c r="O1209" s="4" t="s">
        <v>89</v>
      </c>
      <c r="P1209" s="4" t="s">
        <v>89</v>
      </c>
      <c r="Q1209" s="8" t="s">
        <v>100</v>
      </c>
      <c r="R1209" s="9">
        <f t="shared" si="19"/>
        <v>4.1685533986366184E-5</v>
      </c>
      <c r="S1209" s="55">
        <f>Tabla3[[#This Row],[Subtotal]]/12</f>
        <v>198007.83333333334</v>
      </c>
    </row>
    <row r="1210" spans="1:19" x14ac:dyDescent="0.2">
      <c r="A1210" s="4">
        <v>194</v>
      </c>
      <c r="B1210" s="2">
        <v>2375613</v>
      </c>
      <c r="C1210" s="2">
        <v>0</v>
      </c>
      <c r="D1210" s="4" t="s">
        <v>3727</v>
      </c>
      <c r="E1210" s="2">
        <v>2375613</v>
      </c>
      <c r="F1210" s="2">
        <v>451366.47</v>
      </c>
      <c r="G1210" s="2">
        <v>0</v>
      </c>
      <c r="H1210" s="4">
        <v>0</v>
      </c>
      <c r="I1210" s="4">
        <v>0</v>
      </c>
      <c r="J1210" s="4">
        <v>0</v>
      </c>
      <c r="K1210" s="4">
        <v>2826979.47</v>
      </c>
      <c r="L1210" s="4" t="s">
        <v>3725</v>
      </c>
      <c r="M1210" s="4" t="s">
        <v>3726</v>
      </c>
      <c r="N1210" s="4" t="s">
        <v>468</v>
      </c>
      <c r="O1210" s="4" t="s">
        <v>105</v>
      </c>
      <c r="P1210" s="4" t="s">
        <v>105</v>
      </c>
      <c r="Q1210" s="8" t="s">
        <v>100</v>
      </c>
      <c r="R1210" s="9">
        <f t="shared" si="19"/>
        <v>4.1677095455799868E-5</v>
      </c>
      <c r="S1210" s="55">
        <f>Tabla3[[#This Row],[Subtotal]]/12</f>
        <v>197967.75</v>
      </c>
    </row>
    <row r="1211" spans="1:19" x14ac:dyDescent="0.2">
      <c r="A1211" s="4">
        <v>277</v>
      </c>
      <c r="B1211" s="2">
        <v>2363166</v>
      </c>
      <c r="C1211" s="2">
        <v>0</v>
      </c>
      <c r="D1211" s="4" t="s">
        <v>3730</v>
      </c>
      <c r="E1211" s="2">
        <v>2363166</v>
      </c>
      <c r="F1211" s="2">
        <v>449001.54</v>
      </c>
      <c r="G1211" s="2">
        <v>0</v>
      </c>
      <c r="H1211" s="4">
        <v>0</v>
      </c>
      <c r="I1211" s="4">
        <v>0</v>
      </c>
      <c r="J1211" s="4">
        <v>0</v>
      </c>
      <c r="K1211" s="4">
        <v>2812167.54</v>
      </c>
      <c r="L1211" s="4" t="s">
        <v>3728</v>
      </c>
      <c r="M1211" s="4" t="s">
        <v>3729</v>
      </c>
      <c r="N1211" s="4" t="s">
        <v>88</v>
      </c>
      <c r="O1211" s="4" t="s">
        <v>89</v>
      </c>
      <c r="P1211" s="4" t="s">
        <v>89</v>
      </c>
      <c r="Q1211" s="8" t="s">
        <v>100</v>
      </c>
      <c r="R1211" s="9">
        <f t="shared" si="19"/>
        <v>4.1458728740708506E-5</v>
      </c>
      <c r="S1211" s="55">
        <f>Tabla3[[#This Row],[Subtotal]]/12</f>
        <v>196930.5</v>
      </c>
    </row>
    <row r="1212" spans="1:19" x14ac:dyDescent="0.2">
      <c r="A1212" s="4">
        <v>248</v>
      </c>
      <c r="B1212" s="2">
        <v>2362360</v>
      </c>
      <c r="C1212" s="2">
        <v>0</v>
      </c>
      <c r="D1212" s="4" t="s">
        <v>3733</v>
      </c>
      <c r="E1212" s="2">
        <v>2362360</v>
      </c>
      <c r="F1212" s="2">
        <v>448848.4</v>
      </c>
      <c r="G1212" s="2">
        <v>0</v>
      </c>
      <c r="H1212" s="4">
        <v>0</v>
      </c>
      <c r="I1212" s="4">
        <v>0</v>
      </c>
      <c r="J1212" s="4">
        <v>0</v>
      </c>
      <c r="K1212" s="4">
        <v>2811208.4</v>
      </c>
      <c r="L1212" s="4" t="s">
        <v>3731</v>
      </c>
      <c r="M1212" s="4" t="s">
        <v>3732</v>
      </c>
      <c r="N1212" s="4" t="s">
        <v>233</v>
      </c>
      <c r="O1212" s="4" t="s">
        <v>229</v>
      </c>
      <c r="P1212" s="4" t="s">
        <v>229</v>
      </c>
      <c r="Q1212" s="8" t="s">
        <v>100</v>
      </c>
      <c r="R1212" s="9">
        <f t="shared" si="19"/>
        <v>4.1444588500300078E-5</v>
      </c>
      <c r="S1212" s="55">
        <f>Tabla3[[#This Row],[Subtotal]]/12</f>
        <v>196863.33333333334</v>
      </c>
    </row>
    <row r="1213" spans="1:19" x14ac:dyDescent="0.2">
      <c r="A1213" s="4">
        <v>1070</v>
      </c>
      <c r="B1213" s="2">
        <v>2358451</v>
      </c>
      <c r="C1213" s="2">
        <v>0</v>
      </c>
      <c r="D1213" s="4" t="s">
        <v>3736</v>
      </c>
      <c r="E1213" s="2">
        <v>2358451</v>
      </c>
      <c r="F1213" s="2">
        <v>448105.69</v>
      </c>
      <c r="G1213" s="2">
        <v>0</v>
      </c>
      <c r="H1213" s="4">
        <v>0</v>
      </c>
      <c r="I1213" s="4">
        <v>0</v>
      </c>
      <c r="J1213" s="4">
        <v>0</v>
      </c>
      <c r="K1213" s="4">
        <v>2806556.69</v>
      </c>
      <c r="L1213" s="4" t="s">
        <v>3734</v>
      </c>
      <c r="M1213" s="4" t="s">
        <v>3735</v>
      </c>
      <c r="N1213" s="4" t="s">
        <v>20</v>
      </c>
      <c r="O1213" s="4" t="s">
        <v>631</v>
      </c>
      <c r="P1213" s="4" t="s">
        <v>631</v>
      </c>
      <c r="Q1213" s="8" t="s">
        <v>100</v>
      </c>
      <c r="R1213" s="9">
        <f t="shared" si="19"/>
        <v>4.1376010088691491E-5</v>
      </c>
      <c r="S1213" s="55">
        <f>Tabla3[[#This Row],[Subtotal]]/12</f>
        <v>196537.58333333334</v>
      </c>
    </row>
    <row r="1214" spans="1:19" x14ac:dyDescent="0.2">
      <c r="A1214" s="4">
        <v>513</v>
      </c>
      <c r="B1214" s="2">
        <v>2351464</v>
      </c>
      <c r="C1214" s="2">
        <v>0</v>
      </c>
      <c r="D1214" s="4" t="s">
        <v>3739</v>
      </c>
      <c r="E1214" s="2">
        <v>2351464</v>
      </c>
      <c r="F1214" s="2">
        <v>446778.16</v>
      </c>
      <c r="G1214" s="2">
        <v>0</v>
      </c>
      <c r="H1214" s="4">
        <v>0</v>
      </c>
      <c r="I1214" s="4">
        <v>0</v>
      </c>
      <c r="J1214" s="4">
        <v>0</v>
      </c>
      <c r="K1214" s="4">
        <v>2798242.16</v>
      </c>
      <c r="L1214" s="4" t="s">
        <v>3737</v>
      </c>
      <c r="M1214" s="4" t="s">
        <v>3738</v>
      </c>
      <c r="N1214" s="4" t="s">
        <v>20</v>
      </c>
      <c r="O1214" s="4" t="s">
        <v>257</v>
      </c>
      <c r="P1214" s="4" t="s">
        <v>257</v>
      </c>
      <c r="Q1214" s="8" t="s">
        <v>100</v>
      </c>
      <c r="R1214" s="9">
        <f t="shared" si="19"/>
        <v>4.1253432098947504E-5</v>
      </c>
      <c r="S1214" s="55">
        <f>Tabla3[[#This Row],[Subtotal]]/12</f>
        <v>195955.33333333334</v>
      </c>
    </row>
    <row r="1215" spans="1:19" x14ac:dyDescent="0.2">
      <c r="A1215" s="4">
        <v>1627</v>
      </c>
      <c r="B1215" s="2">
        <v>2333028</v>
      </c>
      <c r="C1215" s="2">
        <v>0</v>
      </c>
      <c r="D1215" s="4" t="s">
        <v>3742</v>
      </c>
      <c r="E1215" s="2">
        <v>2333028</v>
      </c>
      <c r="F1215" s="2">
        <v>443275.32</v>
      </c>
      <c r="G1215" s="2">
        <v>0</v>
      </c>
      <c r="H1215" s="4">
        <v>0</v>
      </c>
      <c r="I1215" s="4">
        <v>0</v>
      </c>
      <c r="J1215" s="4">
        <v>0</v>
      </c>
      <c r="K1215" s="4">
        <v>2776303.32</v>
      </c>
      <c r="L1215" s="4" t="s">
        <v>3740</v>
      </c>
      <c r="M1215" s="4" t="s">
        <v>3741</v>
      </c>
      <c r="N1215" s="4" t="s">
        <v>332</v>
      </c>
      <c r="O1215" s="4" t="s">
        <v>1127</v>
      </c>
      <c r="P1215" s="4" t="s">
        <v>1127</v>
      </c>
      <c r="Q1215" s="8" t="s">
        <v>100</v>
      </c>
      <c r="R1215" s="9">
        <f t="shared" si="19"/>
        <v>4.0929996029258068E-5</v>
      </c>
      <c r="S1215" s="55">
        <f>Tabla3[[#This Row],[Subtotal]]/12</f>
        <v>194419</v>
      </c>
    </row>
    <row r="1216" spans="1:19" x14ac:dyDescent="0.2">
      <c r="A1216" s="4">
        <v>1087</v>
      </c>
      <c r="B1216" s="2">
        <v>2332450</v>
      </c>
      <c r="C1216" s="2">
        <v>0</v>
      </c>
      <c r="D1216" s="4" t="s">
        <v>3745</v>
      </c>
      <c r="E1216" s="2">
        <v>2332450</v>
      </c>
      <c r="F1216" s="2">
        <v>443165.5</v>
      </c>
      <c r="G1216" s="2">
        <v>0</v>
      </c>
      <c r="H1216" s="4">
        <v>0</v>
      </c>
      <c r="I1216" s="4">
        <v>0</v>
      </c>
      <c r="J1216" s="4">
        <v>0</v>
      </c>
      <c r="K1216" s="4">
        <v>2775615.5</v>
      </c>
      <c r="L1216" s="4" t="s">
        <v>3743</v>
      </c>
      <c r="M1216" s="4" t="s">
        <v>3744</v>
      </c>
      <c r="N1216" s="4" t="s">
        <v>750</v>
      </c>
      <c r="O1216" s="4" t="s">
        <v>76</v>
      </c>
      <c r="P1216" s="4" t="s">
        <v>76</v>
      </c>
      <c r="Q1216" s="8" t="s">
        <v>585</v>
      </c>
      <c r="R1216" s="9">
        <f t="shared" si="19"/>
        <v>4.0919855757600415E-5</v>
      </c>
      <c r="S1216" s="55">
        <f>Tabla3[[#This Row],[Subtotal]]/12</f>
        <v>194370.83333333334</v>
      </c>
    </row>
    <row r="1217" spans="1:19" x14ac:dyDescent="0.2">
      <c r="A1217" s="4">
        <v>294</v>
      </c>
      <c r="B1217" s="2">
        <v>2321880</v>
      </c>
      <c r="C1217" s="2">
        <v>0</v>
      </c>
      <c r="D1217" s="4" t="s">
        <v>3748</v>
      </c>
      <c r="E1217" s="2">
        <v>2321880</v>
      </c>
      <c r="F1217" s="2">
        <v>441157.2</v>
      </c>
      <c r="G1217" s="2">
        <v>58047</v>
      </c>
      <c r="H1217" s="4">
        <v>0</v>
      </c>
      <c r="I1217" s="4">
        <v>0</v>
      </c>
      <c r="J1217" s="4">
        <v>58047</v>
      </c>
      <c r="K1217" s="4">
        <v>2704990.2</v>
      </c>
      <c r="L1217" s="4" t="s">
        <v>3746</v>
      </c>
      <c r="M1217" s="4" t="s">
        <v>3747</v>
      </c>
      <c r="N1217" s="4" t="s">
        <v>117</v>
      </c>
      <c r="O1217" s="4" t="s">
        <v>93</v>
      </c>
      <c r="P1217" s="4" t="s">
        <v>93</v>
      </c>
      <c r="Q1217" s="8" t="s">
        <v>100</v>
      </c>
      <c r="R1217" s="9">
        <f t="shared" si="19"/>
        <v>4.0734418609812538E-5</v>
      </c>
      <c r="S1217" s="55">
        <f>Tabla3[[#This Row],[Subtotal]]/12</f>
        <v>193490</v>
      </c>
    </row>
    <row r="1218" spans="1:19" x14ac:dyDescent="0.2">
      <c r="A1218" s="4">
        <v>483</v>
      </c>
      <c r="B1218" s="2">
        <v>2316292</v>
      </c>
      <c r="C1218" s="2">
        <v>0</v>
      </c>
      <c r="D1218" s="4" t="s">
        <v>3751</v>
      </c>
      <c r="E1218" s="2">
        <v>2316292</v>
      </c>
      <c r="F1218" s="2">
        <v>440095.48</v>
      </c>
      <c r="G1218" s="2">
        <v>57907.3</v>
      </c>
      <c r="H1218" s="4">
        <v>0</v>
      </c>
      <c r="I1218" s="4">
        <v>0</v>
      </c>
      <c r="J1218" s="4">
        <v>57907.3</v>
      </c>
      <c r="K1218" s="4">
        <v>2698480.18</v>
      </c>
      <c r="L1218" s="4" t="s">
        <v>3749</v>
      </c>
      <c r="M1218" s="4" t="s">
        <v>3750</v>
      </c>
      <c r="N1218" s="4" t="s">
        <v>3752</v>
      </c>
      <c r="O1218" s="4" t="s">
        <v>229</v>
      </c>
      <c r="P1218" s="4" t="s">
        <v>229</v>
      </c>
      <c r="Q1218" s="8" t="s">
        <v>100</v>
      </c>
      <c r="R1218" s="9">
        <f t="shared" si="19"/>
        <v>4.0636384287973501E-5</v>
      </c>
      <c r="S1218" s="55">
        <f>Tabla3[[#This Row],[Subtotal]]/12</f>
        <v>193024.33333333334</v>
      </c>
    </row>
    <row r="1219" spans="1:19" x14ac:dyDescent="0.2">
      <c r="A1219" s="4">
        <v>1560</v>
      </c>
      <c r="B1219" s="2">
        <v>2313310</v>
      </c>
      <c r="C1219" s="2">
        <v>0</v>
      </c>
      <c r="D1219" s="4" t="s">
        <v>3755</v>
      </c>
      <c r="E1219" s="2">
        <v>2313310</v>
      </c>
      <c r="F1219" s="2">
        <v>439528.9</v>
      </c>
      <c r="G1219" s="2">
        <v>0</v>
      </c>
      <c r="H1219" s="4">
        <v>0</v>
      </c>
      <c r="I1219" s="4">
        <v>0</v>
      </c>
      <c r="J1219" s="4">
        <v>0</v>
      </c>
      <c r="K1219" s="4">
        <v>2752838.9</v>
      </c>
      <c r="L1219" s="4" t="s">
        <v>3753</v>
      </c>
      <c r="M1219" s="4" t="s">
        <v>3754</v>
      </c>
      <c r="N1219" s="4" t="s">
        <v>20</v>
      </c>
      <c r="O1219" s="4" t="s">
        <v>257</v>
      </c>
      <c r="P1219" s="4" t="s">
        <v>257</v>
      </c>
      <c r="Q1219" s="8" t="s">
        <v>100</v>
      </c>
      <c r="R1219" s="9">
        <f t="shared" ref="R1219:R1282" si="20">E1219/$E$1757</f>
        <v>4.0584068907206855E-5</v>
      </c>
      <c r="S1219" s="55">
        <f>Tabla3[[#This Row],[Subtotal]]/12</f>
        <v>192775.83333333334</v>
      </c>
    </row>
    <row r="1220" spans="1:19" x14ac:dyDescent="0.2">
      <c r="A1220" s="4">
        <v>534</v>
      </c>
      <c r="B1220" s="2">
        <v>2303765</v>
      </c>
      <c r="C1220" s="2">
        <v>0</v>
      </c>
      <c r="D1220" s="4" t="s">
        <v>3758</v>
      </c>
      <c r="E1220" s="2">
        <v>2303765</v>
      </c>
      <c r="F1220" s="2">
        <v>437715.35</v>
      </c>
      <c r="G1220" s="2">
        <v>0</v>
      </c>
      <c r="H1220" s="4">
        <v>0</v>
      </c>
      <c r="I1220" s="4">
        <v>0</v>
      </c>
      <c r="J1220" s="4">
        <v>0</v>
      </c>
      <c r="K1220" s="4">
        <v>2741480.35</v>
      </c>
      <c r="L1220" s="4" t="s">
        <v>3756</v>
      </c>
      <c r="M1220" s="4" t="s">
        <v>3757</v>
      </c>
      <c r="N1220" s="4" t="s">
        <v>674</v>
      </c>
      <c r="O1220" s="4" t="s">
        <v>89</v>
      </c>
      <c r="P1220" s="4" t="s">
        <v>89</v>
      </c>
      <c r="Q1220" s="8" t="s">
        <v>100</v>
      </c>
      <c r="R1220" s="9">
        <f t="shared" si="20"/>
        <v>4.0416614075074848E-5</v>
      </c>
      <c r="S1220" s="55">
        <f>Tabla3[[#This Row],[Subtotal]]/12</f>
        <v>191980.41666666666</v>
      </c>
    </row>
    <row r="1221" spans="1:19" x14ac:dyDescent="0.2">
      <c r="A1221" s="4">
        <v>1436</v>
      </c>
      <c r="B1221" s="2">
        <v>2292470</v>
      </c>
      <c r="C1221" s="2">
        <v>0</v>
      </c>
      <c r="D1221" s="4" t="s">
        <v>3761</v>
      </c>
      <c r="E1221" s="2">
        <v>2292470</v>
      </c>
      <c r="F1221" s="2">
        <v>435569.3</v>
      </c>
      <c r="G1221" s="2">
        <v>0</v>
      </c>
      <c r="H1221" s="4">
        <v>0</v>
      </c>
      <c r="I1221" s="4">
        <v>0</v>
      </c>
      <c r="J1221" s="4">
        <v>0</v>
      </c>
      <c r="K1221" s="4">
        <v>2728039.3</v>
      </c>
      <c r="L1221" s="4" t="s">
        <v>3759</v>
      </c>
      <c r="M1221" s="4" t="s">
        <v>3760</v>
      </c>
      <c r="N1221" s="4" t="s">
        <v>20</v>
      </c>
      <c r="O1221" s="4" t="s">
        <v>2863</v>
      </c>
      <c r="P1221" s="4" t="s">
        <v>2863</v>
      </c>
      <c r="Q1221" s="8" t="s">
        <v>100</v>
      </c>
      <c r="R1221" s="9">
        <f t="shared" si="20"/>
        <v>4.0218457728408426E-5</v>
      </c>
      <c r="S1221" s="55">
        <f>Tabla3[[#This Row],[Subtotal]]/12</f>
        <v>191039.16666666666</v>
      </c>
    </row>
    <row r="1222" spans="1:19" x14ac:dyDescent="0.2">
      <c r="A1222" s="4">
        <v>1406</v>
      </c>
      <c r="B1222" s="2">
        <v>2289756</v>
      </c>
      <c r="C1222" s="2">
        <v>0</v>
      </c>
      <c r="D1222" s="4" t="s">
        <v>3764</v>
      </c>
      <c r="E1222" s="2">
        <v>2289756</v>
      </c>
      <c r="F1222" s="2">
        <v>435053.64</v>
      </c>
      <c r="G1222" s="2">
        <v>57243.9</v>
      </c>
      <c r="H1222" s="4">
        <v>0</v>
      </c>
      <c r="I1222" s="4">
        <v>0</v>
      </c>
      <c r="J1222" s="4">
        <v>57243.9</v>
      </c>
      <c r="K1222" s="4">
        <v>2667565.7400000002</v>
      </c>
      <c r="L1222" s="4" t="s">
        <v>3762</v>
      </c>
      <c r="M1222" s="4" t="s">
        <v>3763</v>
      </c>
      <c r="N1222" s="4" t="s">
        <v>20</v>
      </c>
      <c r="O1222" s="4" t="s">
        <v>1043</v>
      </c>
      <c r="P1222" s="4" t="s">
        <v>1043</v>
      </c>
      <c r="Q1222" s="8" t="s">
        <v>100</v>
      </c>
      <c r="R1222" s="9">
        <f t="shared" si="20"/>
        <v>4.017084406529619E-5</v>
      </c>
      <c r="S1222" s="55">
        <f>Tabla3[[#This Row],[Subtotal]]/12</f>
        <v>190813</v>
      </c>
    </row>
    <row r="1223" spans="1:19" x14ac:dyDescent="0.2">
      <c r="A1223" s="4">
        <v>718</v>
      </c>
      <c r="B1223" s="2">
        <v>2247601</v>
      </c>
      <c r="C1223" s="2">
        <v>0</v>
      </c>
      <c r="D1223" s="4" t="s">
        <v>3767</v>
      </c>
      <c r="E1223" s="2">
        <v>2247601</v>
      </c>
      <c r="F1223" s="2">
        <v>427044.19</v>
      </c>
      <c r="G1223" s="2">
        <v>0</v>
      </c>
      <c r="H1223" s="4">
        <v>0</v>
      </c>
      <c r="I1223" s="4">
        <v>0</v>
      </c>
      <c r="J1223" s="4">
        <v>0</v>
      </c>
      <c r="K1223" s="4">
        <v>2674645.19</v>
      </c>
      <c r="L1223" s="4" t="s">
        <v>3765</v>
      </c>
      <c r="M1223" s="4" t="s">
        <v>3766</v>
      </c>
      <c r="N1223" s="4" t="s">
        <v>20</v>
      </c>
      <c r="O1223" s="4" t="s">
        <v>1562</v>
      </c>
      <c r="P1223" s="4" t="s">
        <v>1562</v>
      </c>
      <c r="Q1223" s="8" t="s">
        <v>100</v>
      </c>
      <c r="R1223" s="9">
        <f t="shared" si="20"/>
        <v>3.9431288439468567E-5</v>
      </c>
      <c r="S1223" s="55">
        <f>Tabla3[[#This Row],[Subtotal]]/12</f>
        <v>187300.08333333334</v>
      </c>
    </row>
    <row r="1224" spans="1:19" x14ac:dyDescent="0.2">
      <c r="A1224" s="4">
        <v>1713</v>
      </c>
      <c r="B1224" s="2">
        <v>2241255</v>
      </c>
      <c r="C1224" s="2">
        <v>0</v>
      </c>
      <c r="D1224" s="4" t="s">
        <v>3770</v>
      </c>
      <c r="E1224" s="2">
        <v>2241255</v>
      </c>
      <c r="F1224" s="2">
        <v>425838.45</v>
      </c>
      <c r="G1224" s="2">
        <v>0</v>
      </c>
      <c r="H1224" s="4">
        <v>0</v>
      </c>
      <c r="I1224" s="4">
        <v>0</v>
      </c>
      <c r="J1224" s="4">
        <v>0</v>
      </c>
      <c r="K1224" s="4">
        <v>2667093.4500000002</v>
      </c>
      <c r="L1224" s="4" t="s">
        <v>3768</v>
      </c>
      <c r="M1224" s="4" t="s">
        <v>3769</v>
      </c>
      <c r="N1224" s="4" t="s">
        <v>648</v>
      </c>
      <c r="O1224" s="4" t="s">
        <v>340</v>
      </c>
      <c r="P1224" s="4" t="s">
        <v>340</v>
      </c>
      <c r="Q1224" s="8" t="s">
        <v>100</v>
      </c>
      <c r="R1224" s="9">
        <f t="shared" si="20"/>
        <v>3.9319955975905473E-5</v>
      </c>
      <c r="S1224" s="55">
        <f>Tabla3[[#This Row],[Subtotal]]/12</f>
        <v>186771.25</v>
      </c>
    </row>
    <row r="1225" spans="1:19" x14ac:dyDescent="0.2">
      <c r="A1225" s="4">
        <v>400</v>
      </c>
      <c r="B1225" s="2">
        <v>2238399</v>
      </c>
      <c r="C1225" s="2">
        <v>0</v>
      </c>
      <c r="D1225" s="4" t="s">
        <v>3773</v>
      </c>
      <c r="E1225" s="2">
        <v>2238399</v>
      </c>
      <c r="F1225" s="2">
        <v>425295.81</v>
      </c>
      <c r="G1225" s="2">
        <v>0</v>
      </c>
      <c r="H1225" s="4">
        <v>0</v>
      </c>
      <c r="I1225" s="4">
        <v>0</v>
      </c>
      <c r="J1225" s="4">
        <v>0</v>
      </c>
      <c r="K1225" s="4">
        <v>2663694.81</v>
      </c>
      <c r="L1225" s="4" t="s">
        <v>3771</v>
      </c>
      <c r="M1225" s="4" t="s">
        <v>3772</v>
      </c>
      <c r="N1225" s="4" t="s">
        <v>1298</v>
      </c>
      <c r="O1225" s="4" t="s">
        <v>93</v>
      </c>
      <c r="P1225" s="4" t="s">
        <v>93</v>
      </c>
      <c r="Q1225" s="8" t="s">
        <v>100</v>
      </c>
      <c r="R1225" s="9">
        <f t="shared" si="20"/>
        <v>3.9269851104185304E-5</v>
      </c>
      <c r="S1225" s="55">
        <f>Tabla3[[#This Row],[Subtotal]]/12</f>
        <v>186533.25</v>
      </c>
    </row>
    <row r="1226" spans="1:19" x14ac:dyDescent="0.2">
      <c r="A1226" s="4">
        <v>1577</v>
      </c>
      <c r="B1226" s="2">
        <v>2232944</v>
      </c>
      <c r="C1226" s="2">
        <v>0</v>
      </c>
      <c r="D1226" s="4" t="s">
        <v>3776</v>
      </c>
      <c r="E1226" s="2">
        <v>2232944</v>
      </c>
      <c r="F1226" s="2">
        <v>424259.36</v>
      </c>
      <c r="G1226" s="2">
        <v>0</v>
      </c>
      <c r="H1226" s="4">
        <v>0</v>
      </c>
      <c r="I1226" s="4">
        <v>0</v>
      </c>
      <c r="J1226" s="4">
        <v>0</v>
      </c>
      <c r="K1226" s="4">
        <v>2657203.36</v>
      </c>
      <c r="L1226" s="4" t="s">
        <v>3774</v>
      </c>
      <c r="M1226" s="4" t="s">
        <v>3775</v>
      </c>
      <c r="N1226" s="4" t="s">
        <v>20</v>
      </c>
      <c r="O1226" s="4" t="s">
        <v>603</v>
      </c>
      <c r="P1226" s="4" t="s">
        <v>603</v>
      </c>
      <c r="Q1226" s="8" t="s">
        <v>100</v>
      </c>
      <c r="R1226" s="9">
        <f t="shared" si="20"/>
        <v>3.9174150097450881E-5</v>
      </c>
      <c r="S1226" s="55">
        <f>Tabla3[[#This Row],[Subtotal]]/12</f>
        <v>186078.66666666666</v>
      </c>
    </row>
    <row r="1227" spans="1:19" x14ac:dyDescent="0.2">
      <c r="A1227" s="4">
        <v>1239</v>
      </c>
      <c r="B1227" s="2">
        <v>2226762</v>
      </c>
      <c r="C1227" s="2">
        <v>0</v>
      </c>
      <c r="D1227" s="4" t="s">
        <v>3779</v>
      </c>
      <c r="E1227" s="2">
        <v>2226762</v>
      </c>
      <c r="F1227" s="2">
        <v>423084.78</v>
      </c>
      <c r="G1227" s="2">
        <v>0</v>
      </c>
      <c r="H1227" s="4">
        <v>0</v>
      </c>
      <c r="I1227" s="4">
        <v>0</v>
      </c>
      <c r="J1227" s="4">
        <v>0</v>
      </c>
      <c r="K1227" s="4">
        <v>2649846.7799999998</v>
      </c>
      <c r="L1227" s="4" t="s">
        <v>3777</v>
      </c>
      <c r="M1227" s="4" t="s">
        <v>3778</v>
      </c>
      <c r="N1227" s="4" t="s">
        <v>1280</v>
      </c>
      <c r="O1227" s="4" t="s">
        <v>1188</v>
      </c>
      <c r="P1227" s="4" t="s">
        <v>1188</v>
      </c>
      <c r="Q1227" s="8" t="s">
        <v>100</v>
      </c>
      <c r="R1227" s="9">
        <f t="shared" si="20"/>
        <v>3.9065694804392731E-5</v>
      </c>
      <c r="S1227" s="55">
        <f>Tabla3[[#This Row],[Subtotal]]/12</f>
        <v>185563.5</v>
      </c>
    </row>
    <row r="1228" spans="1:19" x14ac:dyDescent="0.2">
      <c r="A1228" s="4">
        <v>1609</v>
      </c>
      <c r="B1228" s="2">
        <v>2208730</v>
      </c>
      <c r="C1228" s="2">
        <v>0</v>
      </c>
      <c r="D1228" s="4" t="s">
        <v>3782</v>
      </c>
      <c r="E1228" s="2">
        <v>2208730</v>
      </c>
      <c r="F1228" s="2">
        <v>419658.7</v>
      </c>
      <c r="G1228" s="2">
        <v>0</v>
      </c>
      <c r="H1228" s="4">
        <v>0</v>
      </c>
      <c r="I1228" s="4">
        <v>0</v>
      </c>
      <c r="J1228" s="4">
        <v>0</v>
      </c>
      <c r="K1228" s="4">
        <v>2628388.7000000002</v>
      </c>
      <c r="L1228" s="4" t="s">
        <v>3780</v>
      </c>
      <c r="M1228" s="4" t="s">
        <v>3781</v>
      </c>
      <c r="N1228" s="4" t="s">
        <v>20</v>
      </c>
      <c r="O1228" s="4" t="s">
        <v>631</v>
      </c>
      <c r="P1228" s="4" t="s">
        <v>631</v>
      </c>
      <c r="Q1228" s="8" t="s">
        <v>100</v>
      </c>
      <c r="R1228" s="9">
        <f t="shared" si="20"/>
        <v>3.8749346398630094E-5</v>
      </c>
      <c r="S1228" s="55">
        <f>Tabla3[[#This Row],[Subtotal]]/12</f>
        <v>184060.83333333334</v>
      </c>
    </row>
    <row r="1229" spans="1:19" x14ac:dyDescent="0.2">
      <c r="A1229" s="4">
        <v>530</v>
      </c>
      <c r="B1229" s="2">
        <v>2187270</v>
      </c>
      <c r="C1229" s="2">
        <v>0</v>
      </c>
      <c r="D1229" s="4" t="s">
        <v>3785</v>
      </c>
      <c r="E1229" s="2">
        <v>2187270</v>
      </c>
      <c r="F1229" s="2">
        <v>415581.3</v>
      </c>
      <c r="G1229" s="2">
        <v>42769.25</v>
      </c>
      <c r="H1229" s="4">
        <v>0</v>
      </c>
      <c r="I1229" s="4">
        <v>0</v>
      </c>
      <c r="J1229" s="4">
        <v>42769.25</v>
      </c>
      <c r="K1229" s="4">
        <v>2560082.0499999998</v>
      </c>
      <c r="L1229" s="4" t="s">
        <v>3783</v>
      </c>
      <c r="M1229" s="4" t="s">
        <v>3784</v>
      </c>
      <c r="N1229" s="4" t="s">
        <v>368</v>
      </c>
      <c r="O1229" s="4" t="s">
        <v>76</v>
      </c>
      <c r="P1229" s="4" t="s">
        <v>76</v>
      </c>
      <c r="Q1229" s="8" t="s">
        <v>408</v>
      </c>
      <c r="R1229" s="9">
        <f t="shared" si="20"/>
        <v>3.8372858111825193E-5</v>
      </c>
      <c r="S1229" s="55">
        <f>Tabla3[[#This Row],[Subtotal]]/12</f>
        <v>182272.5</v>
      </c>
    </row>
    <row r="1230" spans="1:19" x14ac:dyDescent="0.2">
      <c r="A1230" s="4">
        <v>493</v>
      </c>
      <c r="B1230" s="2">
        <v>2185008</v>
      </c>
      <c r="C1230" s="2">
        <v>0</v>
      </c>
      <c r="D1230" s="4" t="s">
        <v>3788</v>
      </c>
      <c r="E1230" s="2">
        <v>2185008</v>
      </c>
      <c r="F1230" s="2">
        <v>415151.52</v>
      </c>
      <c r="G1230" s="2">
        <v>0</v>
      </c>
      <c r="H1230" s="4">
        <v>0</v>
      </c>
      <c r="I1230" s="4">
        <v>0</v>
      </c>
      <c r="J1230" s="4">
        <v>0</v>
      </c>
      <c r="K1230" s="4">
        <v>2600159.52</v>
      </c>
      <c r="L1230" s="4" t="s">
        <v>3786</v>
      </c>
      <c r="M1230" s="4" t="s">
        <v>3787</v>
      </c>
      <c r="N1230" s="4" t="s">
        <v>1348</v>
      </c>
      <c r="O1230" s="4" t="s">
        <v>747</v>
      </c>
      <c r="P1230" s="4" t="s">
        <v>747</v>
      </c>
      <c r="Q1230" s="8" t="s">
        <v>100</v>
      </c>
      <c r="R1230" s="9">
        <f t="shared" si="20"/>
        <v>3.8333174211324132E-5</v>
      </c>
      <c r="S1230" s="55">
        <f>Tabla3[[#This Row],[Subtotal]]/12</f>
        <v>182084</v>
      </c>
    </row>
    <row r="1231" spans="1:19" x14ac:dyDescent="0.2">
      <c r="A1231" s="4">
        <v>856</v>
      </c>
      <c r="B1231" s="2">
        <v>2178982</v>
      </c>
      <c r="C1231" s="2">
        <v>0</v>
      </c>
      <c r="D1231" s="4" t="s">
        <v>3791</v>
      </c>
      <c r="E1231" s="2">
        <v>2178982</v>
      </c>
      <c r="F1231" s="2">
        <v>414006.58</v>
      </c>
      <c r="G1231" s="2">
        <v>0</v>
      </c>
      <c r="H1231" s="4">
        <v>0</v>
      </c>
      <c r="I1231" s="4">
        <v>0</v>
      </c>
      <c r="J1231" s="4">
        <v>0</v>
      </c>
      <c r="K1231" s="4">
        <v>2592988.58</v>
      </c>
      <c r="L1231" s="4" t="s">
        <v>3789</v>
      </c>
      <c r="M1231" s="4" t="s">
        <v>3790</v>
      </c>
      <c r="N1231" s="4" t="s">
        <v>20</v>
      </c>
      <c r="O1231" s="4" t="s">
        <v>316</v>
      </c>
      <c r="P1231" s="4" t="s">
        <v>316</v>
      </c>
      <c r="Q1231" s="8" t="s">
        <v>100</v>
      </c>
      <c r="R1231" s="9">
        <f t="shared" si="20"/>
        <v>3.8227455738990191E-5</v>
      </c>
      <c r="S1231" s="55">
        <f>Tabla3[[#This Row],[Subtotal]]/12</f>
        <v>181581.83333333334</v>
      </c>
    </row>
    <row r="1232" spans="1:19" x14ac:dyDescent="0.2">
      <c r="A1232" s="4">
        <v>1482</v>
      </c>
      <c r="B1232" s="2">
        <v>2163728</v>
      </c>
      <c r="C1232" s="2">
        <v>0</v>
      </c>
      <c r="D1232" s="4" t="s">
        <v>3794</v>
      </c>
      <c r="E1232" s="2">
        <v>2163728</v>
      </c>
      <c r="F1232" s="2">
        <v>411108.32</v>
      </c>
      <c r="G1232" s="2">
        <v>0</v>
      </c>
      <c r="H1232" s="4">
        <v>0</v>
      </c>
      <c r="I1232" s="4">
        <v>0</v>
      </c>
      <c r="J1232" s="4">
        <v>0</v>
      </c>
      <c r="K1232" s="4">
        <v>2574836.3199999998</v>
      </c>
      <c r="L1232" s="4" t="s">
        <v>3792</v>
      </c>
      <c r="M1232" s="4" t="s">
        <v>3793</v>
      </c>
      <c r="N1232" s="4" t="s">
        <v>20</v>
      </c>
      <c r="O1232" s="4" t="s">
        <v>631</v>
      </c>
      <c r="P1232" s="4" t="s">
        <v>631</v>
      </c>
      <c r="Q1232" s="8" t="s">
        <v>100</v>
      </c>
      <c r="R1232" s="9">
        <f t="shared" si="20"/>
        <v>3.7959843794585622E-5</v>
      </c>
      <c r="S1232" s="55">
        <f>Tabla3[[#This Row],[Subtotal]]/12</f>
        <v>180310.66666666666</v>
      </c>
    </row>
    <row r="1233" spans="1:19" x14ac:dyDescent="0.2">
      <c r="A1233" s="4">
        <v>1108</v>
      </c>
      <c r="B1233" s="2">
        <v>2155267</v>
      </c>
      <c r="C1233" s="2">
        <v>0</v>
      </c>
      <c r="D1233" s="4" t="s">
        <v>3797</v>
      </c>
      <c r="E1233" s="2">
        <v>2155267</v>
      </c>
      <c r="F1233" s="2">
        <v>409500.73</v>
      </c>
      <c r="G1233" s="2">
        <v>28510.25</v>
      </c>
      <c r="H1233" s="4">
        <v>0</v>
      </c>
      <c r="I1233" s="4">
        <v>0</v>
      </c>
      <c r="J1233" s="4">
        <v>28510.25</v>
      </c>
      <c r="K1233" s="4">
        <v>2536257.48</v>
      </c>
      <c r="L1233" s="4" t="s">
        <v>3795</v>
      </c>
      <c r="M1233" s="4" t="s">
        <v>3796</v>
      </c>
      <c r="N1233" s="4" t="s">
        <v>775</v>
      </c>
      <c r="O1233" s="4" t="s">
        <v>27</v>
      </c>
      <c r="P1233" s="4" t="s">
        <v>27</v>
      </c>
      <c r="Q1233" s="8" t="s">
        <v>100</v>
      </c>
      <c r="R1233" s="9">
        <f t="shared" si="20"/>
        <v>3.7811406357742365E-5</v>
      </c>
      <c r="S1233" s="55">
        <f>Tabla3[[#This Row],[Subtotal]]/12</f>
        <v>179605.58333333334</v>
      </c>
    </row>
    <row r="1234" spans="1:19" x14ac:dyDescent="0.2">
      <c r="A1234" s="4">
        <v>1418</v>
      </c>
      <c r="B1234" s="2">
        <v>2153608</v>
      </c>
      <c r="C1234" s="2">
        <v>0</v>
      </c>
      <c r="D1234" s="4" t="s">
        <v>3800</v>
      </c>
      <c r="E1234" s="2">
        <v>2153608</v>
      </c>
      <c r="F1234" s="2">
        <v>409185.52</v>
      </c>
      <c r="G1234" s="2">
        <v>0</v>
      </c>
      <c r="H1234" s="4">
        <v>0</v>
      </c>
      <c r="I1234" s="4">
        <v>0</v>
      </c>
      <c r="J1234" s="4">
        <v>0</v>
      </c>
      <c r="K1234" s="4">
        <v>2562793.52</v>
      </c>
      <c r="L1234" s="4" t="s">
        <v>3798</v>
      </c>
      <c r="M1234" s="4" t="s">
        <v>3799</v>
      </c>
      <c r="N1234" s="4" t="s">
        <v>272</v>
      </c>
      <c r="O1234" s="4" t="s">
        <v>89</v>
      </c>
      <c r="P1234" s="4" t="s">
        <v>89</v>
      </c>
      <c r="Q1234" s="8" t="s">
        <v>100</v>
      </c>
      <c r="R1234" s="9">
        <f t="shared" si="20"/>
        <v>3.7782301321963737E-5</v>
      </c>
      <c r="S1234" s="55">
        <f>Tabla3[[#This Row],[Subtotal]]/12</f>
        <v>179467.33333333334</v>
      </c>
    </row>
    <row r="1235" spans="1:19" x14ac:dyDescent="0.2">
      <c r="A1235" s="4">
        <v>673</v>
      </c>
      <c r="B1235" s="2">
        <v>2149845</v>
      </c>
      <c r="C1235" s="2">
        <v>0</v>
      </c>
      <c r="D1235" s="4" t="s">
        <v>3802</v>
      </c>
      <c r="E1235" s="2">
        <v>2149845</v>
      </c>
      <c r="F1235" s="2">
        <v>408470.55</v>
      </c>
      <c r="G1235" s="2">
        <v>0</v>
      </c>
      <c r="H1235" s="4">
        <v>0</v>
      </c>
      <c r="I1235" s="4">
        <v>0</v>
      </c>
      <c r="J1235" s="4">
        <v>0</v>
      </c>
      <c r="K1235" s="4">
        <v>2558315.5499999998</v>
      </c>
      <c r="L1235" s="4" t="s">
        <v>3801</v>
      </c>
      <c r="M1235" s="4" t="s">
        <v>1930</v>
      </c>
      <c r="N1235" s="4" t="s">
        <v>674</v>
      </c>
      <c r="O1235" s="4" t="s">
        <v>89</v>
      </c>
      <c r="P1235" s="4" t="s">
        <v>89</v>
      </c>
      <c r="Q1235" s="8" t="s">
        <v>28</v>
      </c>
      <c r="R1235" s="9">
        <f t="shared" si="20"/>
        <v>3.7716284293853449E-5</v>
      </c>
      <c r="S1235" s="55">
        <f>Tabla3[[#This Row],[Subtotal]]/12</f>
        <v>179153.75</v>
      </c>
    </row>
    <row r="1236" spans="1:19" x14ac:dyDescent="0.2">
      <c r="A1236" s="4">
        <v>1023</v>
      </c>
      <c r="B1236" s="2">
        <v>2148186</v>
      </c>
      <c r="C1236" s="2">
        <v>0</v>
      </c>
      <c r="D1236" s="4" t="s">
        <v>3805</v>
      </c>
      <c r="E1236" s="2">
        <v>2148186</v>
      </c>
      <c r="F1236" s="2">
        <v>408155.34</v>
      </c>
      <c r="G1236" s="2">
        <v>0</v>
      </c>
      <c r="H1236" s="4">
        <v>0</v>
      </c>
      <c r="I1236" s="4">
        <v>0</v>
      </c>
      <c r="J1236" s="4">
        <v>0</v>
      </c>
      <c r="K1236" s="4">
        <v>2556341.34</v>
      </c>
      <c r="L1236" s="4" t="s">
        <v>3803</v>
      </c>
      <c r="M1236" s="4" t="s">
        <v>3804</v>
      </c>
      <c r="N1236" s="4" t="s">
        <v>20</v>
      </c>
      <c r="O1236" s="4" t="s">
        <v>316</v>
      </c>
      <c r="P1236" s="4" t="s">
        <v>316</v>
      </c>
      <c r="Q1236" s="8" t="s">
        <v>100</v>
      </c>
      <c r="R1236" s="9">
        <f t="shared" si="20"/>
        <v>3.7687179258074822E-5</v>
      </c>
      <c r="S1236" s="55">
        <f>Tabla3[[#This Row],[Subtotal]]/12</f>
        <v>179015.5</v>
      </c>
    </row>
    <row r="1237" spans="1:19" x14ac:dyDescent="0.2">
      <c r="A1237" s="4">
        <v>147</v>
      </c>
      <c r="B1237" s="2">
        <v>2136356</v>
      </c>
      <c r="C1237" s="2">
        <v>0</v>
      </c>
      <c r="D1237" s="4" t="s">
        <v>3808</v>
      </c>
      <c r="E1237" s="2">
        <v>2136356</v>
      </c>
      <c r="F1237" s="2">
        <v>405907.64</v>
      </c>
      <c r="G1237" s="2">
        <v>23222.23</v>
      </c>
      <c r="H1237" s="4">
        <v>0</v>
      </c>
      <c r="I1237" s="4">
        <v>7005.96</v>
      </c>
      <c r="J1237" s="4">
        <v>30228.19</v>
      </c>
      <c r="K1237" s="4">
        <v>2512035.4500000002</v>
      </c>
      <c r="L1237" s="4" t="s">
        <v>3806</v>
      </c>
      <c r="M1237" s="4" t="s">
        <v>3807</v>
      </c>
      <c r="N1237" s="4" t="s">
        <v>368</v>
      </c>
      <c r="O1237" s="4" t="s">
        <v>900</v>
      </c>
      <c r="P1237" s="4" t="s">
        <v>900</v>
      </c>
      <c r="Q1237" s="8" t="s">
        <v>144</v>
      </c>
      <c r="R1237" s="9">
        <f t="shared" si="20"/>
        <v>3.7479637019822157E-5</v>
      </c>
      <c r="S1237" s="55">
        <f>Tabla3[[#This Row],[Subtotal]]/12</f>
        <v>178029.66666666666</v>
      </c>
    </row>
    <row r="1238" spans="1:19" x14ac:dyDescent="0.2">
      <c r="A1238" s="4">
        <v>824</v>
      </c>
      <c r="B1238" s="2">
        <v>2134259</v>
      </c>
      <c r="C1238" s="2">
        <v>0</v>
      </c>
      <c r="D1238" s="4" t="s">
        <v>3811</v>
      </c>
      <c r="E1238" s="2">
        <v>2134259</v>
      </c>
      <c r="F1238" s="2">
        <v>405509.21</v>
      </c>
      <c r="G1238" s="2">
        <v>0</v>
      </c>
      <c r="H1238" s="4">
        <v>0</v>
      </c>
      <c r="I1238" s="4">
        <v>0</v>
      </c>
      <c r="J1238" s="4">
        <v>0</v>
      </c>
      <c r="K1238" s="4">
        <v>2539768.21</v>
      </c>
      <c r="L1238" s="4" t="s">
        <v>3809</v>
      </c>
      <c r="M1238" s="4" t="s">
        <v>3810</v>
      </c>
      <c r="N1238" s="4" t="s">
        <v>20</v>
      </c>
      <c r="O1238" s="4" t="s">
        <v>257</v>
      </c>
      <c r="P1238" s="4" t="s">
        <v>257</v>
      </c>
      <c r="Q1238" s="8" t="s">
        <v>100</v>
      </c>
      <c r="R1238" s="9">
        <f t="shared" si="20"/>
        <v>3.7442847833548632E-5</v>
      </c>
      <c r="S1238" s="55">
        <f>Tabla3[[#This Row],[Subtotal]]/12</f>
        <v>177854.91666666666</v>
      </c>
    </row>
    <row r="1239" spans="1:19" x14ac:dyDescent="0.2">
      <c r="A1239" s="4">
        <v>561</v>
      </c>
      <c r="B1239" s="2">
        <v>2119390</v>
      </c>
      <c r="C1239" s="2">
        <v>0</v>
      </c>
      <c r="D1239" s="4" t="s">
        <v>3814</v>
      </c>
      <c r="E1239" s="2">
        <v>2119390</v>
      </c>
      <c r="F1239" s="2">
        <v>402684.1</v>
      </c>
      <c r="G1239" s="2">
        <v>52984.75</v>
      </c>
      <c r="H1239" s="4">
        <v>0</v>
      </c>
      <c r="I1239" s="4">
        <v>0</v>
      </c>
      <c r="J1239" s="4">
        <v>52984.75</v>
      </c>
      <c r="K1239" s="4">
        <v>2469089.35</v>
      </c>
      <c r="L1239" s="4" t="s">
        <v>3812</v>
      </c>
      <c r="M1239" s="4" t="s">
        <v>3813</v>
      </c>
      <c r="N1239" s="4" t="s">
        <v>332</v>
      </c>
      <c r="O1239" s="4" t="s">
        <v>1127</v>
      </c>
      <c r="P1239" s="4" t="s">
        <v>1127</v>
      </c>
      <c r="Q1239" s="8" t="s">
        <v>100</v>
      </c>
      <c r="R1239" s="9">
        <f t="shared" si="20"/>
        <v>3.7181990222341639E-5</v>
      </c>
      <c r="S1239" s="55">
        <f>Tabla3[[#This Row],[Subtotal]]/12</f>
        <v>176615.83333333334</v>
      </c>
    </row>
    <row r="1240" spans="1:19" x14ac:dyDescent="0.2">
      <c r="A1240" s="4">
        <v>1683</v>
      </c>
      <c r="B1240" s="2">
        <v>2114036</v>
      </c>
      <c r="C1240" s="2">
        <v>0</v>
      </c>
      <c r="D1240" s="4" t="s">
        <v>3817</v>
      </c>
      <c r="E1240" s="2">
        <v>2114036</v>
      </c>
      <c r="F1240" s="2">
        <v>401666.84</v>
      </c>
      <c r="G1240" s="2">
        <v>0</v>
      </c>
      <c r="H1240" s="4">
        <v>0</v>
      </c>
      <c r="I1240" s="4">
        <v>0</v>
      </c>
      <c r="J1240" s="4">
        <v>0</v>
      </c>
      <c r="K1240" s="4">
        <v>2515702.84</v>
      </c>
      <c r="L1240" s="4" t="s">
        <v>3815</v>
      </c>
      <c r="M1240" s="4" t="s">
        <v>3816</v>
      </c>
      <c r="N1240" s="4" t="s">
        <v>1623</v>
      </c>
      <c r="O1240" s="4" t="s">
        <v>229</v>
      </c>
      <c r="P1240" s="4" t="s">
        <v>229</v>
      </c>
      <c r="Q1240" s="8" t="s">
        <v>100</v>
      </c>
      <c r="R1240" s="9">
        <f t="shared" si="20"/>
        <v>3.7088061131588914E-5</v>
      </c>
      <c r="S1240" s="55">
        <f>Tabla3[[#This Row],[Subtotal]]/12</f>
        <v>176169.66666666666</v>
      </c>
    </row>
    <row r="1241" spans="1:19" x14ac:dyDescent="0.2">
      <c r="A1241" s="4">
        <v>303</v>
      </c>
      <c r="B1241" s="2">
        <v>2109048</v>
      </c>
      <c r="C1241" s="2">
        <v>0</v>
      </c>
      <c r="D1241" s="4" t="s">
        <v>3819</v>
      </c>
      <c r="E1241" s="2">
        <v>2109048</v>
      </c>
      <c r="F1241" s="2">
        <v>400719.12</v>
      </c>
      <c r="G1241" s="2">
        <v>52726.2</v>
      </c>
      <c r="H1241" s="4">
        <v>0</v>
      </c>
      <c r="I1241" s="4">
        <v>0</v>
      </c>
      <c r="J1241" s="4">
        <v>52726.2</v>
      </c>
      <c r="K1241" s="4">
        <v>2457040.92</v>
      </c>
      <c r="L1241" s="4" t="s">
        <v>3818</v>
      </c>
      <c r="M1241" s="4" t="s">
        <v>2323</v>
      </c>
      <c r="N1241" s="4" t="s">
        <v>20</v>
      </c>
      <c r="O1241" s="4" t="s">
        <v>631</v>
      </c>
      <c r="P1241" s="4" t="s">
        <v>631</v>
      </c>
      <c r="Q1241" s="8" t="s">
        <v>100</v>
      </c>
      <c r="R1241" s="9">
        <f t="shared" si="20"/>
        <v>3.700055304330453E-5</v>
      </c>
      <c r="S1241" s="55">
        <f>Tabla3[[#This Row],[Subtotal]]/12</f>
        <v>175754</v>
      </c>
    </row>
    <row r="1242" spans="1:19" x14ac:dyDescent="0.2">
      <c r="A1242" s="4">
        <v>797</v>
      </c>
      <c r="B1242" s="2">
        <v>2103575</v>
      </c>
      <c r="C1242" s="2">
        <v>0</v>
      </c>
      <c r="D1242" s="4" t="s">
        <v>3822</v>
      </c>
      <c r="E1242" s="2">
        <v>2103575</v>
      </c>
      <c r="F1242" s="2">
        <v>399679.25</v>
      </c>
      <c r="G1242" s="2">
        <v>0</v>
      </c>
      <c r="H1242" s="4">
        <v>0</v>
      </c>
      <c r="I1242" s="4">
        <v>0</v>
      </c>
      <c r="J1242" s="4">
        <v>0</v>
      </c>
      <c r="K1242" s="4">
        <v>2503254.25</v>
      </c>
      <c r="L1242" s="4" t="s">
        <v>3820</v>
      </c>
      <c r="M1242" s="4" t="s">
        <v>3821</v>
      </c>
      <c r="N1242" s="4" t="s">
        <v>20</v>
      </c>
      <c r="O1242" s="4" t="s">
        <v>631</v>
      </c>
      <c r="P1242" s="4" t="s">
        <v>631</v>
      </c>
      <c r="Q1242" s="8" t="s">
        <v>100</v>
      </c>
      <c r="R1242" s="9">
        <f t="shared" si="20"/>
        <v>3.6904536249563463E-5</v>
      </c>
      <c r="S1242" s="55">
        <f>Tabla3[[#This Row],[Subtotal]]/12</f>
        <v>175297.91666666666</v>
      </c>
    </row>
    <row r="1243" spans="1:19" x14ac:dyDescent="0.2">
      <c r="A1243" s="4">
        <v>479</v>
      </c>
      <c r="B1243" s="2">
        <v>2097625</v>
      </c>
      <c r="C1243" s="2">
        <v>0</v>
      </c>
      <c r="D1243" s="4" t="s">
        <v>3825</v>
      </c>
      <c r="E1243" s="2">
        <v>2097625</v>
      </c>
      <c r="F1243" s="2">
        <v>398548.75</v>
      </c>
      <c r="G1243" s="2">
        <v>16067.03</v>
      </c>
      <c r="H1243" s="4">
        <v>0</v>
      </c>
      <c r="I1243" s="4">
        <v>0</v>
      </c>
      <c r="J1243" s="4">
        <v>16067.03</v>
      </c>
      <c r="K1243" s="4">
        <v>2480106.7200000002</v>
      </c>
      <c r="L1243" s="4" t="s">
        <v>3823</v>
      </c>
      <c r="M1243" s="4" t="s">
        <v>3824</v>
      </c>
      <c r="N1243" s="4" t="s">
        <v>20</v>
      </c>
      <c r="O1243" s="4" t="s">
        <v>257</v>
      </c>
      <c r="P1243" s="4" t="s">
        <v>257</v>
      </c>
      <c r="Q1243" s="8" t="s">
        <v>100</v>
      </c>
      <c r="R1243" s="9">
        <f t="shared" si="20"/>
        <v>3.6800151100146447E-5</v>
      </c>
      <c r="S1243" s="55">
        <f>Tabla3[[#This Row],[Subtotal]]/12</f>
        <v>174802.08333333334</v>
      </c>
    </row>
    <row r="1244" spans="1:19" x14ac:dyDescent="0.2">
      <c r="A1244" s="4">
        <v>661</v>
      </c>
      <c r="B1244" s="2">
        <v>2094452</v>
      </c>
      <c r="C1244" s="2">
        <v>0</v>
      </c>
      <c r="D1244" s="4" t="s">
        <v>3828</v>
      </c>
      <c r="E1244" s="2">
        <v>2094452</v>
      </c>
      <c r="F1244" s="2">
        <v>397945.88</v>
      </c>
      <c r="G1244" s="2">
        <v>0</v>
      </c>
      <c r="H1244" s="4">
        <v>0</v>
      </c>
      <c r="I1244" s="4">
        <v>0</v>
      </c>
      <c r="J1244" s="4">
        <v>0</v>
      </c>
      <c r="K1244" s="4">
        <v>2492397.88</v>
      </c>
      <c r="L1244" s="4" t="s">
        <v>3826</v>
      </c>
      <c r="M1244" s="4" t="s">
        <v>3827</v>
      </c>
      <c r="N1244" s="4" t="s">
        <v>2100</v>
      </c>
      <c r="O1244" s="4" t="s">
        <v>237</v>
      </c>
      <c r="P1244" s="4" t="s">
        <v>237</v>
      </c>
      <c r="Q1244" s="8" t="s">
        <v>100</v>
      </c>
      <c r="R1244" s="9">
        <f t="shared" si="20"/>
        <v>3.6744484868364899E-5</v>
      </c>
      <c r="S1244" s="55">
        <f>Tabla3[[#This Row],[Subtotal]]/12</f>
        <v>174537.66666666666</v>
      </c>
    </row>
    <row r="1245" spans="1:19" x14ac:dyDescent="0.2">
      <c r="A1245" s="4">
        <v>660</v>
      </c>
      <c r="B1245" s="2">
        <v>2074444</v>
      </c>
      <c r="C1245" s="2">
        <v>0</v>
      </c>
      <c r="D1245" s="4" t="s">
        <v>3831</v>
      </c>
      <c r="E1245" s="2">
        <v>2074444</v>
      </c>
      <c r="F1245" s="2">
        <v>394144.36</v>
      </c>
      <c r="G1245" s="2">
        <v>51861.1</v>
      </c>
      <c r="H1245" s="4">
        <v>0</v>
      </c>
      <c r="I1245" s="4">
        <v>0</v>
      </c>
      <c r="J1245" s="4">
        <v>51861.1</v>
      </c>
      <c r="K1245" s="4">
        <v>2416727.2599999998</v>
      </c>
      <c r="L1245" s="4" t="s">
        <v>3829</v>
      </c>
      <c r="M1245" s="4" t="s">
        <v>3830</v>
      </c>
      <c r="N1245" s="4" t="s">
        <v>104</v>
      </c>
      <c r="O1245" s="4" t="s">
        <v>105</v>
      </c>
      <c r="P1245" s="4" t="s">
        <v>105</v>
      </c>
      <c r="Q1245" s="8" t="s">
        <v>100</v>
      </c>
      <c r="R1245" s="9">
        <f t="shared" si="20"/>
        <v>3.6393470066762264E-5</v>
      </c>
      <c r="S1245" s="55">
        <f>Tabla3[[#This Row],[Subtotal]]/12</f>
        <v>172870.33333333334</v>
      </c>
    </row>
    <row r="1246" spans="1:19" x14ac:dyDescent="0.2">
      <c r="A1246" s="4">
        <v>1080</v>
      </c>
      <c r="B1246" s="2">
        <v>2066616</v>
      </c>
      <c r="C1246" s="2">
        <v>0</v>
      </c>
      <c r="D1246" s="4" t="s">
        <v>3834</v>
      </c>
      <c r="E1246" s="2">
        <v>2066616</v>
      </c>
      <c r="F1246" s="2">
        <v>392657.04</v>
      </c>
      <c r="G1246" s="2">
        <v>0</v>
      </c>
      <c r="H1246" s="4">
        <v>0</v>
      </c>
      <c r="I1246" s="4">
        <v>0</v>
      </c>
      <c r="J1246" s="4">
        <v>0</v>
      </c>
      <c r="K1246" s="4">
        <v>2459273.04</v>
      </c>
      <c r="L1246" s="4" t="s">
        <v>3832</v>
      </c>
      <c r="M1246" s="4" t="s">
        <v>3833</v>
      </c>
      <c r="N1246" s="4" t="s">
        <v>20</v>
      </c>
      <c r="O1246" s="4" t="s">
        <v>1043</v>
      </c>
      <c r="P1246" s="4" t="s">
        <v>1043</v>
      </c>
      <c r="Q1246" s="8" t="s">
        <v>100</v>
      </c>
      <c r="R1246" s="9">
        <f t="shared" si="20"/>
        <v>3.6256137806319172E-5</v>
      </c>
      <c r="S1246" s="55">
        <f>Tabla3[[#This Row],[Subtotal]]/12</f>
        <v>172218</v>
      </c>
    </row>
    <row r="1247" spans="1:19" x14ac:dyDescent="0.2">
      <c r="A1247" s="4">
        <v>1657</v>
      </c>
      <c r="B1247" s="2">
        <v>2056360</v>
      </c>
      <c r="C1247" s="2">
        <v>0</v>
      </c>
      <c r="D1247" s="4" t="s">
        <v>3837</v>
      </c>
      <c r="E1247" s="2">
        <v>2056360</v>
      </c>
      <c r="F1247" s="2">
        <v>390708.4</v>
      </c>
      <c r="G1247" s="2">
        <v>51409</v>
      </c>
      <c r="H1247" s="4">
        <v>0</v>
      </c>
      <c r="I1247" s="4">
        <v>0</v>
      </c>
      <c r="J1247" s="4">
        <v>51409</v>
      </c>
      <c r="K1247" s="4">
        <v>2395659.4</v>
      </c>
      <c r="L1247" s="4" t="s">
        <v>3835</v>
      </c>
      <c r="M1247" s="4" t="s">
        <v>3836</v>
      </c>
      <c r="N1247" s="4" t="s">
        <v>293</v>
      </c>
      <c r="O1247" s="4" t="s">
        <v>229</v>
      </c>
      <c r="P1247" s="4" t="s">
        <v>229</v>
      </c>
      <c r="Q1247" s="8" t="s">
        <v>100</v>
      </c>
      <c r="R1247" s="9">
        <f t="shared" si="20"/>
        <v>3.6076209387424898E-5</v>
      </c>
      <c r="S1247" s="55">
        <f>Tabla3[[#This Row],[Subtotal]]/12</f>
        <v>171363.33333333334</v>
      </c>
    </row>
    <row r="1248" spans="1:19" x14ac:dyDescent="0.2">
      <c r="A1248" s="4">
        <v>827</v>
      </c>
      <c r="B1248" s="2">
        <v>2033058</v>
      </c>
      <c r="C1248" s="2">
        <v>0</v>
      </c>
      <c r="D1248" s="4" t="s">
        <v>3840</v>
      </c>
      <c r="E1248" s="2">
        <v>2033058</v>
      </c>
      <c r="F1248" s="2">
        <v>386281.02</v>
      </c>
      <c r="G1248" s="2">
        <v>0</v>
      </c>
      <c r="H1248" s="4">
        <v>0</v>
      </c>
      <c r="I1248" s="4">
        <v>0</v>
      </c>
      <c r="J1248" s="4">
        <v>0</v>
      </c>
      <c r="K1248" s="4">
        <v>2419339.02</v>
      </c>
      <c r="L1248" s="4" t="s">
        <v>3838</v>
      </c>
      <c r="M1248" s="4" t="s">
        <v>3839</v>
      </c>
      <c r="N1248" s="4" t="s">
        <v>20</v>
      </c>
      <c r="O1248" s="4" t="s">
        <v>1356</v>
      </c>
      <c r="P1248" s="4" t="s">
        <v>1356</v>
      </c>
      <c r="Q1248" s="8" t="s">
        <v>100</v>
      </c>
      <c r="R1248" s="9">
        <f t="shared" si="20"/>
        <v>3.5667405563607189E-5</v>
      </c>
      <c r="S1248" s="55">
        <f>Tabla3[[#This Row],[Subtotal]]/12</f>
        <v>169421.5</v>
      </c>
    </row>
    <row r="1249" spans="1:19" x14ac:dyDescent="0.2">
      <c r="A1249" s="4">
        <v>877</v>
      </c>
      <c r="B1249" s="2">
        <v>2029843</v>
      </c>
      <c r="C1249" s="2">
        <v>0</v>
      </c>
      <c r="D1249" s="4" t="s">
        <v>3843</v>
      </c>
      <c r="E1249" s="2">
        <v>2029843</v>
      </c>
      <c r="F1249" s="2">
        <v>385670.17</v>
      </c>
      <c r="G1249" s="2">
        <v>0</v>
      </c>
      <c r="H1249" s="4">
        <v>0</v>
      </c>
      <c r="I1249" s="4">
        <v>0</v>
      </c>
      <c r="J1249" s="4">
        <v>0</v>
      </c>
      <c r="K1249" s="4">
        <v>2415513.17</v>
      </c>
      <c r="L1249" s="4" t="s">
        <v>3841</v>
      </c>
      <c r="M1249" s="4" t="s">
        <v>3842</v>
      </c>
      <c r="N1249" s="4" t="s">
        <v>20</v>
      </c>
      <c r="O1249" s="4" t="s">
        <v>316</v>
      </c>
      <c r="P1249" s="4" t="s">
        <v>316</v>
      </c>
      <c r="Q1249" s="8" t="s">
        <v>100</v>
      </c>
      <c r="R1249" s="9">
        <f t="shared" si="20"/>
        <v>3.5611002495476815E-5</v>
      </c>
      <c r="S1249" s="55">
        <f>Tabla3[[#This Row],[Subtotal]]/12</f>
        <v>169153.58333333334</v>
      </c>
    </row>
    <row r="1250" spans="1:19" x14ac:dyDescent="0.2">
      <c r="A1250" s="4">
        <v>1487</v>
      </c>
      <c r="B1250" s="2">
        <v>2017492</v>
      </c>
      <c r="C1250" s="2">
        <v>0</v>
      </c>
      <c r="D1250" s="4" t="s">
        <v>3846</v>
      </c>
      <c r="E1250" s="2">
        <v>2017492</v>
      </c>
      <c r="F1250" s="2">
        <v>383323.48</v>
      </c>
      <c r="G1250" s="2">
        <v>0</v>
      </c>
      <c r="H1250" s="4">
        <v>0</v>
      </c>
      <c r="I1250" s="4">
        <v>0</v>
      </c>
      <c r="J1250" s="4">
        <v>0</v>
      </c>
      <c r="K1250" s="4">
        <v>2400815.48</v>
      </c>
      <c r="L1250" s="4" t="s">
        <v>3844</v>
      </c>
      <c r="M1250" s="4" t="s">
        <v>3845</v>
      </c>
      <c r="N1250" s="4" t="s">
        <v>332</v>
      </c>
      <c r="O1250" s="4" t="s">
        <v>1127</v>
      </c>
      <c r="P1250" s="4" t="s">
        <v>1127</v>
      </c>
      <c r="Q1250" s="8" t="s">
        <v>100</v>
      </c>
      <c r="R1250" s="9">
        <f t="shared" si="20"/>
        <v>3.53943199777542E-5</v>
      </c>
      <c r="S1250" s="55">
        <f>Tabla3[[#This Row],[Subtotal]]/12</f>
        <v>168124.33333333334</v>
      </c>
    </row>
    <row r="1251" spans="1:19" x14ac:dyDescent="0.2">
      <c r="A1251" s="4">
        <v>1246</v>
      </c>
      <c r="B1251" s="2">
        <v>2007145</v>
      </c>
      <c r="C1251" s="2">
        <v>0</v>
      </c>
      <c r="D1251" s="4" t="s">
        <v>3849</v>
      </c>
      <c r="E1251" s="2">
        <v>2007145</v>
      </c>
      <c r="F1251" s="2">
        <v>381357.55</v>
      </c>
      <c r="G1251" s="2">
        <v>0</v>
      </c>
      <c r="H1251" s="4">
        <v>0</v>
      </c>
      <c r="I1251" s="4">
        <v>0</v>
      </c>
      <c r="J1251" s="4">
        <v>0</v>
      </c>
      <c r="K1251" s="4">
        <v>2388502.5499999998</v>
      </c>
      <c r="L1251" s="4" t="s">
        <v>3847</v>
      </c>
      <c r="M1251" s="4" t="s">
        <v>3848</v>
      </c>
      <c r="N1251" s="4" t="s">
        <v>20</v>
      </c>
      <c r="O1251" s="4" t="s">
        <v>540</v>
      </c>
      <c r="P1251" s="4" t="s">
        <v>540</v>
      </c>
      <c r="Q1251" s="8" t="s">
        <v>100</v>
      </c>
      <c r="R1251" s="9">
        <f t="shared" si="20"/>
        <v>3.5212795080104139E-5</v>
      </c>
      <c r="S1251" s="55">
        <f>Tabla3[[#This Row],[Subtotal]]/12</f>
        <v>167262.08333333334</v>
      </c>
    </row>
    <row r="1252" spans="1:19" x14ac:dyDescent="0.2">
      <c r="A1252" s="4">
        <v>694</v>
      </c>
      <c r="B1252" s="2">
        <v>2000878</v>
      </c>
      <c r="C1252" s="2">
        <v>0</v>
      </c>
      <c r="D1252" s="4" t="s">
        <v>3852</v>
      </c>
      <c r="E1252" s="2">
        <v>2000878</v>
      </c>
      <c r="F1252" s="2">
        <v>380166.82</v>
      </c>
      <c r="G1252" s="2">
        <v>29193.55</v>
      </c>
      <c r="H1252" s="4">
        <v>0</v>
      </c>
      <c r="I1252" s="4">
        <v>0</v>
      </c>
      <c r="J1252" s="4">
        <v>29193.55</v>
      </c>
      <c r="K1252" s="4">
        <v>2351851.27</v>
      </c>
      <c r="L1252" s="4" t="s">
        <v>3850</v>
      </c>
      <c r="M1252" s="4" t="s">
        <v>3851</v>
      </c>
      <c r="N1252" s="4" t="s">
        <v>20</v>
      </c>
      <c r="O1252" s="4" t="s">
        <v>257</v>
      </c>
      <c r="P1252" s="4" t="s">
        <v>257</v>
      </c>
      <c r="Q1252" s="8" t="s">
        <v>100</v>
      </c>
      <c r="R1252" s="9">
        <f t="shared" si="20"/>
        <v>3.5102848570625744E-5</v>
      </c>
      <c r="S1252" s="55">
        <f>Tabla3[[#This Row],[Subtotal]]/12</f>
        <v>166739.83333333334</v>
      </c>
    </row>
    <row r="1253" spans="1:19" x14ac:dyDescent="0.2">
      <c r="A1253" s="4">
        <v>1304</v>
      </c>
      <c r="B1253" s="2">
        <v>1987247</v>
      </c>
      <c r="C1253" s="2">
        <v>0</v>
      </c>
      <c r="D1253" s="4" t="s">
        <v>3855</v>
      </c>
      <c r="E1253" s="2">
        <v>1987247</v>
      </c>
      <c r="F1253" s="2">
        <v>377576.93</v>
      </c>
      <c r="G1253" s="2">
        <v>0</v>
      </c>
      <c r="H1253" s="4">
        <v>0</v>
      </c>
      <c r="I1253" s="4">
        <v>0</v>
      </c>
      <c r="J1253" s="4">
        <v>0</v>
      </c>
      <c r="K1253" s="4">
        <v>2364823.9300000002</v>
      </c>
      <c r="L1253" s="4" t="s">
        <v>3853</v>
      </c>
      <c r="M1253" s="4" t="s">
        <v>3854</v>
      </c>
      <c r="N1253" s="4" t="s">
        <v>20</v>
      </c>
      <c r="O1253" s="4" t="s">
        <v>692</v>
      </c>
      <c r="P1253" s="4" t="s">
        <v>692</v>
      </c>
      <c r="Q1253" s="8" t="s">
        <v>100</v>
      </c>
      <c r="R1253" s="9">
        <f t="shared" si="20"/>
        <v>3.486371008798652E-5</v>
      </c>
      <c r="S1253" s="55">
        <f>Tabla3[[#This Row],[Subtotal]]/12</f>
        <v>165603.91666666666</v>
      </c>
    </row>
    <row r="1254" spans="1:19" x14ac:dyDescent="0.2">
      <c r="A1254" s="4">
        <v>172</v>
      </c>
      <c r="B1254" s="2">
        <v>1985248</v>
      </c>
      <c r="C1254" s="2">
        <v>0</v>
      </c>
      <c r="D1254" s="4" t="s">
        <v>3858</v>
      </c>
      <c r="E1254" s="2">
        <v>1985248</v>
      </c>
      <c r="F1254" s="2">
        <v>377197.12</v>
      </c>
      <c r="G1254" s="2">
        <v>16131.45</v>
      </c>
      <c r="H1254" s="4">
        <v>0</v>
      </c>
      <c r="I1254" s="4">
        <v>0</v>
      </c>
      <c r="J1254" s="4">
        <v>16131.45</v>
      </c>
      <c r="K1254" s="4">
        <v>2346313.67</v>
      </c>
      <c r="L1254" s="4" t="s">
        <v>3856</v>
      </c>
      <c r="M1254" s="4" t="s">
        <v>3857</v>
      </c>
      <c r="N1254" s="4" t="s">
        <v>88</v>
      </c>
      <c r="O1254" s="4" t="s">
        <v>89</v>
      </c>
      <c r="P1254" s="4" t="s">
        <v>89</v>
      </c>
      <c r="Q1254" s="8" t="s">
        <v>100</v>
      </c>
      <c r="R1254" s="9">
        <f t="shared" si="20"/>
        <v>3.4828640186526918E-5</v>
      </c>
      <c r="S1254" s="55">
        <f>Tabla3[[#This Row],[Subtotal]]/12</f>
        <v>165437.33333333334</v>
      </c>
    </row>
    <row r="1255" spans="1:19" x14ac:dyDescent="0.2">
      <c r="A1255" s="4">
        <v>985</v>
      </c>
      <c r="B1255" s="2">
        <v>1979394.33</v>
      </c>
      <c r="C1255" s="2">
        <v>0</v>
      </c>
      <c r="D1255" s="4" t="s">
        <v>3861</v>
      </c>
      <c r="E1255" s="2">
        <v>1979394.33</v>
      </c>
      <c r="F1255" s="2">
        <v>375134.92</v>
      </c>
      <c r="G1255" s="2">
        <v>0</v>
      </c>
      <c r="H1255" s="4">
        <v>0</v>
      </c>
      <c r="I1255" s="4">
        <v>0</v>
      </c>
      <c r="J1255" s="4">
        <v>0</v>
      </c>
      <c r="K1255" s="4">
        <v>2354529.25</v>
      </c>
      <c r="L1255" s="4" t="s">
        <v>3859</v>
      </c>
      <c r="M1255" s="4" t="s">
        <v>3860</v>
      </c>
      <c r="N1255" s="4" t="s">
        <v>20</v>
      </c>
      <c r="O1255" s="4" t="s">
        <v>1677</v>
      </c>
      <c r="P1255" s="4" t="s">
        <v>1677</v>
      </c>
      <c r="Q1255" s="8" t="s">
        <v>144</v>
      </c>
      <c r="R1255" s="9">
        <f t="shared" si="20"/>
        <v>3.4725945023907107E-5</v>
      </c>
      <c r="S1255" s="55">
        <f>Tabla3[[#This Row],[Subtotal]]/12</f>
        <v>164949.5275</v>
      </c>
    </row>
    <row r="1256" spans="1:19" x14ac:dyDescent="0.2">
      <c r="A1256" s="4">
        <v>555</v>
      </c>
      <c r="B1256" s="2">
        <v>1973058</v>
      </c>
      <c r="C1256" s="2">
        <v>0</v>
      </c>
      <c r="D1256" s="4" t="s">
        <v>3864</v>
      </c>
      <c r="E1256" s="2">
        <v>1973058</v>
      </c>
      <c r="F1256" s="2">
        <v>374881.02</v>
      </c>
      <c r="G1256" s="2">
        <v>37853.4</v>
      </c>
      <c r="H1256" s="4">
        <v>0</v>
      </c>
      <c r="I1256" s="4">
        <v>0</v>
      </c>
      <c r="J1256" s="4">
        <v>37853.4</v>
      </c>
      <c r="K1256" s="4">
        <v>2310085.62</v>
      </c>
      <c r="L1256" s="4" t="s">
        <v>3862</v>
      </c>
      <c r="M1256" s="4" t="s">
        <v>3863</v>
      </c>
      <c r="N1256" s="4" t="s">
        <v>88</v>
      </c>
      <c r="O1256" s="4" t="s">
        <v>89</v>
      </c>
      <c r="P1256" s="4" t="s">
        <v>89</v>
      </c>
      <c r="Q1256" s="8" t="s">
        <v>100</v>
      </c>
      <c r="R1256" s="9">
        <f t="shared" si="20"/>
        <v>3.4614782208141471E-5</v>
      </c>
      <c r="S1256" s="55">
        <f>Tabla3[[#This Row],[Subtotal]]/12</f>
        <v>164421.5</v>
      </c>
    </row>
    <row r="1257" spans="1:19" x14ac:dyDescent="0.2">
      <c r="A1257" s="4">
        <v>491</v>
      </c>
      <c r="B1257" s="2">
        <v>1972280</v>
      </c>
      <c r="C1257" s="2">
        <v>0</v>
      </c>
      <c r="D1257" s="4" t="s">
        <v>3867</v>
      </c>
      <c r="E1257" s="2">
        <v>1972280</v>
      </c>
      <c r="F1257" s="2">
        <v>366183.2</v>
      </c>
      <c r="G1257" s="2">
        <v>48182</v>
      </c>
      <c r="H1257" s="4">
        <v>0</v>
      </c>
      <c r="I1257" s="4">
        <v>0</v>
      </c>
      <c r="J1257" s="4">
        <v>48182</v>
      </c>
      <c r="K1257" s="4">
        <v>2290281.2000000002</v>
      </c>
      <c r="L1257" s="4" t="s">
        <v>3865</v>
      </c>
      <c r="M1257" s="4" t="s">
        <v>3866</v>
      </c>
      <c r="N1257" s="4" t="s">
        <v>867</v>
      </c>
      <c r="O1257" s="4" t="s">
        <v>900</v>
      </c>
      <c r="P1257" s="4" t="s">
        <v>900</v>
      </c>
      <c r="Q1257" s="8" t="s">
        <v>144</v>
      </c>
      <c r="R1257" s="9">
        <f t="shared" si="20"/>
        <v>3.4601133191965598E-5</v>
      </c>
      <c r="S1257" s="55">
        <f>Tabla3[[#This Row],[Subtotal]]/12</f>
        <v>164356.66666666666</v>
      </c>
    </row>
    <row r="1258" spans="1:19" x14ac:dyDescent="0.2">
      <c r="A1258" s="4">
        <v>1106</v>
      </c>
      <c r="B1258" s="2">
        <v>1968672</v>
      </c>
      <c r="C1258" s="2">
        <v>0</v>
      </c>
      <c r="D1258" s="4" t="s">
        <v>3870</v>
      </c>
      <c r="E1258" s="2">
        <v>1968672</v>
      </c>
      <c r="F1258" s="2">
        <v>374047.68</v>
      </c>
      <c r="G1258" s="2">
        <v>41014</v>
      </c>
      <c r="H1258" s="4">
        <v>0</v>
      </c>
      <c r="I1258" s="4">
        <v>0</v>
      </c>
      <c r="J1258" s="4">
        <v>41014</v>
      </c>
      <c r="K1258" s="4">
        <v>2301705.6800000002</v>
      </c>
      <c r="L1258" s="4" t="s">
        <v>3868</v>
      </c>
      <c r="M1258" s="4" t="s">
        <v>3869</v>
      </c>
      <c r="N1258" s="4" t="s">
        <v>20</v>
      </c>
      <c r="O1258" s="4" t="s">
        <v>900</v>
      </c>
      <c r="P1258" s="4" t="s">
        <v>900</v>
      </c>
      <c r="Q1258" s="8" t="s">
        <v>585</v>
      </c>
      <c r="R1258" s="9">
        <f t="shared" si="20"/>
        <v>3.4537835440856921E-5</v>
      </c>
      <c r="S1258" s="55">
        <f>Tabla3[[#This Row],[Subtotal]]/12</f>
        <v>164056</v>
      </c>
    </row>
    <row r="1259" spans="1:19" x14ac:dyDescent="0.2">
      <c r="A1259" s="4">
        <v>1681</v>
      </c>
      <c r="B1259" s="2">
        <v>1961060</v>
      </c>
      <c r="C1259" s="2">
        <v>0</v>
      </c>
      <c r="D1259" s="4" t="s">
        <v>3873</v>
      </c>
      <c r="E1259" s="2">
        <v>1961060</v>
      </c>
      <c r="F1259" s="2">
        <v>372601.4</v>
      </c>
      <c r="G1259" s="2">
        <v>0</v>
      </c>
      <c r="H1259" s="4">
        <v>0</v>
      </c>
      <c r="I1259" s="4">
        <v>0</v>
      </c>
      <c r="J1259" s="4">
        <v>0</v>
      </c>
      <c r="K1259" s="4">
        <v>2333661.4</v>
      </c>
      <c r="L1259" s="4" t="s">
        <v>3871</v>
      </c>
      <c r="M1259" s="4" t="s">
        <v>3872</v>
      </c>
      <c r="N1259" s="4" t="s">
        <v>221</v>
      </c>
      <c r="O1259" s="4" t="s">
        <v>33</v>
      </c>
      <c r="P1259" s="4" t="s">
        <v>33</v>
      </c>
      <c r="Q1259" s="8" t="s">
        <v>100</v>
      </c>
      <c r="R1259" s="9">
        <f t="shared" si="20"/>
        <v>3.4404292624493502E-5</v>
      </c>
      <c r="S1259" s="55">
        <f>Tabla3[[#This Row],[Subtotal]]/12</f>
        <v>163421.66666666666</v>
      </c>
    </row>
    <row r="1260" spans="1:19" x14ac:dyDescent="0.2">
      <c r="A1260" s="4">
        <v>1171</v>
      </c>
      <c r="B1260" s="2">
        <v>1957112</v>
      </c>
      <c r="C1260" s="2">
        <v>0</v>
      </c>
      <c r="D1260" s="4" t="s">
        <v>3876</v>
      </c>
      <c r="E1260" s="2">
        <v>1957112</v>
      </c>
      <c r="F1260" s="2">
        <v>371851.28</v>
      </c>
      <c r="G1260" s="2">
        <v>48927.8</v>
      </c>
      <c r="H1260" s="4">
        <v>0</v>
      </c>
      <c r="I1260" s="4">
        <v>0</v>
      </c>
      <c r="J1260" s="4">
        <v>48927.8</v>
      </c>
      <c r="K1260" s="4">
        <v>2280035.48</v>
      </c>
      <c r="L1260" s="4" t="s">
        <v>3874</v>
      </c>
      <c r="M1260" s="4" t="s">
        <v>3875</v>
      </c>
      <c r="N1260" s="4" t="s">
        <v>3877</v>
      </c>
      <c r="O1260" s="4" t="s">
        <v>2025</v>
      </c>
      <c r="P1260" s="4" t="s">
        <v>2025</v>
      </c>
      <c r="Q1260" s="8" t="s">
        <v>100</v>
      </c>
      <c r="R1260" s="9">
        <f t="shared" si="20"/>
        <v>3.4335030007703857E-5</v>
      </c>
      <c r="S1260" s="55">
        <f>Tabla3[[#This Row],[Subtotal]]/12</f>
        <v>163092.66666666666</v>
      </c>
    </row>
    <row r="1261" spans="1:19" x14ac:dyDescent="0.2">
      <c r="A1261" s="4">
        <v>1409</v>
      </c>
      <c r="B1261" s="2">
        <v>1956850</v>
      </c>
      <c r="C1261" s="2">
        <v>0</v>
      </c>
      <c r="D1261" s="4" t="s">
        <v>3880</v>
      </c>
      <c r="E1261" s="2">
        <v>1956850</v>
      </c>
      <c r="F1261" s="2">
        <v>371801.5</v>
      </c>
      <c r="G1261" s="2">
        <v>47068.98</v>
      </c>
      <c r="H1261" s="4">
        <v>53658.62</v>
      </c>
      <c r="I1261" s="4">
        <v>0</v>
      </c>
      <c r="J1261" s="4">
        <v>100727.6</v>
      </c>
      <c r="K1261" s="4">
        <v>2227923.9</v>
      </c>
      <c r="L1261" s="4" t="s">
        <v>3878</v>
      </c>
      <c r="M1261" s="4" t="s">
        <v>3879</v>
      </c>
      <c r="N1261" s="4" t="s">
        <v>20</v>
      </c>
      <c r="O1261" s="4" t="s">
        <v>76</v>
      </c>
      <c r="P1261" s="4" t="s">
        <v>76</v>
      </c>
      <c r="Q1261" s="8" t="s">
        <v>1378</v>
      </c>
      <c r="R1261" s="9">
        <f t="shared" si="20"/>
        <v>3.4330433552384991E-5</v>
      </c>
      <c r="S1261" s="55">
        <f>Tabla3[[#This Row],[Subtotal]]/12</f>
        <v>163070.83333333334</v>
      </c>
    </row>
    <row r="1262" spans="1:19" x14ac:dyDescent="0.2">
      <c r="A1262" s="4">
        <v>307</v>
      </c>
      <c r="B1262" s="2">
        <v>1950853</v>
      </c>
      <c r="C1262" s="2">
        <v>0</v>
      </c>
      <c r="D1262" s="4" t="s">
        <v>3883</v>
      </c>
      <c r="E1262" s="2">
        <v>1950853</v>
      </c>
      <c r="F1262" s="2">
        <v>370662.07</v>
      </c>
      <c r="G1262" s="2">
        <v>48771.33</v>
      </c>
      <c r="H1262" s="4">
        <v>0</v>
      </c>
      <c r="I1262" s="4">
        <v>0</v>
      </c>
      <c r="J1262" s="4">
        <v>48771.33</v>
      </c>
      <c r="K1262" s="4">
        <v>2272743.7400000002</v>
      </c>
      <c r="L1262" s="4" t="s">
        <v>3881</v>
      </c>
      <c r="M1262" s="4" t="s">
        <v>3882</v>
      </c>
      <c r="N1262" s="4" t="s">
        <v>20</v>
      </c>
      <c r="O1262" s="4" t="s">
        <v>540</v>
      </c>
      <c r="P1262" s="4" t="s">
        <v>540</v>
      </c>
      <c r="Q1262" s="8" t="s">
        <v>100</v>
      </c>
      <c r="R1262" s="9">
        <f t="shared" si="20"/>
        <v>3.4225223848006197E-5</v>
      </c>
      <c r="S1262" s="55">
        <f>Tabla3[[#This Row],[Subtotal]]/12</f>
        <v>162571.08333333334</v>
      </c>
    </row>
    <row r="1263" spans="1:19" x14ac:dyDescent="0.2">
      <c r="A1263" s="4">
        <v>563</v>
      </c>
      <c r="B1263" s="2">
        <v>1946095</v>
      </c>
      <c r="C1263" s="2">
        <v>0</v>
      </c>
      <c r="D1263" s="4" t="s">
        <v>3886</v>
      </c>
      <c r="E1263" s="2">
        <v>1946095</v>
      </c>
      <c r="F1263" s="2">
        <v>369758.05</v>
      </c>
      <c r="G1263" s="2">
        <v>0</v>
      </c>
      <c r="H1263" s="4">
        <v>0</v>
      </c>
      <c r="I1263" s="4">
        <v>0</v>
      </c>
      <c r="J1263" s="4">
        <v>0</v>
      </c>
      <c r="K1263" s="4">
        <v>2315853.0499999998</v>
      </c>
      <c r="L1263" s="4" t="s">
        <v>3884</v>
      </c>
      <c r="M1263" s="4" t="s">
        <v>3885</v>
      </c>
      <c r="N1263" s="4" t="s">
        <v>20</v>
      </c>
      <c r="O1263" s="4" t="s">
        <v>1043</v>
      </c>
      <c r="P1263" s="4" t="s">
        <v>1043</v>
      </c>
      <c r="Q1263" s="8" t="s">
        <v>100</v>
      </c>
      <c r="R1263" s="9">
        <f t="shared" si="20"/>
        <v>3.4141750815917763E-5</v>
      </c>
      <c r="S1263" s="55">
        <f>Tabla3[[#This Row],[Subtotal]]/12</f>
        <v>162174.58333333334</v>
      </c>
    </row>
    <row r="1264" spans="1:19" x14ac:dyDescent="0.2">
      <c r="A1264" s="4">
        <v>207</v>
      </c>
      <c r="B1264" s="2">
        <v>1940898</v>
      </c>
      <c r="C1264" s="2">
        <v>0</v>
      </c>
      <c r="D1264" s="4" t="s">
        <v>3889</v>
      </c>
      <c r="E1264" s="2">
        <v>1940898</v>
      </c>
      <c r="F1264" s="2">
        <v>368770.62</v>
      </c>
      <c r="G1264" s="2">
        <v>27314.75</v>
      </c>
      <c r="H1264" s="4">
        <v>0</v>
      </c>
      <c r="I1264" s="4">
        <v>0</v>
      </c>
      <c r="J1264" s="4">
        <v>27314.75</v>
      </c>
      <c r="K1264" s="4">
        <v>2282353.87</v>
      </c>
      <c r="L1264" s="4" t="s">
        <v>3887</v>
      </c>
      <c r="M1264" s="4" t="s">
        <v>3888</v>
      </c>
      <c r="N1264" s="4" t="s">
        <v>20</v>
      </c>
      <c r="O1264" s="4" t="s">
        <v>540</v>
      </c>
      <c r="P1264" s="4" t="s">
        <v>540</v>
      </c>
      <c r="Q1264" s="8" t="s">
        <v>100</v>
      </c>
      <c r="R1264" s="9">
        <f t="shared" si="20"/>
        <v>3.405057608961184E-5</v>
      </c>
      <c r="S1264" s="55">
        <f>Tabla3[[#This Row],[Subtotal]]/12</f>
        <v>161741.5</v>
      </c>
    </row>
    <row r="1265" spans="1:19" x14ac:dyDescent="0.2">
      <c r="A1265" s="4">
        <v>783</v>
      </c>
      <c r="B1265" s="2">
        <v>1940181</v>
      </c>
      <c r="C1265" s="2">
        <v>0</v>
      </c>
      <c r="D1265" s="4" t="s">
        <v>3892</v>
      </c>
      <c r="E1265" s="2">
        <v>1940181</v>
      </c>
      <c r="F1265" s="2">
        <v>368634.39</v>
      </c>
      <c r="G1265" s="2">
        <v>0</v>
      </c>
      <c r="H1265" s="4">
        <v>0</v>
      </c>
      <c r="I1265" s="4">
        <v>0</v>
      </c>
      <c r="J1265" s="4">
        <v>0</v>
      </c>
      <c r="K1265" s="4">
        <v>2308815.39</v>
      </c>
      <c r="L1265" s="4" t="s">
        <v>3890</v>
      </c>
      <c r="M1265" s="4" t="s">
        <v>3891</v>
      </c>
      <c r="N1265" s="4" t="s">
        <v>142</v>
      </c>
      <c r="O1265" s="4" t="s">
        <v>340</v>
      </c>
      <c r="P1265" s="4" t="s">
        <v>340</v>
      </c>
      <c r="Q1265" s="8" t="s">
        <v>100</v>
      </c>
      <c r="R1265" s="9">
        <f t="shared" si="20"/>
        <v>3.4037997240514023E-5</v>
      </c>
      <c r="S1265" s="55">
        <f>Tabla3[[#This Row],[Subtotal]]/12</f>
        <v>161681.75</v>
      </c>
    </row>
    <row r="1266" spans="1:19" x14ac:dyDescent="0.2">
      <c r="A1266" s="4">
        <v>1176</v>
      </c>
      <c r="B1266" s="2">
        <v>1927821</v>
      </c>
      <c r="C1266" s="2">
        <v>0</v>
      </c>
      <c r="D1266" s="4" t="s">
        <v>3895</v>
      </c>
      <c r="E1266" s="2">
        <v>1927821</v>
      </c>
      <c r="F1266" s="2">
        <v>366285.99</v>
      </c>
      <c r="G1266" s="2">
        <v>0</v>
      </c>
      <c r="H1266" s="4">
        <v>0</v>
      </c>
      <c r="I1266" s="4">
        <v>0</v>
      </c>
      <c r="J1266" s="4">
        <v>0</v>
      </c>
      <c r="K1266" s="4">
        <v>2294106.9900000002</v>
      </c>
      <c r="L1266" s="4" t="s">
        <v>3893</v>
      </c>
      <c r="M1266" s="4" t="s">
        <v>3894</v>
      </c>
      <c r="N1266" s="4" t="s">
        <v>92</v>
      </c>
      <c r="O1266" s="4" t="s">
        <v>93</v>
      </c>
      <c r="P1266" s="4" t="s">
        <v>93</v>
      </c>
      <c r="Q1266" s="8" t="s">
        <v>100</v>
      </c>
      <c r="R1266" s="9">
        <f t="shared" si="20"/>
        <v>3.3821156829288088E-5</v>
      </c>
      <c r="S1266" s="55">
        <f>Tabla3[[#This Row],[Subtotal]]/12</f>
        <v>160651.75</v>
      </c>
    </row>
    <row r="1267" spans="1:19" x14ac:dyDescent="0.2">
      <c r="A1267" s="4">
        <v>131</v>
      </c>
      <c r="B1267" s="2">
        <v>1924436</v>
      </c>
      <c r="C1267" s="2">
        <v>0</v>
      </c>
      <c r="D1267" s="4" t="s">
        <v>3897</v>
      </c>
      <c r="E1267" s="2">
        <v>1924436</v>
      </c>
      <c r="F1267" s="2">
        <v>365642.84</v>
      </c>
      <c r="G1267" s="2">
        <v>0</v>
      </c>
      <c r="H1267" s="4">
        <v>0</v>
      </c>
      <c r="I1267" s="4">
        <v>0</v>
      </c>
      <c r="J1267" s="4">
        <v>0</v>
      </c>
      <c r="K1267" s="4">
        <v>2290078.84</v>
      </c>
      <c r="L1267" s="4" t="s">
        <v>3896</v>
      </c>
      <c r="M1267" s="4" t="s">
        <v>3896</v>
      </c>
      <c r="N1267" s="4" t="s">
        <v>20</v>
      </c>
      <c r="O1267" s="4" t="s">
        <v>1356</v>
      </c>
      <c r="P1267" s="4" t="s">
        <v>1356</v>
      </c>
      <c r="Q1267" s="8" t="s">
        <v>100</v>
      </c>
      <c r="R1267" s="9">
        <f t="shared" si="20"/>
        <v>3.3761771328317228E-5</v>
      </c>
      <c r="S1267" s="55">
        <f>Tabla3[[#This Row],[Subtotal]]/12</f>
        <v>160369.66666666666</v>
      </c>
    </row>
    <row r="1268" spans="1:19" x14ac:dyDescent="0.2">
      <c r="A1268" s="4">
        <v>1129</v>
      </c>
      <c r="B1268" s="2">
        <v>1922446</v>
      </c>
      <c r="C1268" s="2">
        <v>0</v>
      </c>
      <c r="D1268" s="4" t="s">
        <v>3900</v>
      </c>
      <c r="E1268" s="2">
        <v>1922446</v>
      </c>
      <c r="F1268" s="2">
        <v>365264.74</v>
      </c>
      <c r="G1268" s="2">
        <v>0</v>
      </c>
      <c r="H1268" s="4">
        <v>0</v>
      </c>
      <c r="I1268" s="4">
        <v>0</v>
      </c>
      <c r="J1268" s="4">
        <v>0</v>
      </c>
      <c r="K1268" s="4">
        <v>2287710.7400000002</v>
      </c>
      <c r="L1268" s="4" t="s">
        <v>3898</v>
      </c>
      <c r="M1268" s="4" t="s">
        <v>3899</v>
      </c>
      <c r="N1268" s="4" t="s">
        <v>20</v>
      </c>
      <c r="O1268" s="4" t="s">
        <v>372</v>
      </c>
      <c r="P1268" s="4" t="s">
        <v>372</v>
      </c>
      <c r="Q1268" s="8" t="s">
        <v>100</v>
      </c>
      <c r="R1268" s="9">
        <f t="shared" si="20"/>
        <v>3.3726859320360951E-5</v>
      </c>
      <c r="S1268" s="55">
        <f>Tabla3[[#This Row],[Subtotal]]/12</f>
        <v>160203.83333333334</v>
      </c>
    </row>
    <row r="1269" spans="1:19" x14ac:dyDescent="0.2">
      <c r="A1269" s="4">
        <v>101</v>
      </c>
      <c r="B1269" s="2">
        <v>1917719</v>
      </c>
      <c r="C1269" s="2">
        <v>0</v>
      </c>
      <c r="D1269" s="4" t="s">
        <v>3903</v>
      </c>
      <c r="E1269" s="2">
        <v>1917719</v>
      </c>
      <c r="F1269" s="2">
        <v>364366.61</v>
      </c>
      <c r="G1269" s="2">
        <v>0</v>
      </c>
      <c r="H1269" s="4">
        <v>0</v>
      </c>
      <c r="I1269" s="4">
        <v>0</v>
      </c>
      <c r="J1269" s="4">
        <v>0</v>
      </c>
      <c r="K1269" s="4">
        <v>2282085.61</v>
      </c>
      <c r="L1269" s="4" t="s">
        <v>3901</v>
      </c>
      <c r="M1269" s="4" t="s">
        <v>3902</v>
      </c>
      <c r="N1269" s="4" t="s">
        <v>20</v>
      </c>
      <c r="O1269" s="4" t="s">
        <v>257</v>
      </c>
      <c r="P1269" s="4" t="s">
        <v>257</v>
      </c>
      <c r="Q1269" s="8" t="s">
        <v>100</v>
      </c>
      <c r="R1269" s="9">
        <f t="shared" si="20"/>
        <v>3.3643930143672841E-5</v>
      </c>
      <c r="S1269" s="55">
        <f>Tabla3[[#This Row],[Subtotal]]/12</f>
        <v>159809.91666666666</v>
      </c>
    </row>
    <row r="1270" spans="1:19" x14ac:dyDescent="0.2">
      <c r="A1270" s="4">
        <v>1676</v>
      </c>
      <c r="B1270" s="2">
        <v>1917067</v>
      </c>
      <c r="C1270" s="2">
        <v>0</v>
      </c>
      <c r="D1270" s="4" t="s">
        <v>3906</v>
      </c>
      <c r="E1270" s="2">
        <v>1917067</v>
      </c>
      <c r="F1270" s="2">
        <v>164138.91</v>
      </c>
      <c r="G1270" s="2">
        <v>0</v>
      </c>
      <c r="H1270" s="4">
        <v>0</v>
      </c>
      <c r="I1270" s="4">
        <v>0</v>
      </c>
      <c r="J1270" s="4">
        <v>0</v>
      </c>
      <c r="K1270" s="4">
        <v>2081205.91</v>
      </c>
      <c r="L1270" s="4" t="s">
        <v>3904</v>
      </c>
      <c r="M1270" s="4" t="s">
        <v>3905</v>
      </c>
      <c r="N1270" s="4"/>
      <c r="O1270" s="4" t="s">
        <v>3907</v>
      </c>
      <c r="P1270" s="4" t="s">
        <v>3907</v>
      </c>
      <c r="Q1270" s="8" t="s">
        <v>144</v>
      </c>
      <c r="R1270" s="9">
        <f t="shared" si="20"/>
        <v>3.3632491636543446E-5</v>
      </c>
      <c r="S1270" s="55">
        <f>Tabla3[[#This Row],[Subtotal]]/12</f>
        <v>159755.58333333334</v>
      </c>
    </row>
    <row r="1271" spans="1:19" x14ac:dyDescent="0.2">
      <c r="A1271" s="4">
        <v>242</v>
      </c>
      <c r="B1271" s="2">
        <v>1913652</v>
      </c>
      <c r="C1271" s="2">
        <v>0</v>
      </c>
      <c r="D1271" s="4" t="s">
        <v>3910</v>
      </c>
      <c r="E1271" s="2">
        <v>1913652</v>
      </c>
      <c r="F1271" s="2">
        <v>363593.88</v>
      </c>
      <c r="G1271" s="2">
        <v>0</v>
      </c>
      <c r="H1271" s="4">
        <v>0</v>
      </c>
      <c r="I1271" s="4">
        <v>0</v>
      </c>
      <c r="J1271" s="4">
        <v>0</v>
      </c>
      <c r="K1271" s="4">
        <v>2277245.88</v>
      </c>
      <c r="L1271" s="4" t="s">
        <v>3908</v>
      </c>
      <c r="M1271" s="4" t="s">
        <v>3909</v>
      </c>
      <c r="N1271" s="4" t="s">
        <v>272</v>
      </c>
      <c r="O1271" s="4" t="s">
        <v>89</v>
      </c>
      <c r="P1271" s="4" t="s">
        <v>89</v>
      </c>
      <c r="Q1271" s="8" t="s">
        <v>100</v>
      </c>
      <c r="R1271" s="9">
        <f t="shared" si="20"/>
        <v>3.3572579823894853E-5</v>
      </c>
      <c r="S1271" s="55">
        <f>Tabla3[[#This Row],[Subtotal]]/12</f>
        <v>159471</v>
      </c>
    </row>
    <row r="1272" spans="1:19" x14ac:dyDescent="0.2">
      <c r="A1272" s="4">
        <v>1655</v>
      </c>
      <c r="B1272" s="2">
        <v>1913471</v>
      </c>
      <c r="C1272" s="2">
        <v>0</v>
      </c>
      <c r="D1272" s="4" t="s">
        <v>3913</v>
      </c>
      <c r="E1272" s="2">
        <v>1913471</v>
      </c>
      <c r="F1272" s="2">
        <v>361279.49</v>
      </c>
      <c r="G1272" s="2">
        <v>0</v>
      </c>
      <c r="H1272" s="4">
        <v>0</v>
      </c>
      <c r="I1272" s="4">
        <v>0</v>
      </c>
      <c r="J1272" s="4">
        <v>0</v>
      </c>
      <c r="K1272" s="4">
        <v>2274750.4900000002</v>
      </c>
      <c r="L1272" s="4" t="s">
        <v>3911</v>
      </c>
      <c r="M1272" s="4" t="s">
        <v>3912</v>
      </c>
      <c r="N1272" s="4" t="s">
        <v>20</v>
      </c>
      <c r="O1272" s="4" t="s">
        <v>2863</v>
      </c>
      <c r="P1272" s="4" t="s">
        <v>2863</v>
      </c>
      <c r="Q1272" s="8" t="s">
        <v>100</v>
      </c>
      <c r="R1272" s="9">
        <f t="shared" si="20"/>
        <v>3.356940441010587E-5</v>
      </c>
      <c r="S1272" s="55">
        <f>Tabla3[[#This Row],[Subtotal]]/12</f>
        <v>159455.91666666666</v>
      </c>
    </row>
    <row r="1273" spans="1:19" x14ac:dyDescent="0.2">
      <c r="A1273" s="4">
        <v>1754</v>
      </c>
      <c r="B1273" s="2">
        <v>1912969</v>
      </c>
      <c r="C1273" s="2">
        <v>0</v>
      </c>
      <c r="D1273" s="4" t="s">
        <v>3916</v>
      </c>
      <c r="E1273" s="2">
        <v>1912969</v>
      </c>
      <c r="F1273" s="2">
        <v>363464.11</v>
      </c>
      <c r="G1273" s="2">
        <v>0</v>
      </c>
      <c r="H1273" s="4">
        <v>0</v>
      </c>
      <c r="I1273" s="4">
        <v>0</v>
      </c>
      <c r="J1273" s="4">
        <v>0</v>
      </c>
      <c r="K1273" s="4">
        <v>2276433.11</v>
      </c>
      <c r="L1273" s="4" t="s">
        <v>3914</v>
      </c>
      <c r="M1273" s="4" t="s">
        <v>3915</v>
      </c>
      <c r="N1273" s="4" t="s">
        <v>20</v>
      </c>
      <c r="O1273" s="4" t="s">
        <v>631</v>
      </c>
      <c r="P1273" s="4" t="s">
        <v>631</v>
      </c>
      <c r="Q1273" s="8" t="s">
        <v>100</v>
      </c>
      <c r="R1273" s="9">
        <f t="shared" si="20"/>
        <v>3.3560597461365135E-5</v>
      </c>
      <c r="S1273" s="55">
        <f>Tabla3[[#This Row],[Subtotal]]/12</f>
        <v>159414.08333333334</v>
      </c>
    </row>
    <row r="1274" spans="1:19" x14ac:dyDescent="0.2">
      <c r="A1274" s="4">
        <v>103</v>
      </c>
      <c r="B1274" s="2">
        <v>1908741</v>
      </c>
      <c r="C1274" s="2">
        <v>0</v>
      </c>
      <c r="D1274" s="4" t="s">
        <v>3919</v>
      </c>
      <c r="E1274" s="2">
        <v>1908741</v>
      </c>
      <c r="F1274" s="2">
        <v>362660.79</v>
      </c>
      <c r="G1274" s="2">
        <v>18627.75</v>
      </c>
      <c r="H1274" s="4">
        <v>0</v>
      </c>
      <c r="I1274" s="4">
        <v>0</v>
      </c>
      <c r="J1274" s="4">
        <v>18627.75</v>
      </c>
      <c r="K1274" s="4">
        <v>2252774.04</v>
      </c>
      <c r="L1274" s="4" t="s">
        <v>3917</v>
      </c>
      <c r="M1274" s="4" t="s">
        <v>3918</v>
      </c>
      <c r="N1274" s="4" t="s">
        <v>20</v>
      </c>
      <c r="O1274" s="4" t="s">
        <v>631</v>
      </c>
      <c r="P1274" s="4" t="s">
        <v>631</v>
      </c>
      <c r="Q1274" s="8" t="s">
        <v>100</v>
      </c>
      <c r="R1274" s="9">
        <f t="shared" si="20"/>
        <v>3.3486422602249985E-5</v>
      </c>
      <c r="S1274" s="55">
        <f>Tabla3[[#This Row],[Subtotal]]/12</f>
        <v>159061.75</v>
      </c>
    </row>
    <row r="1275" spans="1:19" x14ac:dyDescent="0.2">
      <c r="A1275" s="4">
        <v>1714</v>
      </c>
      <c r="B1275" s="2">
        <v>1898492</v>
      </c>
      <c r="C1275" s="2">
        <v>0</v>
      </c>
      <c r="D1275" s="4" t="s">
        <v>3922</v>
      </c>
      <c r="E1275" s="2">
        <v>1898492</v>
      </c>
      <c r="F1275" s="2">
        <v>360713.48</v>
      </c>
      <c r="G1275" s="2">
        <v>0</v>
      </c>
      <c r="H1275" s="4">
        <v>0</v>
      </c>
      <c r="I1275" s="4">
        <v>0</v>
      </c>
      <c r="J1275" s="4">
        <v>0</v>
      </c>
      <c r="K1275" s="4">
        <v>2259205.48</v>
      </c>
      <c r="L1275" s="4" t="s">
        <v>3920</v>
      </c>
      <c r="M1275" s="4" t="s">
        <v>3921</v>
      </c>
      <c r="N1275" s="4" t="s">
        <v>20</v>
      </c>
      <c r="O1275" s="4" t="s">
        <v>316</v>
      </c>
      <c r="P1275" s="4" t="s">
        <v>316</v>
      </c>
      <c r="Q1275" s="8" t="s">
        <v>100</v>
      </c>
      <c r="R1275" s="9">
        <f t="shared" si="20"/>
        <v>3.3306616989413847E-5</v>
      </c>
      <c r="S1275" s="55">
        <f>Tabla3[[#This Row],[Subtotal]]/12</f>
        <v>158207.66666666666</v>
      </c>
    </row>
    <row r="1276" spans="1:19" x14ac:dyDescent="0.2">
      <c r="A1276" s="4">
        <v>1055</v>
      </c>
      <c r="B1276" s="2">
        <v>1896550</v>
      </c>
      <c r="C1276" s="2">
        <v>0</v>
      </c>
      <c r="D1276" s="4" t="s">
        <v>3925</v>
      </c>
      <c r="E1276" s="2">
        <v>1896550</v>
      </c>
      <c r="F1276" s="2">
        <v>360344.5</v>
      </c>
      <c r="G1276" s="2">
        <v>0</v>
      </c>
      <c r="H1276" s="4">
        <v>0</v>
      </c>
      <c r="I1276" s="4">
        <v>0</v>
      </c>
      <c r="J1276" s="4">
        <v>0</v>
      </c>
      <c r="K1276" s="4">
        <v>2256894.5</v>
      </c>
      <c r="L1276" s="4" t="s">
        <v>3923</v>
      </c>
      <c r="M1276" s="4" t="s">
        <v>3924</v>
      </c>
      <c r="N1276" s="4" t="s">
        <v>293</v>
      </c>
      <c r="O1276" s="4" t="s">
        <v>229</v>
      </c>
      <c r="P1276" s="4" t="s">
        <v>229</v>
      </c>
      <c r="Q1276" s="8" t="s">
        <v>28</v>
      </c>
      <c r="R1276" s="9">
        <f t="shared" si="20"/>
        <v>3.327254708014194E-5</v>
      </c>
      <c r="S1276" s="55">
        <f>Tabla3[[#This Row],[Subtotal]]/12</f>
        <v>158045.83333333334</v>
      </c>
    </row>
    <row r="1277" spans="1:19" x14ac:dyDescent="0.2">
      <c r="A1277" s="4">
        <v>1582</v>
      </c>
      <c r="B1277" s="2">
        <v>1891712</v>
      </c>
      <c r="C1277" s="2">
        <v>0</v>
      </c>
      <c r="D1277" s="4" t="s">
        <v>3928</v>
      </c>
      <c r="E1277" s="2">
        <v>1891712</v>
      </c>
      <c r="F1277" s="2">
        <v>359425.28000000003</v>
      </c>
      <c r="G1277" s="2">
        <v>0</v>
      </c>
      <c r="H1277" s="4">
        <v>0</v>
      </c>
      <c r="I1277" s="4">
        <v>0</v>
      </c>
      <c r="J1277" s="4">
        <v>0</v>
      </c>
      <c r="K1277" s="4">
        <v>2251137.2799999998</v>
      </c>
      <c r="L1277" s="4" t="s">
        <v>3926</v>
      </c>
      <c r="M1277" s="4" t="s">
        <v>3927</v>
      </c>
      <c r="N1277" s="4" t="s">
        <v>20</v>
      </c>
      <c r="O1277" s="4" t="s">
        <v>1356</v>
      </c>
      <c r="P1277" s="4" t="s">
        <v>1356</v>
      </c>
      <c r="Q1277" s="8" t="s">
        <v>100</v>
      </c>
      <c r="R1277" s="9">
        <f t="shared" si="20"/>
        <v>3.3187670550246221E-5</v>
      </c>
      <c r="S1277" s="55">
        <f>Tabla3[[#This Row],[Subtotal]]/12</f>
        <v>157642.66666666666</v>
      </c>
    </row>
    <row r="1278" spans="1:19" x14ac:dyDescent="0.2">
      <c r="A1278" s="4">
        <v>854</v>
      </c>
      <c r="B1278" s="2">
        <v>1868310</v>
      </c>
      <c r="C1278" s="2">
        <v>0</v>
      </c>
      <c r="D1278" s="4" t="s">
        <v>3931</v>
      </c>
      <c r="E1278" s="2">
        <v>1868310</v>
      </c>
      <c r="F1278" s="2">
        <v>354978.9</v>
      </c>
      <c r="G1278" s="2">
        <v>0</v>
      </c>
      <c r="H1278" s="4">
        <v>0</v>
      </c>
      <c r="I1278" s="4">
        <v>0</v>
      </c>
      <c r="J1278" s="4">
        <v>0</v>
      </c>
      <c r="K1278" s="4">
        <v>2223288.9</v>
      </c>
      <c r="L1278" s="4" t="s">
        <v>3929</v>
      </c>
      <c r="M1278" s="4" t="s">
        <v>3930</v>
      </c>
      <c r="N1278" s="4" t="s">
        <v>20</v>
      </c>
      <c r="O1278" s="4" t="s">
        <v>1356</v>
      </c>
      <c r="P1278" s="4" t="s">
        <v>1356</v>
      </c>
      <c r="Q1278" s="8" t="s">
        <v>100</v>
      </c>
      <c r="R1278" s="9">
        <f t="shared" si="20"/>
        <v>3.2777112354169406E-5</v>
      </c>
      <c r="S1278" s="55">
        <f>Tabla3[[#This Row],[Subtotal]]/12</f>
        <v>155692.5</v>
      </c>
    </row>
    <row r="1279" spans="1:19" x14ac:dyDescent="0.2">
      <c r="A1279" s="4">
        <v>46</v>
      </c>
      <c r="B1279" s="2">
        <v>1859752</v>
      </c>
      <c r="C1279" s="2">
        <v>0</v>
      </c>
      <c r="D1279" s="4" t="s">
        <v>3934</v>
      </c>
      <c r="E1279" s="2">
        <v>1859752</v>
      </c>
      <c r="F1279" s="2">
        <v>353352.88</v>
      </c>
      <c r="G1279" s="2">
        <v>0</v>
      </c>
      <c r="H1279" s="4">
        <v>0</v>
      </c>
      <c r="I1279" s="4">
        <v>0</v>
      </c>
      <c r="J1279" s="4">
        <v>0</v>
      </c>
      <c r="K1279" s="4">
        <v>2213104.88</v>
      </c>
      <c r="L1279" s="4" t="s">
        <v>3932</v>
      </c>
      <c r="M1279" s="4" t="s">
        <v>3933</v>
      </c>
      <c r="N1279" s="4" t="s">
        <v>975</v>
      </c>
      <c r="O1279" s="4" t="s">
        <v>89</v>
      </c>
      <c r="P1279" s="4" t="s">
        <v>89</v>
      </c>
      <c r="Q1279" s="8" t="s">
        <v>100</v>
      </c>
      <c r="R1279" s="9">
        <f t="shared" si="20"/>
        <v>3.2626973176234817E-5</v>
      </c>
      <c r="S1279" s="55">
        <f>Tabla3[[#This Row],[Subtotal]]/12</f>
        <v>154979.33333333334</v>
      </c>
    </row>
    <row r="1280" spans="1:19" x14ac:dyDescent="0.2">
      <c r="A1280" s="4">
        <v>1083</v>
      </c>
      <c r="B1280" s="2">
        <v>1856876</v>
      </c>
      <c r="C1280" s="2">
        <v>0</v>
      </c>
      <c r="D1280" s="4" t="s">
        <v>3937</v>
      </c>
      <c r="E1280" s="2">
        <v>1856876</v>
      </c>
      <c r="F1280" s="2">
        <v>352806.44</v>
      </c>
      <c r="G1280" s="2">
        <v>0</v>
      </c>
      <c r="H1280" s="4">
        <v>0</v>
      </c>
      <c r="I1280" s="4">
        <v>0</v>
      </c>
      <c r="J1280" s="4">
        <v>0</v>
      </c>
      <c r="K1280" s="4">
        <v>2209682.44</v>
      </c>
      <c r="L1280" s="4" t="s">
        <v>3935</v>
      </c>
      <c r="M1280" s="4" t="s">
        <v>3936</v>
      </c>
      <c r="N1280" s="4" t="s">
        <v>1421</v>
      </c>
      <c r="O1280" s="4" t="s">
        <v>3938</v>
      </c>
      <c r="P1280" s="4" t="s">
        <v>3938</v>
      </c>
      <c r="Q1280" s="8" t="s">
        <v>1378</v>
      </c>
      <c r="R1280" s="9">
        <f t="shared" si="20"/>
        <v>3.2576517430062821E-5</v>
      </c>
      <c r="S1280" s="55">
        <f>Tabla3[[#This Row],[Subtotal]]/12</f>
        <v>154739.66666666666</v>
      </c>
    </row>
    <row r="1281" spans="1:19" x14ac:dyDescent="0.2">
      <c r="A1281" s="4">
        <v>1114</v>
      </c>
      <c r="B1281" s="2">
        <v>1856802</v>
      </c>
      <c r="C1281" s="2">
        <v>0</v>
      </c>
      <c r="D1281" s="4" t="s">
        <v>3941</v>
      </c>
      <c r="E1281" s="2">
        <v>1856802</v>
      </c>
      <c r="F1281" s="2">
        <v>352792.38</v>
      </c>
      <c r="G1281" s="2">
        <v>0</v>
      </c>
      <c r="H1281" s="4">
        <v>0</v>
      </c>
      <c r="I1281" s="4">
        <v>0</v>
      </c>
      <c r="J1281" s="4">
        <v>0</v>
      </c>
      <c r="K1281" s="4">
        <v>2209594.38</v>
      </c>
      <c r="L1281" s="4" t="s">
        <v>3939</v>
      </c>
      <c r="M1281" s="4" t="s">
        <v>3940</v>
      </c>
      <c r="N1281" s="4" t="s">
        <v>20</v>
      </c>
      <c r="O1281" s="4" t="s">
        <v>316</v>
      </c>
      <c r="P1281" s="4" t="s">
        <v>316</v>
      </c>
      <c r="Q1281" s="8" t="s">
        <v>100</v>
      </c>
      <c r="R1281" s="9">
        <f t="shared" si="20"/>
        <v>3.2575219194591086E-5</v>
      </c>
      <c r="S1281" s="55">
        <f>Tabla3[[#This Row],[Subtotal]]/12</f>
        <v>154733.5</v>
      </c>
    </row>
    <row r="1282" spans="1:19" x14ac:dyDescent="0.2">
      <c r="A1282" s="4">
        <v>245</v>
      </c>
      <c r="B1282" s="2">
        <v>1850724</v>
      </c>
      <c r="C1282" s="2">
        <v>0</v>
      </c>
      <c r="D1282" s="4" t="s">
        <v>3944</v>
      </c>
      <c r="E1282" s="2">
        <v>1850724</v>
      </c>
      <c r="F1282" s="2">
        <v>351637.56</v>
      </c>
      <c r="G1282" s="2">
        <v>46268.1</v>
      </c>
      <c r="H1282" s="4">
        <v>0</v>
      </c>
      <c r="I1282" s="4">
        <v>0</v>
      </c>
      <c r="J1282" s="4">
        <v>46268.1</v>
      </c>
      <c r="K1282" s="4">
        <v>2156093.46</v>
      </c>
      <c r="L1282" s="4" t="s">
        <v>3942</v>
      </c>
      <c r="M1282" s="4" t="s">
        <v>3943</v>
      </c>
      <c r="N1282" s="4" t="s">
        <v>92</v>
      </c>
      <c r="O1282" s="4" t="s">
        <v>93</v>
      </c>
      <c r="P1282" s="4" t="s">
        <v>93</v>
      </c>
      <c r="Q1282" s="8" t="s">
        <v>100</v>
      </c>
      <c r="R1282" s="9">
        <f t="shared" si="20"/>
        <v>3.2468588448682402E-5</v>
      </c>
      <c r="S1282" s="55">
        <f>Tabla3[[#This Row],[Subtotal]]/12</f>
        <v>154227</v>
      </c>
    </row>
    <row r="1283" spans="1:19" x14ac:dyDescent="0.2">
      <c r="A1283" s="4">
        <v>509</v>
      </c>
      <c r="B1283" s="2">
        <v>1833343.21</v>
      </c>
      <c r="C1283" s="2">
        <v>0</v>
      </c>
      <c r="D1283" s="4" t="s">
        <v>3947</v>
      </c>
      <c r="E1283" s="2">
        <v>1833343.21</v>
      </c>
      <c r="F1283" s="2">
        <v>98140.93</v>
      </c>
      <c r="G1283" s="2">
        <v>0</v>
      </c>
      <c r="H1283" s="4">
        <v>0</v>
      </c>
      <c r="I1283" s="4">
        <v>0</v>
      </c>
      <c r="J1283" s="4">
        <v>0</v>
      </c>
      <c r="K1283" s="4">
        <v>1931484.14</v>
      </c>
      <c r="L1283" s="4" t="s">
        <v>3945</v>
      </c>
      <c r="M1283" s="4" t="s">
        <v>3946</v>
      </c>
      <c r="N1283" s="4" t="s">
        <v>1107</v>
      </c>
      <c r="O1283" s="4" t="s">
        <v>3907</v>
      </c>
      <c r="P1283" s="4" t="s">
        <v>3907</v>
      </c>
      <c r="Q1283" s="8" t="s">
        <v>144</v>
      </c>
      <c r="R1283" s="9">
        <f t="shared" ref="R1283:R1346" si="21">E1283/$E$1757</f>
        <v>3.2163664690508319E-5</v>
      </c>
      <c r="S1283" s="55">
        <f>Tabla3[[#This Row],[Subtotal]]/12</f>
        <v>152778.60083333333</v>
      </c>
    </row>
    <row r="1284" spans="1:19" x14ac:dyDescent="0.2">
      <c r="A1284" s="4">
        <v>1320</v>
      </c>
      <c r="B1284" s="2">
        <v>1832589.01</v>
      </c>
      <c r="C1284" s="2">
        <v>0</v>
      </c>
      <c r="D1284" s="4" t="s">
        <v>3950</v>
      </c>
      <c r="E1284" s="2">
        <v>1832589.01</v>
      </c>
      <c r="F1284" s="2">
        <v>348191.91</v>
      </c>
      <c r="G1284" s="2">
        <v>13089.92</v>
      </c>
      <c r="H1284" s="4">
        <v>0</v>
      </c>
      <c r="I1284" s="4">
        <v>0</v>
      </c>
      <c r="J1284" s="4">
        <v>13089.92</v>
      </c>
      <c r="K1284" s="4">
        <v>2167691</v>
      </c>
      <c r="L1284" s="4" t="s">
        <v>3948</v>
      </c>
      <c r="M1284" s="4" t="s">
        <v>3949</v>
      </c>
      <c r="N1284" s="4" t="s">
        <v>1107</v>
      </c>
      <c r="O1284" s="4" t="s">
        <v>900</v>
      </c>
      <c r="P1284" s="4" t="s">
        <v>900</v>
      </c>
      <c r="Q1284" s="8" t="s">
        <v>144</v>
      </c>
      <c r="R1284" s="9">
        <f t="shared" si="21"/>
        <v>3.2150433214930118E-5</v>
      </c>
      <c r="S1284" s="55">
        <f>Tabla3[[#This Row],[Subtotal]]/12</f>
        <v>152715.75083333332</v>
      </c>
    </row>
    <row r="1285" spans="1:19" x14ac:dyDescent="0.2">
      <c r="A1285" s="4">
        <v>1209</v>
      </c>
      <c r="B1285" s="2">
        <v>1814800</v>
      </c>
      <c r="C1285" s="2">
        <v>0</v>
      </c>
      <c r="D1285" s="4" t="s">
        <v>3953</v>
      </c>
      <c r="E1285" s="2">
        <v>1814800</v>
      </c>
      <c r="F1285" s="2">
        <v>344812</v>
      </c>
      <c r="G1285" s="2">
        <v>0</v>
      </c>
      <c r="H1285" s="4">
        <v>0</v>
      </c>
      <c r="I1285" s="4">
        <v>0</v>
      </c>
      <c r="J1285" s="4">
        <v>0</v>
      </c>
      <c r="K1285" s="4">
        <v>2159612</v>
      </c>
      <c r="L1285" s="4" t="s">
        <v>3951</v>
      </c>
      <c r="M1285" s="4" t="s">
        <v>3952</v>
      </c>
      <c r="N1285" s="4" t="s">
        <v>20</v>
      </c>
      <c r="O1285" s="4" t="s">
        <v>316</v>
      </c>
      <c r="P1285" s="4" t="s">
        <v>316</v>
      </c>
      <c r="Q1285" s="8" t="s">
        <v>100</v>
      </c>
      <c r="R1285" s="9">
        <f t="shared" si="21"/>
        <v>3.1838347758319892E-5</v>
      </c>
      <c r="S1285" s="55">
        <f>Tabla3[[#This Row],[Subtotal]]/12</f>
        <v>151233.33333333334</v>
      </c>
    </row>
    <row r="1286" spans="1:19" x14ac:dyDescent="0.2">
      <c r="A1286" s="4">
        <v>708</v>
      </c>
      <c r="B1286" s="2">
        <v>1812364</v>
      </c>
      <c r="C1286" s="2">
        <v>0</v>
      </c>
      <c r="D1286" s="4" t="s">
        <v>3956</v>
      </c>
      <c r="E1286" s="2">
        <v>1812364</v>
      </c>
      <c r="F1286" s="2">
        <v>344349.16</v>
      </c>
      <c r="G1286" s="2">
        <v>45309.1</v>
      </c>
      <c r="H1286" s="4">
        <v>0</v>
      </c>
      <c r="I1286" s="4">
        <v>0</v>
      </c>
      <c r="J1286" s="4">
        <v>45309.1</v>
      </c>
      <c r="K1286" s="4">
        <v>2111404.06</v>
      </c>
      <c r="L1286" s="4" t="s">
        <v>3954</v>
      </c>
      <c r="M1286" s="4" t="s">
        <v>3955</v>
      </c>
      <c r="N1286" s="4" t="s">
        <v>124</v>
      </c>
      <c r="O1286" s="4" t="s">
        <v>1188</v>
      </c>
      <c r="P1286" s="4" t="s">
        <v>1188</v>
      </c>
      <c r="Q1286" s="8" t="s">
        <v>100</v>
      </c>
      <c r="R1286" s="9">
        <f t="shared" si="21"/>
        <v>3.1795611250087983E-5</v>
      </c>
      <c r="S1286" s="55">
        <f>Tabla3[[#This Row],[Subtotal]]/12</f>
        <v>151030.33333333334</v>
      </c>
    </row>
    <row r="1287" spans="1:19" x14ac:dyDescent="0.2">
      <c r="A1287" s="4">
        <v>1258</v>
      </c>
      <c r="B1287" s="2">
        <v>1793715</v>
      </c>
      <c r="C1287" s="2">
        <v>0</v>
      </c>
      <c r="D1287" s="4" t="s">
        <v>3959</v>
      </c>
      <c r="E1287" s="2">
        <v>1793715</v>
      </c>
      <c r="F1287" s="2">
        <v>340805.85</v>
      </c>
      <c r="G1287" s="2">
        <v>0</v>
      </c>
      <c r="H1287" s="4">
        <v>0</v>
      </c>
      <c r="I1287" s="4">
        <v>0</v>
      </c>
      <c r="J1287" s="4">
        <v>0</v>
      </c>
      <c r="K1287" s="4">
        <v>2134520.85</v>
      </c>
      <c r="L1287" s="4" t="s">
        <v>3957</v>
      </c>
      <c r="M1287" s="4" t="s">
        <v>3958</v>
      </c>
      <c r="N1287" s="4" t="s">
        <v>20</v>
      </c>
      <c r="O1287" s="4" t="s">
        <v>1043</v>
      </c>
      <c r="P1287" s="4" t="s">
        <v>1043</v>
      </c>
      <c r="Q1287" s="8" t="s">
        <v>100</v>
      </c>
      <c r="R1287" s="9">
        <f t="shared" si="21"/>
        <v>3.1468438367486649E-5</v>
      </c>
      <c r="S1287" s="55">
        <f>Tabla3[[#This Row],[Subtotal]]/12</f>
        <v>149476.25</v>
      </c>
    </row>
    <row r="1288" spans="1:19" x14ac:dyDescent="0.2">
      <c r="A1288" s="4">
        <v>171</v>
      </c>
      <c r="B1288" s="2">
        <v>1790553</v>
      </c>
      <c r="C1288" s="2">
        <v>0</v>
      </c>
      <c r="D1288" s="4" t="s">
        <v>3962</v>
      </c>
      <c r="E1288" s="2">
        <v>1790553</v>
      </c>
      <c r="F1288" s="2">
        <v>340205.07</v>
      </c>
      <c r="G1288" s="2">
        <v>0</v>
      </c>
      <c r="H1288" s="4">
        <v>0</v>
      </c>
      <c r="I1288" s="4">
        <v>0</v>
      </c>
      <c r="J1288" s="4">
        <v>0</v>
      </c>
      <c r="K1288" s="4">
        <v>2130758.0699999998</v>
      </c>
      <c r="L1288" s="4" t="s">
        <v>3960</v>
      </c>
      <c r="M1288" s="4" t="s">
        <v>3961</v>
      </c>
      <c r="N1288" s="4" t="s">
        <v>32</v>
      </c>
      <c r="O1288" s="4" t="s">
        <v>1188</v>
      </c>
      <c r="P1288" s="4" t="s">
        <v>1188</v>
      </c>
      <c r="Q1288" s="8" t="s">
        <v>100</v>
      </c>
      <c r="R1288" s="9">
        <f t="shared" si="21"/>
        <v>3.1412965116653604E-5</v>
      </c>
      <c r="S1288" s="55">
        <f>Tabla3[[#This Row],[Subtotal]]/12</f>
        <v>149212.75</v>
      </c>
    </row>
    <row r="1289" spans="1:19" x14ac:dyDescent="0.2">
      <c r="A1289" s="4">
        <v>316</v>
      </c>
      <c r="B1289" s="2">
        <v>1789342</v>
      </c>
      <c r="C1289" s="2">
        <v>0</v>
      </c>
      <c r="D1289" s="4" t="s">
        <v>3965</v>
      </c>
      <c r="E1289" s="2">
        <v>1789342</v>
      </c>
      <c r="F1289" s="2">
        <v>339974.98</v>
      </c>
      <c r="G1289" s="2">
        <v>0</v>
      </c>
      <c r="H1289" s="4">
        <v>0</v>
      </c>
      <c r="I1289" s="4">
        <v>0</v>
      </c>
      <c r="J1289" s="4">
        <v>0</v>
      </c>
      <c r="K1289" s="4">
        <v>2129316.98</v>
      </c>
      <c r="L1289" s="4" t="s">
        <v>3963</v>
      </c>
      <c r="M1289" s="4" t="s">
        <v>3964</v>
      </c>
      <c r="N1289" s="4" t="s">
        <v>142</v>
      </c>
      <c r="O1289" s="4" t="s">
        <v>340</v>
      </c>
      <c r="P1289" s="4" t="s">
        <v>340</v>
      </c>
      <c r="Q1289" s="8" t="s">
        <v>100</v>
      </c>
      <c r="R1289" s="9">
        <f t="shared" si="21"/>
        <v>3.1391719668595785E-5</v>
      </c>
      <c r="S1289" s="55">
        <f>Tabla3[[#This Row],[Subtotal]]/12</f>
        <v>149111.83333333334</v>
      </c>
    </row>
    <row r="1290" spans="1:19" x14ac:dyDescent="0.2">
      <c r="A1290" s="4">
        <v>1605</v>
      </c>
      <c r="B1290" s="2">
        <v>1789293</v>
      </c>
      <c r="C1290" s="2">
        <v>0</v>
      </c>
      <c r="D1290" s="4" t="s">
        <v>3968</v>
      </c>
      <c r="E1290" s="2">
        <v>1789293</v>
      </c>
      <c r="F1290" s="2">
        <v>339965.67</v>
      </c>
      <c r="G1290" s="2">
        <v>0</v>
      </c>
      <c r="H1290" s="4">
        <v>0</v>
      </c>
      <c r="I1290" s="4">
        <v>0</v>
      </c>
      <c r="J1290" s="4">
        <v>0</v>
      </c>
      <c r="K1290" s="4">
        <v>2129258.67</v>
      </c>
      <c r="L1290" s="4" t="s">
        <v>3966</v>
      </c>
      <c r="M1290" s="4" t="s">
        <v>3967</v>
      </c>
      <c r="N1290" s="4" t="s">
        <v>20</v>
      </c>
      <c r="O1290" s="4" t="s">
        <v>1157</v>
      </c>
      <c r="P1290" s="4" t="s">
        <v>1157</v>
      </c>
      <c r="Q1290" s="8" t="s">
        <v>100</v>
      </c>
      <c r="R1290" s="9">
        <f t="shared" si="21"/>
        <v>3.1390860026188824E-5</v>
      </c>
      <c r="S1290" s="55">
        <f>Tabla3[[#This Row],[Subtotal]]/12</f>
        <v>149107.75</v>
      </c>
    </row>
    <row r="1291" spans="1:19" x14ac:dyDescent="0.2">
      <c r="A1291" s="4">
        <v>1535</v>
      </c>
      <c r="B1291" s="2">
        <v>1788825</v>
      </c>
      <c r="C1291" s="2">
        <v>0</v>
      </c>
      <c r="D1291" s="4" t="s">
        <v>3971</v>
      </c>
      <c r="E1291" s="2">
        <v>1788825</v>
      </c>
      <c r="F1291" s="2">
        <v>339876.75</v>
      </c>
      <c r="G1291" s="2">
        <v>0</v>
      </c>
      <c r="H1291" s="4">
        <v>0</v>
      </c>
      <c r="I1291" s="4">
        <v>0</v>
      </c>
      <c r="J1291" s="4">
        <v>0</v>
      </c>
      <c r="K1291" s="4">
        <v>2128701.75</v>
      </c>
      <c r="L1291" s="4" t="s">
        <v>3969</v>
      </c>
      <c r="M1291" s="4" t="s">
        <v>3970</v>
      </c>
      <c r="N1291" s="4" t="s">
        <v>20</v>
      </c>
      <c r="O1291" s="4" t="s">
        <v>372</v>
      </c>
      <c r="P1291" s="4" t="s">
        <v>372</v>
      </c>
      <c r="Q1291" s="8" t="s">
        <v>100</v>
      </c>
      <c r="R1291" s="9">
        <f t="shared" si="21"/>
        <v>3.1382649564016194E-5</v>
      </c>
      <c r="S1291" s="55">
        <f>Tabla3[[#This Row],[Subtotal]]/12</f>
        <v>149068.75</v>
      </c>
    </row>
    <row r="1292" spans="1:19" x14ac:dyDescent="0.2">
      <c r="A1292" s="4">
        <v>73</v>
      </c>
      <c r="B1292" s="2">
        <v>1786648</v>
      </c>
      <c r="C1292" s="2">
        <v>0</v>
      </c>
      <c r="D1292" s="4" t="s">
        <v>3974</v>
      </c>
      <c r="E1292" s="2">
        <v>1786648</v>
      </c>
      <c r="F1292" s="2">
        <v>339463.12</v>
      </c>
      <c r="G1292" s="2">
        <v>0</v>
      </c>
      <c r="H1292" s="4">
        <v>0</v>
      </c>
      <c r="I1292" s="4">
        <v>0</v>
      </c>
      <c r="J1292" s="4">
        <v>0</v>
      </c>
      <c r="K1292" s="4">
        <v>2126111.12</v>
      </c>
      <c r="L1292" s="4" t="s">
        <v>3972</v>
      </c>
      <c r="M1292" s="4" t="s">
        <v>3973</v>
      </c>
      <c r="N1292" s="4" t="s">
        <v>674</v>
      </c>
      <c r="O1292" s="4" t="s">
        <v>89</v>
      </c>
      <c r="P1292" s="4" t="s">
        <v>89</v>
      </c>
      <c r="Q1292" s="8" t="s">
        <v>100</v>
      </c>
      <c r="R1292" s="9">
        <f t="shared" si="21"/>
        <v>3.1344456879935377E-5</v>
      </c>
      <c r="S1292" s="55">
        <f>Tabla3[[#This Row],[Subtotal]]/12</f>
        <v>148887.33333333334</v>
      </c>
    </row>
    <row r="1293" spans="1:19" x14ac:dyDescent="0.2">
      <c r="A1293" s="4">
        <v>1551</v>
      </c>
      <c r="B1293" s="2">
        <v>1757077</v>
      </c>
      <c r="C1293" s="2">
        <v>0</v>
      </c>
      <c r="D1293" s="4" t="s">
        <v>3977</v>
      </c>
      <c r="E1293" s="2">
        <v>1757077</v>
      </c>
      <c r="F1293" s="2">
        <v>333844.63</v>
      </c>
      <c r="G1293" s="2">
        <v>29292.78</v>
      </c>
      <c r="H1293" s="4">
        <v>0</v>
      </c>
      <c r="I1293" s="4">
        <v>0</v>
      </c>
      <c r="J1293" s="4">
        <v>29292.78</v>
      </c>
      <c r="K1293" s="4">
        <v>2061628.85</v>
      </c>
      <c r="L1293" s="4" t="s">
        <v>3975</v>
      </c>
      <c r="M1293" s="4" t="s">
        <v>3976</v>
      </c>
      <c r="N1293" s="4" t="s">
        <v>20</v>
      </c>
      <c r="O1293" s="4" t="s">
        <v>257</v>
      </c>
      <c r="P1293" s="4" t="s">
        <v>257</v>
      </c>
      <c r="Q1293" s="8" t="s">
        <v>100</v>
      </c>
      <c r="R1293" s="9">
        <f t="shared" si="21"/>
        <v>3.0825671459194097E-5</v>
      </c>
      <c r="S1293" s="55">
        <f>Tabla3[[#This Row],[Subtotal]]/12</f>
        <v>146423.08333333334</v>
      </c>
    </row>
    <row r="1294" spans="1:19" x14ac:dyDescent="0.2">
      <c r="A1294" s="4">
        <v>593</v>
      </c>
      <c r="B1294" s="2">
        <v>1749767</v>
      </c>
      <c r="C1294" s="2">
        <v>0</v>
      </c>
      <c r="D1294" s="4" t="s">
        <v>3980</v>
      </c>
      <c r="E1294" s="2">
        <v>1749767</v>
      </c>
      <c r="F1294" s="2">
        <v>332455.73</v>
      </c>
      <c r="G1294" s="2">
        <v>1176</v>
      </c>
      <c r="H1294" s="4">
        <v>0</v>
      </c>
      <c r="I1294" s="4">
        <v>0</v>
      </c>
      <c r="J1294" s="4">
        <v>1176</v>
      </c>
      <c r="K1294" s="4">
        <v>2081046.73</v>
      </c>
      <c r="L1294" s="4" t="s">
        <v>3978</v>
      </c>
      <c r="M1294" s="4" t="s">
        <v>3979</v>
      </c>
      <c r="N1294" s="4" t="s">
        <v>1143</v>
      </c>
      <c r="O1294" s="4" t="s">
        <v>340</v>
      </c>
      <c r="P1294" s="4" t="s">
        <v>340</v>
      </c>
      <c r="Q1294" s="8" t="s">
        <v>100</v>
      </c>
      <c r="R1294" s="9">
        <f t="shared" si="21"/>
        <v>3.0697426847053188E-5</v>
      </c>
      <c r="S1294" s="55">
        <f>Tabla3[[#This Row],[Subtotal]]/12</f>
        <v>145813.91666666666</v>
      </c>
    </row>
    <row r="1295" spans="1:19" x14ac:dyDescent="0.2">
      <c r="A1295" s="4">
        <v>727</v>
      </c>
      <c r="B1295" s="2">
        <v>1748444</v>
      </c>
      <c r="C1295" s="2">
        <v>0</v>
      </c>
      <c r="D1295" s="4" t="s">
        <v>3983</v>
      </c>
      <c r="E1295" s="2">
        <v>1748444</v>
      </c>
      <c r="F1295" s="2">
        <v>332204.36</v>
      </c>
      <c r="G1295" s="2">
        <v>0</v>
      </c>
      <c r="H1295" s="4">
        <v>0</v>
      </c>
      <c r="I1295" s="4">
        <v>0</v>
      </c>
      <c r="J1295" s="4">
        <v>0</v>
      </c>
      <c r="K1295" s="4">
        <v>2080648.36</v>
      </c>
      <c r="L1295" s="4" t="s">
        <v>3981</v>
      </c>
      <c r="M1295" s="4" t="s">
        <v>3982</v>
      </c>
      <c r="N1295" s="4" t="s">
        <v>627</v>
      </c>
      <c r="O1295" s="4" t="s">
        <v>2025</v>
      </c>
      <c r="P1295" s="4" t="s">
        <v>2025</v>
      </c>
      <c r="Q1295" s="8" t="s">
        <v>100</v>
      </c>
      <c r="R1295" s="9">
        <f t="shared" si="21"/>
        <v>3.0674216502065168E-5</v>
      </c>
      <c r="S1295" s="55">
        <f>Tabla3[[#This Row],[Subtotal]]/12</f>
        <v>145703.66666666666</v>
      </c>
    </row>
    <row r="1296" spans="1:19" x14ac:dyDescent="0.2">
      <c r="A1296" s="4">
        <v>1187</v>
      </c>
      <c r="B1296" s="2">
        <v>1743123</v>
      </c>
      <c r="C1296" s="2">
        <v>0</v>
      </c>
      <c r="D1296" s="4" t="s">
        <v>3986</v>
      </c>
      <c r="E1296" s="2">
        <v>1743123</v>
      </c>
      <c r="F1296" s="2">
        <v>331193.37</v>
      </c>
      <c r="G1296" s="2">
        <v>0</v>
      </c>
      <c r="H1296" s="4">
        <v>0</v>
      </c>
      <c r="I1296" s="4">
        <v>0</v>
      </c>
      <c r="J1296" s="4">
        <v>0</v>
      </c>
      <c r="K1296" s="4">
        <v>2074316.37</v>
      </c>
      <c r="L1296" s="4" t="s">
        <v>3984</v>
      </c>
      <c r="M1296" s="4" t="s">
        <v>3985</v>
      </c>
      <c r="N1296" s="4" t="s">
        <v>20</v>
      </c>
      <c r="O1296" s="4" t="s">
        <v>1562</v>
      </c>
      <c r="P1296" s="4" t="s">
        <v>1562</v>
      </c>
      <c r="Q1296" s="8" t="s">
        <v>100</v>
      </c>
      <c r="R1296" s="9">
        <f t="shared" si="21"/>
        <v>3.0580866354157951E-5</v>
      </c>
      <c r="S1296" s="55">
        <f>Tabla3[[#This Row],[Subtotal]]/12</f>
        <v>145260.25</v>
      </c>
    </row>
    <row r="1297" spans="1:19" x14ac:dyDescent="0.2">
      <c r="A1297" s="4">
        <v>1616</v>
      </c>
      <c r="B1297" s="2">
        <v>1742939</v>
      </c>
      <c r="C1297" s="2">
        <v>0</v>
      </c>
      <c r="D1297" s="4" t="s">
        <v>3989</v>
      </c>
      <c r="E1297" s="2">
        <v>1742939</v>
      </c>
      <c r="F1297" s="2">
        <v>331158.40999999997</v>
      </c>
      <c r="G1297" s="2">
        <v>0</v>
      </c>
      <c r="H1297" s="4">
        <v>0</v>
      </c>
      <c r="I1297" s="4">
        <v>0</v>
      </c>
      <c r="J1297" s="4">
        <v>0</v>
      </c>
      <c r="K1297" s="4">
        <v>2074097.41</v>
      </c>
      <c r="L1297" s="4" t="s">
        <v>3987</v>
      </c>
      <c r="M1297" s="4" t="s">
        <v>3988</v>
      </c>
      <c r="N1297" s="4" t="s">
        <v>20</v>
      </c>
      <c r="O1297" s="4" t="s">
        <v>540</v>
      </c>
      <c r="P1297" s="4" t="s">
        <v>540</v>
      </c>
      <c r="Q1297" s="8" t="s">
        <v>100</v>
      </c>
      <c r="R1297" s="9">
        <f t="shared" si="21"/>
        <v>3.0577638309201192E-5</v>
      </c>
      <c r="S1297" s="55">
        <f>Tabla3[[#This Row],[Subtotal]]/12</f>
        <v>145244.91666666666</v>
      </c>
    </row>
    <row r="1298" spans="1:19" x14ac:dyDescent="0.2">
      <c r="A1298" s="4">
        <v>1062</v>
      </c>
      <c r="B1298" s="2">
        <v>1736952</v>
      </c>
      <c r="C1298" s="2">
        <v>0</v>
      </c>
      <c r="D1298" s="4" t="s">
        <v>3992</v>
      </c>
      <c r="E1298" s="2">
        <v>1736952</v>
      </c>
      <c r="F1298" s="2">
        <v>330020.88</v>
      </c>
      <c r="G1298" s="2">
        <v>0</v>
      </c>
      <c r="H1298" s="4">
        <v>0</v>
      </c>
      <c r="I1298" s="4">
        <v>0</v>
      </c>
      <c r="J1298" s="4">
        <v>0</v>
      </c>
      <c r="K1298" s="4">
        <v>2066972.88</v>
      </c>
      <c r="L1298" s="4" t="s">
        <v>3990</v>
      </c>
      <c r="M1298" s="4" t="s">
        <v>3991</v>
      </c>
      <c r="N1298" s="4" t="s">
        <v>2113</v>
      </c>
      <c r="O1298" s="4" t="s">
        <v>89</v>
      </c>
      <c r="P1298" s="4" t="s">
        <v>89</v>
      </c>
      <c r="Q1298" s="8" t="s">
        <v>100</v>
      </c>
      <c r="R1298" s="9">
        <f t="shared" si="21"/>
        <v>3.0472604042048302E-5</v>
      </c>
      <c r="S1298" s="55">
        <f>Tabla3[[#This Row],[Subtotal]]/12</f>
        <v>144746</v>
      </c>
    </row>
    <row r="1299" spans="1:19" x14ac:dyDescent="0.2">
      <c r="A1299" s="4">
        <v>92</v>
      </c>
      <c r="B1299" s="2">
        <v>1722677</v>
      </c>
      <c r="C1299" s="2">
        <v>0</v>
      </c>
      <c r="D1299" s="4" t="s">
        <v>3995</v>
      </c>
      <c r="E1299" s="2">
        <v>1722677</v>
      </c>
      <c r="F1299" s="2">
        <v>327308.63</v>
      </c>
      <c r="G1299" s="2">
        <v>0</v>
      </c>
      <c r="H1299" s="4">
        <v>0</v>
      </c>
      <c r="I1299" s="4">
        <v>0</v>
      </c>
      <c r="J1299" s="4">
        <v>0</v>
      </c>
      <c r="K1299" s="4">
        <v>2049985.63</v>
      </c>
      <c r="L1299" s="4" t="s">
        <v>3993</v>
      </c>
      <c r="M1299" s="4" t="s">
        <v>3994</v>
      </c>
      <c r="N1299" s="4" t="s">
        <v>1454</v>
      </c>
      <c r="O1299" s="4" t="s">
        <v>67</v>
      </c>
      <c r="P1299" s="4" t="s">
        <v>67</v>
      </c>
      <c r="Q1299" s="8" t="s">
        <v>100</v>
      </c>
      <c r="R1299" s="9">
        <f t="shared" si="21"/>
        <v>3.0222167402060414E-5</v>
      </c>
      <c r="S1299" s="55">
        <f>Tabla3[[#This Row],[Subtotal]]/12</f>
        <v>143556.41666666666</v>
      </c>
    </row>
    <row r="1300" spans="1:19" x14ac:dyDescent="0.2">
      <c r="A1300" s="4">
        <v>1172</v>
      </c>
      <c r="B1300" s="2">
        <v>1722411</v>
      </c>
      <c r="C1300" s="2">
        <v>0</v>
      </c>
      <c r="D1300" s="4" t="s">
        <v>3998</v>
      </c>
      <c r="E1300" s="2">
        <v>1722411</v>
      </c>
      <c r="F1300" s="2">
        <v>327258.09000000003</v>
      </c>
      <c r="G1300" s="2">
        <v>30842.11</v>
      </c>
      <c r="H1300" s="4">
        <v>0</v>
      </c>
      <c r="I1300" s="4">
        <v>0</v>
      </c>
      <c r="J1300" s="4">
        <v>30842.11</v>
      </c>
      <c r="K1300" s="4">
        <v>2018826.98</v>
      </c>
      <c r="L1300" s="4" t="s">
        <v>3996</v>
      </c>
      <c r="M1300" s="4" t="s">
        <v>3997</v>
      </c>
      <c r="N1300" s="4" t="s">
        <v>20</v>
      </c>
      <c r="O1300" s="4" t="s">
        <v>1562</v>
      </c>
      <c r="P1300" s="4" t="s">
        <v>1562</v>
      </c>
      <c r="Q1300" s="8" t="s">
        <v>100</v>
      </c>
      <c r="R1300" s="9">
        <f t="shared" si="21"/>
        <v>3.0217500771851184E-5</v>
      </c>
      <c r="S1300" s="55">
        <f>Tabla3[[#This Row],[Subtotal]]/12</f>
        <v>143534.25</v>
      </c>
    </row>
    <row r="1301" spans="1:19" x14ac:dyDescent="0.2">
      <c r="A1301" s="4">
        <v>1515</v>
      </c>
      <c r="B1301" s="2">
        <v>1721429</v>
      </c>
      <c r="C1301" s="2">
        <v>0</v>
      </c>
      <c r="D1301" s="4" t="s">
        <v>4001</v>
      </c>
      <c r="E1301" s="2">
        <v>1721429</v>
      </c>
      <c r="F1301" s="2">
        <v>327071.51</v>
      </c>
      <c r="G1301" s="2">
        <v>0</v>
      </c>
      <c r="H1301" s="4">
        <v>0</v>
      </c>
      <c r="I1301" s="4">
        <v>0</v>
      </c>
      <c r="J1301" s="4">
        <v>0</v>
      </c>
      <c r="K1301" s="4">
        <v>2048500.51</v>
      </c>
      <c r="L1301" s="4" t="s">
        <v>3999</v>
      </c>
      <c r="M1301" s="4" t="s">
        <v>4000</v>
      </c>
      <c r="N1301" s="4" t="s">
        <v>3630</v>
      </c>
      <c r="O1301" s="4" t="s">
        <v>2025</v>
      </c>
      <c r="P1301" s="4" t="s">
        <v>2025</v>
      </c>
      <c r="Q1301" s="8" t="s">
        <v>100</v>
      </c>
      <c r="R1301" s="9">
        <f t="shared" si="21"/>
        <v>3.0200272836266728E-5</v>
      </c>
      <c r="S1301" s="55">
        <f>Tabla3[[#This Row],[Subtotal]]/12</f>
        <v>143452.41666666666</v>
      </c>
    </row>
    <row r="1302" spans="1:19" x14ac:dyDescent="0.2">
      <c r="A1302" s="4">
        <v>1704</v>
      </c>
      <c r="B1302" s="2">
        <v>1718720</v>
      </c>
      <c r="C1302" s="2">
        <v>0</v>
      </c>
      <c r="D1302" s="4" t="s">
        <v>4004</v>
      </c>
      <c r="E1302" s="2">
        <v>1718720</v>
      </c>
      <c r="F1302" s="2">
        <v>326556.79999999999</v>
      </c>
      <c r="G1302" s="2">
        <v>0</v>
      </c>
      <c r="H1302" s="4">
        <v>0</v>
      </c>
      <c r="I1302" s="4">
        <v>0</v>
      </c>
      <c r="J1302" s="4">
        <v>0</v>
      </c>
      <c r="K1302" s="4">
        <v>2045276.8</v>
      </c>
      <c r="L1302" s="4" t="s">
        <v>4002</v>
      </c>
      <c r="M1302" s="4" t="s">
        <v>4003</v>
      </c>
      <c r="N1302" s="4" t="s">
        <v>415</v>
      </c>
      <c r="O1302" s="4" t="s">
        <v>382</v>
      </c>
      <c r="P1302" s="4" t="s">
        <v>382</v>
      </c>
      <c r="Q1302" s="8" t="s">
        <v>100</v>
      </c>
      <c r="R1302" s="9">
        <f t="shared" si="21"/>
        <v>3.015274689176745E-5</v>
      </c>
      <c r="S1302" s="55">
        <f>Tabla3[[#This Row],[Subtotal]]/12</f>
        <v>143226.66666666666</v>
      </c>
    </row>
    <row r="1303" spans="1:19" x14ac:dyDescent="0.2">
      <c r="A1303" s="4">
        <v>1308</v>
      </c>
      <c r="B1303" s="2">
        <v>1693472</v>
      </c>
      <c r="C1303" s="2">
        <v>0</v>
      </c>
      <c r="D1303" s="4" t="s">
        <v>4007</v>
      </c>
      <c r="E1303" s="2">
        <v>1693472</v>
      </c>
      <c r="F1303" s="2">
        <v>321759.68</v>
      </c>
      <c r="G1303" s="2">
        <v>0</v>
      </c>
      <c r="H1303" s="4">
        <v>0</v>
      </c>
      <c r="I1303" s="4">
        <v>0</v>
      </c>
      <c r="J1303" s="4">
        <v>0</v>
      </c>
      <c r="K1303" s="4">
        <v>2015231.68</v>
      </c>
      <c r="L1303" s="4" t="s">
        <v>4005</v>
      </c>
      <c r="M1303" s="4" t="s">
        <v>4006</v>
      </c>
      <c r="N1303" s="4" t="s">
        <v>20</v>
      </c>
      <c r="O1303" s="4" t="s">
        <v>1043</v>
      </c>
      <c r="P1303" s="4" t="s">
        <v>1043</v>
      </c>
      <c r="Q1303" s="8" t="s">
        <v>100</v>
      </c>
      <c r="R1303" s="9">
        <f t="shared" si="21"/>
        <v>2.9709802983787474E-5</v>
      </c>
      <c r="S1303" s="55">
        <f>Tabla3[[#This Row],[Subtotal]]/12</f>
        <v>141122.66666666666</v>
      </c>
    </row>
    <row r="1304" spans="1:19" x14ac:dyDescent="0.2">
      <c r="A1304" s="4">
        <v>1256</v>
      </c>
      <c r="B1304" s="2">
        <v>1684462</v>
      </c>
      <c r="C1304" s="2">
        <v>0</v>
      </c>
      <c r="D1304" s="4" t="s">
        <v>3572</v>
      </c>
      <c r="E1304" s="2">
        <v>1684462</v>
      </c>
      <c r="F1304" s="2">
        <v>320047.78000000003</v>
      </c>
      <c r="G1304" s="2">
        <v>0</v>
      </c>
      <c r="H1304" s="4">
        <v>0</v>
      </c>
      <c r="I1304" s="4">
        <v>0</v>
      </c>
      <c r="J1304" s="4">
        <v>0</v>
      </c>
      <c r="K1304" s="4">
        <v>2004509.78</v>
      </c>
      <c r="L1304" s="4" t="s">
        <v>4008</v>
      </c>
      <c r="M1304" s="4" t="s">
        <v>3571</v>
      </c>
      <c r="N1304" s="4" t="s">
        <v>20</v>
      </c>
      <c r="O1304" s="4" t="s">
        <v>2863</v>
      </c>
      <c r="P1304" s="4" t="s">
        <v>2863</v>
      </c>
      <c r="Q1304" s="8" t="s">
        <v>100</v>
      </c>
      <c r="R1304" s="9">
        <f t="shared" si="21"/>
        <v>2.9551734043241706E-5</v>
      </c>
      <c r="S1304" s="55">
        <f>Tabla3[[#This Row],[Subtotal]]/12</f>
        <v>140371.83333333334</v>
      </c>
    </row>
    <row r="1305" spans="1:19" x14ac:dyDescent="0.2">
      <c r="A1305" s="4">
        <v>785</v>
      </c>
      <c r="B1305" s="2">
        <v>1680819</v>
      </c>
      <c r="C1305" s="2">
        <v>0</v>
      </c>
      <c r="D1305" s="4" t="s">
        <v>4011</v>
      </c>
      <c r="E1305" s="2">
        <v>1680819</v>
      </c>
      <c r="F1305" s="2">
        <v>319355.61</v>
      </c>
      <c r="G1305" s="2">
        <v>0</v>
      </c>
      <c r="H1305" s="4">
        <v>0</v>
      </c>
      <c r="I1305" s="4">
        <v>0</v>
      </c>
      <c r="J1305" s="4">
        <v>0</v>
      </c>
      <c r="K1305" s="4">
        <v>2000174.61</v>
      </c>
      <c r="L1305" s="4" t="s">
        <v>4009</v>
      </c>
      <c r="M1305" s="4" t="s">
        <v>4010</v>
      </c>
      <c r="N1305" s="4" t="s">
        <v>20</v>
      </c>
      <c r="O1305" s="4" t="s">
        <v>372</v>
      </c>
      <c r="P1305" s="4" t="s">
        <v>372</v>
      </c>
      <c r="Q1305" s="8" t="s">
        <v>100</v>
      </c>
      <c r="R1305" s="9">
        <f t="shared" si="21"/>
        <v>2.9487822261842346E-5</v>
      </c>
      <c r="S1305" s="55">
        <f>Tabla3[[#This Row],[Subtotal]]/12</f>
        <v>140068.25</v>
      </c>
    </row>
    <row r="1306" spans="1:19" x14ac:dyDescent="0.2">
      <c r="A1306" s="4">
        <v>1173</v>
      </c>
      <c r="B1306" s="2">
        <v>1674716</v>
      </c>
      <c r="C1306" s="2">
        <v>0</v>
      </c>
      <c r="D1306" s="4" t="s">
        <v>4014</v>
      </c>
      <c r="E1306" s="2">
        <v>1674716</v>
      </c>
      <c r="F1306" s="2">
        <v>318196.03999999998</v>
      </c>
      <c r="G1306" s="2">
        <v>0</v>
      </c>
      <c r="H1306" s="4">
        <v>0</v>
      </c>
      <c r="I1306" s="4">
        <v>0</v>
      </c>
      <c r="J1306" s="4">
        <v>0</v>
      </c>
      <c r="K1306" s="4">
        <v>1992912.04</v>
      </c>
      <c r="L1306" s="4" t="s">
        <v>4012</v>
      </c>
      <c r="M1306" s="4" t="s">
        <v>4013</v>
      </c>
      <c r="N1306" s="4" t="s">
        <v>32</v>
      </c>
      <c r="O1306" s="4" t="s">
        <v>33</v>
      </c>
      <c r="P1306" s="4" t="s">
        <v>33</v>
      </c>
      <c r="Q1306" s="8" t="s">
        <v>100</v>
      </c>
      <c r="R1306" s="9">
        <f t="shared" si="21"/>
        <v>2.9380752922868888E-5</v>
      </c>
      <c r="S1306" s="55">
        <f>Tabla3[[#This Row],[Subtotal]]/12</f>
        <v>139559.66666666666</v>
      </c>
    </row>
    <row r="1307" spans="1:19" x14ac:dyDescent="0.2">
      <c r="A1307" s="4">
        <v>1182</v>
      </c>
      <c r="B1307" s="2">
        <v>1667220</v>
      </c>
      <c r="C1307" s="2">
        <v>0</v>
      </c>
      <c r="D1307" s="4" t="s">
        <v>4017</v>
      </c>
      <c r="E1307" s="2">
        <v>1667220</v>
      </c>
      <c r="F1307" s="2">
        <v>316771.8</v>
      </c>
      <c r="G1307" s="2">
        <v>0</v>
      </c>
      <c r="H1307" s="4">
        <v>0</v>
      </c>
      <c r="I1307" s="4">
        <v>0</v>
      </c>
      <c r="J1307" s="4">
        <v>0</v>
      </c>
      <c r="K1307" s="4">
        <v>1983991.8</v>
      </c>
      <c r="L1307" s="4" t="s">
        <v>4015</v>
      </c>
      <c r="M1307" s="4" t="s">
        <v>4016</v>
      </c>
      <c r="N1307" s="4" t="s">
        <v>20</v>
      </c>
      <c r="O1307" s="4" t="s">
        <v>372</v>
      </c>
      <c r="P1307" s="4" t="s">
        <v>372</v>
      </c>
      <c r="Q1307" s="8" t="s">
        <v>100</v>
      </c>
      <c r="R1307" s="9">
        <f t="shared" si="21"/>
        <v>2.9249245178326037E-5</v>
      </c>
      <c r="S1307" s="55">
        <f>Tabla3[[#This Row],[Subtotal]]/12</f>
        <v>138935</v>
      </c>
    </row>
    <row r="1308" spans="1:19" x14ac:dyDescent="0.2">
      <c r="A1308" s="4">
        <v>184</v>
      </c>
      <c r="B1308" s="2">
        <v>1666435</v>
      </c>
      <c r="C1308" s="2">
        <v>0</v>
      </c>
      <c r="D1308" s="4" t="s">
        <v>4020</v>
      </c>
      <c r="E1308" s="2">
        <v>1666435</v>
      </c>
      <c r="F1308" s="2">
        <v>316622.65000000002</v>
      </c>
      <c r="G1308" s="2">
        <v>0</v>
      </c>
      <c r="H1308" s="4">
        <v>0</v>
      </c>
      <c r="I1308" s="4">
        <v>0</v>
      </c>
      <c r="J1308" s="4">
        <v>0</v>
      </c>
      <c r="K1308" s="4">
        <v>1983057.65</v>
      </c>
      <c r="L1308" s="4" t="s">
        <v>4018</v>
      </c>
      <c r="M1308" s="4" t="s">
        <v>4019</v>
      </c>
      <c r="N1308" s="4" t="s">
        <v>332</v>
      </c>
      <c r="O1308" s="4" t="s">
        <v>1127</v>
      </c>
      <c r="P1308" s="4" t="s">
        <v>1127</v>
      </c>
      <c r="Q1308" s="8" t="s">
        <v>100</v>
      </c>
      <c r="R1308" s="9">
        <f t="shared" si="21"/>
        <v>2.9235473356092029E-5</v>
      </c>
      <c r="S1308" s="55">
        <f>Tabla3[[#This Row],[Subtotal]]/12</f>
        <v>138869.58333333334</v>
      </c>
    </row>
    <row r="1309" spans="1:19" x14ac:dyDescent="0.2">
      <c r="A1309" s="4">
        <v>144</v>
      </c>
      <c r="B1309" s="2">
        <v>1665432</v>
      </c>
      <c r="C1309" s="2">
        <v>0</v>
      </c>
      <c r="D1309" s="4" t="s">
        <v>4023</v>
      </c>
      <c r="E1309" s="2">
        <v>1665432</v>
      </c>
      <c r="F1309" s="2">
        <v>316432.08</v>
      </c>
      <c r="G1309" s="2">
        <v>0</v>
      </c>
      <c r="H1309" s="4">
        <v>0</v>
      </c>
      <c r="I1309" s="4">
        <v>0</v>
      </c>
      <c r="J1309" s="4">
        <v>0</v>
      </c>
      <c r="K1309" s="4">
        <v>1981864.08</v>
      </c>
      <c r="L1309" s="4" t="s">
        <v>4021</v>
      </c>
      <c r="M1309" s="4" t="s">
        <v>4022</v>
      </c>
      <c r="N1309" s="4" t="s">
        <v>88</v>
      </c>
      <c r="O1309" s="4" t="s">
        <v>89</v>
      </c>
      <c r="P1309" s="4" t="s">
        <v>89</v>
      </c>
      <c r="Q1309" s="8" t="s">
        <v>100</v>
      </c>
      <c r="R1309" s="9">
        <f t="shared" si="21"/>
        <v>2.921787700233316E-5</v>
      </c>
      <c r="S1309" s="55">
        <f>Tabla3[[#This Row],[Subtotal]]/12</f>
        <v>138786</v>
      </c>
    </row>
    <row r="1310" spans="1:19" x14ac:dyDescent="0.2">
      <c r="A1310" s="4">
        <v>1224</v>
      </c>
      <c r="B1310" s="2">
        <v>1657616</v>
      </c>
      <c r="C1310" s="2">
        <v>0</v>
      </c>
      <c r="D1310" s="4" t="s">
        <v>4026</v>
      </c>
      <c r="E1310" s="2">
        <v>1657616</v>
      </c>
      <c r="F1310" s="2">
        <v>314947.03999999998</v>
      </c>
      <c r="G1310" s="2">
        <v>0</v>
      </c>
      <c r="H1310" s="4">
        <v>0</v>
      </c>
      <c r="I1310" s="4">
        <v>0</v>
      </c>
      <c r="J1310" s="4">
        <v>0</v>
      </c>
      <c r="K1310" s="4">
        <v>1972563.04</v>
      </c>
      <c r="L1310" s="4" t="s">
        <v>4024</v>
      </c>
      <c r="M1310" s="4" t="s">
        <v>4025</v>
      </c>
      <c r="N1310" s="4" t="s">
        <v>20</v>
      </c>
      <c r="O1310" s="4" t="s">
        <v>1562</v>
      </c>
      <c r="P1310" s="4" t="s">
        <v>1562</v>
      </c>
      <c r="Q1310" s="8" t="s">
        <v>100</v>
      </c>
      <c r="R1310" s="9">
        <f t="shared" si="21"/>
        <v>2.9080755266561158E-5</v>
      </c>
      <c r="S1310" s="55">
        <f>Tabla3[[#This Row],[Subtotal]]/12</f>
        <v>138134.66666666666</v>
      </c>
    </row>
    <row r="1311" spans="1:19" x14ac:dyDescent="0.2">
      <c r="A1311" s="4">
        <v>1341</v>
      </c>
      <c r="B1311" s="2">
        <v>1650437</v>
      </c>
      <c r="C1311" s="2">
        <v>0</v>
      </c>
      <c r="D1311" s="4" t="s">
        <v>4029</v>
      </c>
      <c r="E1311" s="2">
        <v>1650437</v>
      </c>
      <c r="F1311" s="2">
        <v>313583.03000000003</v>
      </c>
      <c r="G1311" s="2">
        <v>0</v>
      </c>
      <c r="H1311" s="4">
        <v>0</v>
      </c>
      <c r="I1311" s="4">
        <v>0</v>
      </c>
      <c r="J1311" s="4">
        <v>0</v>
      </c>
      <c r="K1311" s="4">
        <v>1964020.03</v>
      </c>
      <c r="L1311" s="4" t="s">
        <v>4027</v>
      </c>
      <c r="M1311" s="4" t="s">
        <v>4028</v>
      </c>
      <c r="N1311" s="4" t="s">
        <v>20</v>
      </c>
      <c r="O1311" s="4" t="s">
        <v>1043</v>
      </c>
      <c r="P1311" s="4" t="s">
        <v>1043</v>
      </c>
      <c r="Q1311" s="8" t="s">
        <v>100</v>
      </c>
      <c r="R1311" s="9">
        <f t="shared" si="21"/>
        <v>2.8954808882079685E-5</v>
      </c>
      <c r="S1311" s="55">
        <f>Tabla3[[#This Row],[Subtotal]]/12</f>
        <v>137536.41666666666</v>
      </c>
    </row>
    <row r="1312" spans="1:19" x14ac:dyDescent="0.2">
      <c r="A1312" s="4">
        <v>1190</v>
      </c>
      <c r="B1312" s="2">
        <v>1645956</v>
      </c>
      <c r="C1312" s="2">
        <v>0</v>
      </c>
      <c r="D1312" s="4" t="s">
        <v>4032</v>
      </c>
      <c r="E1312" s="2">
        <v>1645956</v>
      </c>
      <c r="F1312" s="2">
        <v>312731.64</v>
      </c>
      <c r="G1312" s="2">
        <v>0</v>
      </c>
      <c r="H1312" s="4">
        <v>0</v>
      </c>
      <c r="I1312" s="4">
        <v>0</v>
      </c>
      <c r="J1312" s="4">
        <v>0</v>
      </c>
      <c r="K1312" s="4">
        <v>1958687.64</v>
      </c>
      <c r="L1312" s="4" t="s">
        <v>4030</v>
      </c>
      <c r="M1312" s="4" t="s">
        <v>4031</v>
      </c>
      <c r="N1312" s="4" t="s">
        <v>20</v>
      </c>
      <c r="O1312" s="4" t="s">
        <v>1356</v>
      </c>
      <c r="P1312" s="4" t="s">
        <v>1356</v>
      </c>
      <c r="Q1312" s="8" t="s">
        <v>100</v>
      </c>
      <c r="R1312" s="9">
        <f t="shared" si="21"/>
        <v>2.8876195461148988E-5</v>
      </c>
      <c r="S1312" s="55">
        <f>Tabla3[[#This Row],[Subtotal]]/12</f>
        <v>137163</v>
      </c>
    </row>
    <row r="1313" spans="1:19" x14ac:dyDescent="0.2">
      <c r="A1313" s="4">
        <v>537</v>
      </c>
      <c r="B1313" s="2">
        <v>1642776</v>
      </c>
      <c r="C1313" s="2">
        <v>0</v>
      </c>
      <c r="D1313" s="4" t="s">
        <v>4035</v>
      </c>
      <c r="E1313" s="2">
        <v>1642776</v>
      </c>
      <c r="F1313" s="2">
        <v>312127.44</v>
      </c>
      <c r="G1313" s="2">
        <v>0</v>
      </c>
      <c r="H1313" s="4">
        <v>0</v>
      </c>
      <c r="I1313" s="4">
        <v>0</v>
      </c>
      <c r="J1313" s="4">
        <v>0</v>
      </c>
      <c r="K1313" s="4">
        <v>1954903.44</v>
      </c>
      <c r="L1313" s="4" t="s">
        <v>4033</v>
      </c>
      <c r="M1313" s="4" t="s">
        <v>4034</v>
      </c>
      <c r="N1313" s="4" t="s">
        <v>20</v>
      </c>
      <c r="O1313" s="4" t="s">
        <v>631</v>
      </c>
      <c r="P1313" s="4" t="s">
        <v>631</v>
      </c>
      <c r="Q1313" s="8" t="s">
        <v>100</v>
      </c>
      <c r="R1313" s="9">
        <f t="shared" si="21"/>
        <v>2.8820406423309302E-5</v>
      </c>
      <c r="S1313" s="55">
        <f>Tabla3[[#This Row],[Subtotal]]/12</f>
        <v>136898</v>
      </c>
    </row>
    <row r="1314" spans="1:19" x14ac:dyDescent="0.2">
      <c r="A1314" s="4">
        <v>1737</v>
      </c>
      <c r="B1314" s="2">
        <v>1636251</v>
      </c>
      <c r="C1314" s="2">
        <v>0</v>
      </c>
      <c r="D1314" s="4" t="s">
        <v>4038</v>
      </c>
      <c r="E1314" s="2">
        <v>1636251</v>
      </c>
      <c r="F1314" s="2">
        <v>310887.69</v>
      </c>
      <c r="G1314" s="2">
        <v>0</v>
      </c>
      <c r="H1314" s="4">
        <v>0</v>
      </c>
      <c r="I1314" s="4">
        <v>0</v>
      </c>
      <c r="J1314" s="4">
        <v>0</v>
      </c>
      <c r="K1314" s="4">
        <v>1947138.69</v>
      </c>
      <c r="L1314" s="4" t="s">
        <v>4036</v>
      </c>
      <c r="M1314" s="4" t="s">
        <v>4037</v>
      </c>
      <c r="N1314" s="4" t="s">
        <v>20</v>
      </c>
      <c r="O1314" s="4" t="s">
        <v>768</v>
      </c>
      <c r="P1314" s="4" t="s">
        <v>768</v>
      </c>
      <c r="Q1314" s="8" t="s">
        <v>100</v>
      </c>
      <c r="R1314" s="9">
        <f t="shared" si="21"/>
        <v>2.8705933633402404E-5</v>
      </c>
      <c r="S1314" s="55">
        <f>Tabla3[[#This Row],[Subtotal]]/12</f>
        <v>136354.25</v>
      </c>
    </row>
    <row r="1315" spans="1:19" x14ac:dyDescent="0.2">
      <c r="A1315" s="4">
        <v>447</v>
      </c>
      <c r="B1315" s="2">
        <v>1635288</v>
      </c>
      <c r="C1315" s="2">
        <v>0</v>
      </c>
      <c r="D1315" s="4" t="s">
        <v>4041</v>
      </c>
      <c r="E1315" s="2">
        <v>1635288</v>
      </c>
      <c r="F1315" s="2">
        <v>310704.71999999997</v>
      </c>
      <c r="G1315" s="2">
        <v>0</v>
      </c>
      <c r="H1315" s="4">
        <v>0</v>
      </c>
      <c r="I1315" s="4">
        <v>0</v>
      </c>
      <c r="J1315" s="4">
        <v>0</v>
      </c>
      <c r="K1315" s="4">
        <v>1945992.72</v>
      </c>
      <c r="L1315" s="4" t="s">
        <v>4039</v>
      </c>
      <c r="M1315" s="4" t="s">
        <v>4040</v>
      </c>
      <c r="N1315" s="4" t="s">
        <v>20</v>
      </c>
      <c r="O1315" s="4" t="s">
        <v>71</v>
      </c>
      <c r="P1315" s="4" t="s">
        <v>71</v>
      </c>
      <c r="Q1315" s="8" t="s">
        <v>100</v>
      </c>
      <c r="R1315" s="9">
        <f t="shared" si="21"/>
        <v>2.8689039028547181E-5</v>
      </c>
      <c r="S1315" s="55">
        <f>Tabla3[[#This Row],[Subtotal]]/12</f>
        <v>136274</v>
      </c>
    </row>
    <row r="1316" spans="1:19" x14ac:dyDescent="0.2">
      <c r="A1316" s="4">
        <v>823</v>
      </c>
      <c r="B1316" s="2">
        <v>1633312</v>
      </c>
      <c r="C1316" s="2">
        <v>0</v>
      </c>
      <c r="D1316" s="4" t="s">
        <v>4044</v>
      </c>
      <c r="E1316" s="2">
        <v>1633312</v>
      </c>
      <c r="F1316" s="2">
        <v>310329.28000000003</v>
      </c>
      <c r="G1316" s="2">
        <v>0</v>
      </c>
      <c r="H1316" s="4">
        <v>0</v>
      </c>
      <c r="I1316" s="4">
        <v>0</v>
      </c>
      <c r="J1316" s="4">
        <v>0</v>
      </c>
      <c r="K1316" s="4">
        <v>1943641.28</v>
      </c>
      <c r="L1316" s="4" t="s">
        <v>4042</v>
      </c>
      <c r="M1316" s="4" t="s">
        <v>4043</v>
      </c>
      <c r="N1316" s="4" t="s">
        <v>1143</v>
      </c>
      <c r="O1316" s="4" t="s">
        <v>340</v>
      </c>
      <c r="P1316" s="4" t="s">
        <v>340</v>
      </c>
      <c r="Q1316" s="8" t="s">
        <v>100</v>
      </c>
      <c r="R1316" s="9">
        <f t="shared" si="21"/>
        <v>2.8654372632707175E-5</v>
      </c>
      <c r="S1316" s="55">
        <f>Tabla3[[#This Row],[Subtotal]]/12</f>
        <v>136109.33333333334</v>
      </c>
    </row>
    <row r="1317" spans="1:19" x14ac:dyDescent="0.2">
      <c r="A1317" s="4">
        <v>4</v>
      </c>
      <c r="B1317" s="2">
        <v>1630629</v>
      </c>
      <c r="C1317" s="2">
        <v>0</v>
      </c>
      <c r="D1317" s="4" t="s">
        <v>4047</v>
      </c>
      <c r="E1317" s="2">
        <v>1630629</v>
      </c>
      <c r="F1317" s="2">
        <v>309819.51</v>
      </c>
      <c r="G1317" s="2">
        <v>0</v>
      </c>
      <c r="H1317" s="4">
        <v>0</v>
      </c>
      <c r="I1317" s="4">
        <v>0</v>
      </c>
      <c r="J1317" s="4">
        <v>0</v>
      </c>
      <c r="K1317" s="4">
        <v>1940448.51</v>
      </c>
      <c r="L1317" s="4" t="s">
        <v>4045</v>
      </c>
      <c r="M1317" s="4" t="s">
        <v>4046</v>
      </c>
      <c r="N1317" s="4" t="s">
        <v>20</v>
      </c>
      <c r="O1317" s="4" t="s">
        <v>316</v>
      </c>
      <c r="P1317" s="4" t="s">
        <v>316</v>
      </c>
      <c r="Q1317" s="8" t="s">
        <v>100</v>
      </c>
      <c r="R1317" s="9">
        <f t="shared" si="21"/>
        <v>2.8607302824995266E-5</v>
      </c>
      <c r="S1317" s="55">
        <f>Tabla3[[#This Row],[Subtotal]]/12</f>
        <v>135885.75</v>
      </c>
    </row>
    <row r="1318" spans="1:19" x14ac:dyDescent="0.2">
      <c r="A1318" s="4">
        <v>653</v>
      </c>
      <c r="B1318" s="2">
        <v>1621236</v>
      </c>
      <c r="C1318" s="2">
        <v>0</v>
      </c>
      <c r="D1318" s="4" t="s">
        <v>4050</v>
      </c>
      <c r="E1318" s="2">
        <v>1621236</v>
      </c>
      <c r="F1318" s="2">
        <v>308034.84000000003</v>
      </c>
      <c r="G1318" s="2">
        <v>40530.9</v>
      </c>
      <c r="H1318" s="4">
        <v>0</v>
      </c>
      <c r="I1318" s="4">
        <v>0</v>
      </c>
      <c r="J1318" s="4">
        <v>40530.9</v>
      </c>
      <c r="K1318" s="4">
        <v>1888739.94</v>
      </c>
      <c r="L1318" s="4" t="s">
        <v>4048</v>
      </c>
      <c r="M1318" s="4" t="s">
        <v>4049</v>
      </c>
      <c r="N1318" s="4" t="s">
        <v>20</v>
      </c>
      <c r="O1318" s="4" t="s">
        <v>71</v>
      </c>
      <c r="P1318" s="4" t="s">
        <v>71</v>
      </c>
      <c r="Q1318" s="8" t="s">
        <v>100</v>
      </c>
      <c r="R1318" s="9">
        <f t="shared" si="21"/>
        <v>2.8442514638697109E-5</v>
      </c>
      <c r="S1318" s="55">
        <f>Tabla3[[#This Row],[Subtotal]]/12</f>
        <v>135103</v>
      </c>
    </row>
    <row r="1319" spans="1:19" x14ac:dyDescent="0.2">
      <c r="A1319" s="4">
        <v>226</v>
      </c>
      <c r="B1319" s="2">
        <v>1619450</v>
      </c>
      <c r="C1319" s="2">
        <v>0</v>
      </c>
      <c r="D1319" s="4" t="s">
        <v>4053</v>
      </c>
      <c r="E1319" s="2">
        <v>1619450</v>
      </c>
      <c r="F1319" s="2">
        <v>307695.5</v>
      </c>
      <c r="G1319" s="2">
        <v>0</v>
      </c>
      <c r="H1319" s="4">
        <v>0</v>
      </c>
      <c r="I1319" s="4">
        <v>0</v>
      </c>
      <c r="J1319" s="4">
        <v>0</v>
      </c>
      <c r="K1319" s="4">
        <v>1927145.5</v>
      </c>
      <c r="L1319" s="4" t="s">
        <v>4051</v>
      </c>
      <c r="M1319" s="4" t="s">
        <v>4052</v>
      </c>
      <c r="N1319" s="4" t="s">
        <v>20</v>
      </c>
      <c r="O1319" s="4" t="s">
        <v>257</v>
      </c>
      <c r="P1319" s="4" t="s">
        <v>257</v>
      </c>
      <c r="Q1319" s="8" t="s">
        <v>100</v>
      </c>
      <c r="R1319" s="9">
        <f t="shared" si="21"/>
        <v>2.8411181550149412E-5</v>
      </c>
      <c r="S1319" s="55">
        <f>Tabla3[[#This Row],[Subtotal]]/12</f>
        <v>134954.16666666666</v>
      </c>
    </row>
    <row r="1320" spans="1:19" x14ac:dyDescent="0.2">
      <c r="A1320" s="4">
        <v>182</v>
      </c>
      <c r="B1320" s="2">
        <v>1606010</v>
      </c>
      <c r="C1320" s="2">
        <v>0</v>
      </c>
      <c r="D1320" s="4" t="s">
        <v>4056</v>
      </c>
      <c r="E1320" s="2">
        <v>1606010</v>
      </c>
      <c r="F1320" s="2">
        <v>305141.90000000002</v>
      </c>
      <c r="G1320" s="2">
        <v>0</v>
      </c>
      <c r="H1320" s="4">
        <v>0</v>
      </c>
      <c r="I1320" s="4">
        <v>0</v>
      </c>
      <c r="J1320" s="4">
        <v>0</v>
      </c>
      <c r="K1320" s="4">
        <v>1911151.9</v>
      </c>
      <c r="L1320" s="4" t="s">
        <v>4054</v>
      </c>
      <c r="M1320" s="4" t="s">
        <v>4055</v>
      </c>
      <c r="N1320" s="4" t="s">
        <v>427</v>
      </c>
      <c r="O1320" s="4" t="s">
        <v>89</v>
      </c>
      <c r="P1320" s="4" t="s">
        <v>89</v>
      </c>
      <c r="Q1320" s="8" t="s">
        <v>100</v>
      </c>
      <c r="R1320" s="9">
        <f t="shared" si="21"/>
        <v>2.8175393918525092E-5</v>
      </c>
      <c r="S1320" s="55">
        <f>Tabla3[[#This Row],[Subtotal]]/12</f>
        <v>133834.16666666666</v>
      </c>
    </row>
    <row r="1321" spans="1:19" x14ac:dyDescent="0.2">
      <c r="A1321" s="4">
        <v>1675</v>
      </c>
      <c r="B1321" s="2">
        <v>1605060</v>
      </c>
      <c r="C1321" s="2">
        <v>0</v>
      </c>
      <c r="D1321" s="4" t="s">
        <v>4059</v>
      </c>
      <c r="E1321" s="2">
        <v>1605060</v>
      </c>
      <c r="F1321" s="2">
        <v>304961.40000000002</v>
      </c>
      <c r="G1321" s="2">
        <v>0</v>
      </c>
      <c r="H1321" s="4">
        <v>0</v>
      </c>
      <c r="I1321" s="4">
        <v>0</v>
      </c>
      <c r="J1321" s="4">
        <v>0</v>
      </c>
      <c r="K1321" s="4">
        <v>1910021.4</v>
      </c>
      <c r="L1321" s="4" t="s">
        <v>4057</v>
      </c>
      <c r="M1321" s="4" t="s">
        <v>4058</v>
      </c>
      <c r="N1321" s="4" t="s">
        <v>20</v>
      </c>
      <c r="O1321" s="4" t="s">
        <v>372</v>
      </c>
      <c r="P1321" s="4" t="s">
        <v>372</v>
      </c>
      <c r="Q1321" s="8" t="s">
        <v>100</v>
      </c>
      <c r="R1321" s="9">
        <f t="shared" si="21"/>
        <v>2.8158727382063551E-5</v>
      </c>
      <c r="S1321" s="55">
        <f>Tabla3[[#This Row],[Subtotal]]/12</f>
        <v>133755</v>
      </c>
    </row>
    <row r="1322" spans="1:19" x14ac:dyDescent="0.2">
      <c r="A1322" s="4">
        <v>3</v>
      </c>
      <c r="B1322" s="2">
        <v>1598368</v>
      </c>
      <c r="C1322" s="2">
        <v>0</v>
      </c>
      <c r="D1322" s="4" t="s">
        <v>4062</v>
      </c>
      <c r="E1322" s="2">
        <v>1598368</v>
      </c>
      <c r="F1322" s="2">
        <v>303689.92</v>
      </c>
      <c r="G1322" s="2">
        <v>0</v>
      </c>
      <c r="H1322" s="4">
        <v>0</v>
      </c>
      <c r="I1322" s="4">
        <v>0</v>
      </c>
      <c r="J1322" s="4">
        <v>0</v>
      </c>
      <c r="K1322" s="4">
        <v>1902057.92</v>
      </c>
      <c r="L1322" s="4" t="s">
        <v>4060</v>
      </c>
      <c r="M1322" s="4" t="s">
        <v>4061</v>
      </c>
      <c r="N1322" s="4" t="s">
        <v>648</v>
      </c>
      <c r="O1322" s="4" t="s">
        <v>340</v>
      </c>
      <c r="P1322" s="4" t="s">
        <v>340</v>
      </c>
      <c r="Q1322" s="8" t="s">
        <v>100</v>
      </c>
      <c r="R1322" s="9">
        <f t="shared" si="21"/>
        <v>2.8041324790483941E-5</v>
      </c>
      <c r="S1322" s="55">
        <f>Tabla3[[#This Row],[Subtotal]]/12</f>
        <v>133197.33333333334</v>
      </c>
    </row>
    <row r="1323" spans="1:19" x14ac:dyDescent="0.2">
      <c r="A1323" s="4">
        <v>459</v>
      </c>
      <c r="B1323" s="2">
        <v>1595316</v>
      </c>
      <c r="C1323" s="2">
        <v>0</v>
      </c>
      <c r="D1323" s="4" t="s">
        <v>4064</v>
      </c>
      <c r="E1323" s="2">
        <v>1595316</v>
      </c>
      <c r="F1323" s="2">
        <v>303110.03999999998</v>
      </c>
      <c r="G1323" s="2">
        <v>21613.53</v>
      </c>
      <c r="H1323" s="4">
        <v>0</v>
      </c>
      <c r="I1323" s="4">
        <v>0</v>
      </c>
      <c r="J1323" s="4">
        <v>21613.53</v>
      </c>
      <c r="K1323" s="4">
        <v>1876812.51</v>
      </c>
      <c r="L1323" s="4" t="s">
        <v>4063</v>
      </c>
      <c r="M1323" s="4" t="s">
        <v>2658</v>
      </c>
      <c r="N1323" s="4" t="s">
        <v>20</v>
      </c>
      <c r="O1323" s="4" t="s">
        <v>261</v>
      </c>
      <c r="P1323" s="4" t="s">
        <v>261</v>
      </c>
      <c r="Q1323" s="8" t="s">
        <v>100</v>
      </c>
      <c r="R1323" s="9">
        <f t="shared" si="21"/>
        <v>2.7987781349135917E-5</v>
      </c>
      <c r="S1323" s="55">
        <f>Tabla3[[#This Row],[Subtotal]]/12</f>
        <v>132943</v>
      </c>
    </row>
    <row r="1324" spans="1:19" x14ac:dyDescent="0.2">
      <c r="A1324" s="4">
        <v>305</v>
      </c>
      <c r="B1324" s="2">
        <v>1583176</v>
      </c>
      <c r="C1324" s="2">
        <v>0</v>
      </c>
      <c r="D1324" s="4" t="s">
        <v>4067</v>
      </c>
      <c r="E1324" s="2">
        <v>1583176</v>
      </c>
      <c r="F1324" s="2">
        <v>300803.44</v>
      </c>
      <c r="G1324" s="2">
        <v>0</v>
      </c>
      <c r="H1324" s="4">
        <v>0</v>
      </c>
      <c r="I1324" s="4">
        <v>0</v>
      </c>
      <c r="J1324" s="4">
        <v>0</v>
      </c>
      <c r="K1324" s="4">
        <v>1883979.44</v>
      </c>
      <c r="L1324" s="4" t="s">
        <v>4065</v>
      </c>
      <c r="M1324" s="4" t="s">
        <v>4066</v>
      </c>
      <c r="N1324" s="4" t="s">
        <v>186</v>
      </c>
      <c r="O1324" s="4" t="s">
        <v>59</v>
      </c>
      <c r="P1324" s="4" t="s">
        <v>59</v>
      </c>
      <c r="Q1324" s="8" t="s">
        <v>100</v>
      </c>
      <c r="R1324" s="9">
        <f t="shared" si="21"/>
        <v>2.7774800556880019E-5</v>
      </c>
      <c r="S1324" s="55">
        <f>Tabla3[[#This Row],[Subtotal]]/12</f>
        <v>131931.33333333334</v>
      </c>
    </row>
    <row r="1325" spans="1:19" x14ac:dyDescent="0.2">
      <c r="A1325" s="4">
        <v>1628</v>
      </c>
      <c r="B1325" s="2">
        <v>1582427</v>
      </c>
      <c r="C1325" s="2">
        <v>0</v>
      </c>
      <c r="D1325" s="4" t="s">
        <v>4070</v>
      </c>
      <c r="E1325" s="2">
        <v>1582427</v>
      </c>
      <c r="F1325" s="2">
        <v>300661.13</v>
      </c>
      <c r="G1325" s="2">
        <v>0</v>
      </c>
      <c r="H1325" s="4">
        <v>0</v>
      </c>
      <c r="I1325" s="4">
        <v>0</v>
      </c>
      <c r="J1325" s="4">
        <v>0</v>
      </c>
      <c r="K1325" s="4">
        <v>1883088.13</v>
      </c>
      <c r="L1325" s="4" t="s">
        <v>4068</v>
      </c>
      <c r="M1325" s="4" t="s">
        <v>4069</v>
      </c>
      <c r="N1325" s="4" t="s">
        <v>20</v>
      </c>
      <c r="O1325" s="4" t="s">
        <v>316</v>
      </c>
      <c r="P1325" s="4" t="s">
        <v>316</v>
      </c>
      <c r="Q1325" s="8" t="s">
        <v>100</v>
      </c>
      <c r="R1325" s="9">
        <f t="shared" si="21"/>
        <v>2.7761660308659287E-5</v>
      </c>
      <c r="S1325" s="55">
        <f>Tabla3[[#This Row],[Subtotal]]/12</f>
        <v>131868.91666666666</v>
      </c>
    </row>
    <row r="1326" spans="1:19" x14ac:dyDescent="0.2">
      <c r="A1326" s="4">
        <v>1271</v>
      </c>
      <c r="B1326" s="2">
        <v>1576060</v>
      </c>
      <c r="C1326" s="2">
        <v>0</v>
      </c>
      <c r="D1326" s="4" t="s">
        <v>4073</v>
      </c>
      <c r="E1326" s="2">
        <v>1576060</v>
      </c>
      <c r="F1326" s="2">
        <v>299451.40000000002</v>
      </c>
      <c r="G1326" s="2">
        <v>0</v>
      </c>
      <c r="H1326" s="4">
        <v>0</v>
      </c>
      <c r="I1326" s="4">
        <v>0</v>
      </c>
      <c r="J1326" s="4">
        <v>0</v>
      </c>
      <c r="K1326" s="4">
        <v>1875511.4</v>
      </c>
      <c r="L1326" s="4" t="s">
        <v>4071</v>
      </c>
      <c r="M1326" s="4" t="s">
        <v>4072</v>
      </c>
      <c r="N1326" s="4" t="s">
        <v>4074</v>
      </c>
      <c r="O1326" s="4" t="s">
        <v>33</v>
      </c>
      <c r="P1326" s="4" t="s">
        <v>33</v>
      </c>
      <c r="Q1326" s="8" t="s">
        <v>100</v>
      </c>
      <c r="R1326" s="9">
        <f t="shared" si="21"/>
        <v>2.7649959426921782E-5</v>
      </c>
      <c r="S1326" s="55">
        <f>Tabla3[[#This Row],[Subtotal]]/12</f>
        <v>131338.33333333334</v>
      </c>
    </row>
    <row r="1327" spans="1:19" x14ac:dyDescent="0.2">
      <c r="A1327" s="4">
        <v>1333</v>
      </c>
      <c r="B1327" s="2">
        <v>1572410</v>
      </c>
      <c r="C1327" s="2">
        <v>0</v>
      </c>
      <c r="D1327" s="4" t="s">
        <v>4077</v>
      </c>
      <c r="E1327" s="2">
        <v>1572410</v>
      </c>
      <c r="F1327" s="2">
        <v>298757.90000000002</v>
      </c>
      <c r="G1327" s="2">
        <v>0</v>
      </c>
      <c r="H1327" s="4">
        <v>0</v>
      </c>
      <c r="I1327" s="4">
        <v>0</v>
      </c>
      <c r="J1327" s="4">
        <v>0</v>
      </c>
      <c r="K1327" s="4">
        <v>1871167.9</v>
      </c>
      <c r="L1327" s="4" t="s">
        <v>4075</v>
      </c>
      <c r="M1327" s="4" t="s">
        <v>4076</v>
      </c>
      <c r="N1327" s="4" t="s">
        <v>20</v>
      </c>
      <c r="O1327" s="4" t="s">
        <v>631</v>
      </c>
      <c r="P1327" s="4" t="s">
        <v>631</v>
      </c>
      <c r="Q1327" s="8" t="s">
        <v>100</v>
      </c>
      <c r="R1327" s="9">
        <f t="shared" si="21"/>
        <v>2.7585924839464286E-5</v>
      </c>
      <c r="S1327" s="55">
        <f>Tabla3[[#This Row],[Subtotal]]/12</f>
        <v>131034.16666666667</v>
      </c>
    </row>
    <row r="1328" spans="1:19" x14ac:dyDescent="0.2">
      <c r="A1328" s="4">
        <v>1732</v>
      </c>
      <c r="B1328" s="2">
        <v>1567524</v>
      </c>
      <c r="C1328" s="2">
        <v>0</v>
      </c>
      <c r="D1328" s="4" t="s">
        <v>4080</v>
      </c>
      <c r="E1328" s="2">
        <v>1567524</v>
      </c>
      <c r="F1328" s="2">
        <v>297829.56</v>
      </c>
      <c r="G1328" s="2">
        <v>39188.1</v>
      </c>
      <c r="H1328" s="4">
        <v>0</v>
      </c>
      <c r="I1328" s="4">
        <v>0</v>
      </c>
      <c r="J1328" s="4">
        <v>39188.1</v>
      </c>
      <c r="K1328" s="4">
        <v>1826165.46</v>
      </c>
      <c r="L1328" s="4" t="s">
        <v>4078</v>
      </c>
      <c r="M1328" s="4" t="s">
        <v>4079</v>
      </c>
      <c r="N1328" s="4" t="s">
        <v>20</v>
      </c>
      <c r="O1328" s="4" t="s">
        <v>316</v>
      </c>
      <c r="P1328" s="4" t="s">
        <v>316</v>
      </c>
      <c r="Q1328" s="8" t="s">
        <v>100</v>
      </c>
      <c r="R1328" s="9">
        <f t="shared" si="21"/>
        <v>2.7500206210884195E-5</v>
      </c>
      <c r="S1328" s="55">
        <f>Tabla3[[#This Row],[Subtotal]]/12</f>
        <v>130627</v>
      </c>
    </row>
    <row r="1329" spans="1:19" x14ac:dyDescent="0.2">
      <c r="A1329" s="4">
        <v>1741</v>
      </c>
      <c r="B1329" s="2">
        <v>1539369</v>
      </c>
      <c r="C1329" s="2">
        <v>0</v>
      </c>
      <c r="D1329" s="4" t="s">
        <v>4083</v>
      </c>
      <c r="E1329" s="2">
        <v>1539369</v>
      </c>
      <c r="F1329" s="2">
        <v>292480.11</v>
      </c>
      <c r="G1329" s="2">
        <v>0</v>
      </c>
      <c r="H1329" s="4">
        <v>0</v>
      </c>
      <c r="I1329" s="4">
        <v>0</v>
      </c>
      <c r="J1329" s="4">
        <v>0</v>
      </c>
      <c r="K1329" s="4">
        <v>1831849.11</v>
      </c>
      <c r="L1329" s="4" t="s">
        <v>4081</v>
      </c>
      <c r="M1329" s="4" t="s">
        <v>4082</v>
      </c>
      <c r="N1329" s="4" t="s">
        <v>20</v>
      </c>
      <c r="O1329" s="4" t="s">
        <v>631</v>
      </c>
      <c r="P1329" s="4" t="s">
        <v>631</v>
      </c>
      <c r="Q1329" s="8" t="s">
        <v>100</v>
      </c>
      <c r="R1329" s="9">
        <f t="shared" si="21"/>
        <v>2.7006262701331902E-5</v>
      </c>
      <c r="S1329" s="55">
        <f>Tabla3[[#This Row],[Subtotal]]/12</f>
        <v>128280.75</v>
      </c>
    </row>
    <row r="1330" spans="1:19" x14ac:dyDescent="0.2">
      <c r="A1330" s="4">
        <v>1446</v>
      </c>
      <c r="B1330" s="2">
        <v>1536416</v>
      </c>
      <c r="C1330" s="2">
        <v>0</v>
      </c>
      <c r="D1330" s="4" t="s">
        <v>4086</v>
      </c>
      <c r="E1330" s="2">
        <v>1536416</v>
      </c>
      <c r="F1330" s="2">
        <v>291919.03999999998</v>
      </c>
      <c r="G1330" s="2">
        <v>0</v>
      </c>
      <c r="H1330" s="4">
        <v>0</v>
      </c>
      <c r="I1330" s="4">
        <v>0</v>
      </c>
      <c r="J1330" s="4">
        <v>0</v>
      </c>
      <c r="K1330" s="4">
        <v>1828335.04</v>
      </c>
      <c r="L1330" s="4" t="s">
        <v>4084</v>
      </c>
      <c r="M1330" s="4" t="s">
        <v>4085</v>
      </c>
      <c r="N1330" s="4" t="s">
        <v>20</v>
      </c>
      <c r="O1330" s="4" t="s">
        <v>1549</v>
      </c>
      <c r="P1330" s="4" t="s">
        <v>1549</v>
      </c>
      <c r="Q1330" s="8" t="s">
        <v>100</v>
      </c>
      <c r="R1330" s="9">
        <f t="shared" si="21"/>
        <v>2.6954456088520398E-5</v>
      </c>
      <c r="S1330" s="55">
        <f>Tabla3[[#This Row],[Subtotal]]/12</f>
        <v>128034.66666666667</v>
      </c>
    </row>
    <row r="1331" spans="1:19" x14ac:dyDescent="0.2">
      <c r="A1331" s="4">
        <v>406</v>
      </c>
      <c r="B1331" s="2">
        <v>1528944</v>
      </c>
      <c r="C1331" s="2">
        <v>0</v>
      </c>
      <c r="D1331" s="4" t="s">
        <v>4089</v>
      </c>
      <c r="E1331" s="2">
        <v>1528944</v>
      </c>
      <c r="F1331" s="2">
        <v>290499.36</v>
      </c>
      <c r="G1331" s="2">
        <v>0</v>
      </c>
      <c r="H1331" s="4">
        <v>0</v>
      </c>
      <c r="I1331" s="4">
        <v>0</v>
      </c>
      <c r="J1331" s="4">
        <v>0</v>
      </c>
      <c r="K1331" s="4">
        <v>1819443.36</v>
      </c>
      <c r="L1331" s="4" t="s">
        <v>4087</v>
      </c>
      <c r="M1331" s="4" t="s">
        <v>4088</v>
      </c>
      <c r="N1331" s="4" t="s">
        <v>1421</v>
      </c>
      <c r="O1331" s="4" t="s">
        <v>340</v>
      </c>
      <c r="P1331" s="4" t="s">
        <v>340</v>
      </c>
      <c r="Q1331" s="8" t="s">
        <v>100</v>
      </c>
      <c r="R1331" s="9">
        <f t="shared" si="21"/>
        <v>2.6823369393319735E-5</v>
      </c>
      <c r="S1331" s="55">
        <f>Tabla3[[#This Row],[Subtotal]]/12</f>
        <v>127412</v>
      </c>
    </row>
    <row r="1332" spans="1:19" x14ac:dyDescent="0.2">
      <c r="A1332" s="4">
        <v>1746</v>
      </c>
      <c r="B1332" s="2">
        <v>1527336</v>
      </c>
      <c r="C1332" s="2">
        <v>0</v>
      </c>
      <c r="D1332" s="4" t="s">
        <v>4092</v>
      </c>
      <c r="E1332" s="2">
        <v>1527336</v>
      </c>
      <c r="F1332" s="2">
        <v>290193.84000000003</v>
      </c>
      <c r="G1332" s="2">
        <v>0</v>
      </c>
      <c r="H1332" s="4">
        <v>0</v>
      </c>
      <c r="I1332" s="4">
        <v>0</v>
      </c>
      <c r="J1332" s="4">
        <v>0</v>
      </c>
      <c r="K1332" s="4">
        <v>1817529.84</v>
      </c>
      <c r="L1332" s="4" t="s">
        <v>4090</v>
      </c>
      <c r="M1332" s="4" t="s">
        <v>4091</v>
      </c>
      <c r="N1332" s="4" t="s">
        <v>332</v>
      </c>
      <c r="O1332" s="4" t="s">
        <v>1127</v>
      </c>
      <c r="P1332" s="4" t="s">
        <v>1127</v>
      </c>
      <c r="Q1332" s="8" t="s">
        <v>100</v>
      </c>
      <c r="R1332" s="9">
        <f t="shared" si="21"/>
        <v>2.6795159087393253E-5</v>
      </c>
      <c r="S1332" s="55">
        <f>Tabla3[[#This Row],[Subtotal]]/12</f>
        <v>127278</v>
      </c>
    </row>
    <row r="1333" spans="1:19" x14ac:dyDescent="0.2">
      <c r="A1333" s="4">
        <v>544</v>
      </c>
      <c r="B1333" s="2">
        <v>1526918</v>
      </c>
      <c r="C1333" s="2">
        <v>0</v>
      </c>
      <c r="D1333" s="4" t="s">
        <v>4095</v>
      </c>
      <c r="E1333" s="2">
        <v>1526918</v>
      </c>
      <c r="F1333" s="2">
        <v>290114.42</v>
      </c>
      <c r="G1333" s="2">
        <v>0</v>
      </c>
      <c r="H1333" s="4">
        <v>0</v>
      </c>
      <c r="I1333" s="4">
        <v>0</v>
      </c>
      <c r="J1333" s="4">
        <v>0</v>
      </c>
      <c r="K1333" s="4">
        <v>1817032.42</v>
      </c>
      <c r="L1333" s="4" t="s">
        <v>4093</v>
      </c>
      <c r="M1333" s="4" t="s">
        <v>4094</v>
      </c>
      <c r="N1333" s="4" t="s">
        <v>504</v>
      </c>
      <c r="O1333" s="4" t="s">
        <v>3938</v>
      </c>
      <c r="P1333" s="4" t="s">
        <v>3938</v>
      </c>
      <c r="Q1333" s="8" t="s">
        <v>1378</v>
      </c>
      <c r="R1333" s="9">
        <f t="shared" si="21"/>
        <v>2.6787825811350176E-5</v>
      </c>
      <c r="S1333" s="55">
        <f>Tabla3[[#This Row],[Subtotal]]/12</f>
        <v>127243.16666666667</v>
      </c>
    </row>
    <row r="1334" spans="1:19" x14ac:dyDescent="0.2">
      <c r="A1334" s="4">
        <v>1228</v>
      </c>
      <c r="B1334" s="2">
        <v>1523024</v>
      </c>
      <c r="C1334" s="2">
        <v>0</v>
      </c>
      <c r="D1334" s="4" t="s">
        <v>4098</v>
      </c>
      <c r="E1334" s="2">
        <v>1523024</v>
      </c>
      <c r="F1334" s="2">
        <v>289374.56</v>
      </c>
      <c r="G1334" s="2">
        <v>38075.599999999999</v>
      </c>
      <c r="H1334" s="4">
        <v>0</v>
      </c>
      <c r="I1334" s="4">
        <v>0</v>
      </c>
      <c r="J1334" s="4">
        <v>38075.599999999999</v>
      </c>
      <c r="K1334" s="4">
        <v>1774322.96</v>
      </c>
      <c r="L1334" s="4" t="s">
        <v>4096</v>
      </c>
      <c r="M1334" s="4" t="s">
        <v>4097</v>
      </c>
      <c r="N1334" s="4" t="s">
        <v>20</v>
      </c>
      <c r="O1334" s="4" t="s">
        <v>372</v>
      </c>
      <c r="P1334" s="4" t="s">
        <v>372</v>
      </c>
      <c r="Q1334" s="8" t="s">
        <v>100</v>
      </c>
      <c r="R1334" s="9">
        <f t="shared" si="21"/>
        <v>2.6719510555580448E-5</v>
      </c>
      <c r="S1334" s="55">
        <f>Tabla3[[#This Row],[Subtotal]]/12</f>
        <v>126918.66666666667</v>
      </c>
    </row>
    <row r="1335" spans="1:19" x14ac:dyDescent="0.2">
      <c r="A1335" s="4">
        <v>521</v>
      </c>
      <c r="B1335" s="2">
        <v>1521424</v>
      </c>
      <c r="C1335" s="2">
        <v>0</v>
      </c>
      <c r="D1335" s="4" t="s">
        <v>4101</v>
      </c>
      <c r="E1335" s="2">
        <v>1521424</v>
      </c>
      <c r="F1335" s="2">
        <v>289070.56</v>
      </c>
      <c r="G1335" s="2">
        <v>0</v>
      </c>
      <c r="H1335" s="4">
        <v>0</v>
      </c>
      <c r="I1335" s="4">
        <v>0</v>
      </c>
      <c r="J1335" s="4">
        <v>0</v>
      </c>
      <c r="K1335" s="4">
        <v>1810494.56</v>
      </c>
      <c r="L1335" s="4" t="s">
        <v>4099</v>
      </c>
      <c r="M1335" s="4" t="s">
        <v>4100</v>
      </c>
      <c r="N1335" s="4" t="s">
        <v>20</v>
      </c>
      <c r="O1335" s="4" t="s">
        <v>71</v>
      </c>
      <c r="P1335" s="4" t="s">
        <v>71</v>
      </c>
      <c r="Q1335" s="8" t="s">
        <v>100</v>
      </c>
      <c r="R1335" s="9">
        <f t="shared" si="21"/>
        <v>2.6691440599434696E-5</v>
      </c>
      <c r="S1335" s="55">
        <f>Tabla3[[#This Row],[Subtotal]]/12</f>
        <v>126785.33333333333</v>
      </c>
    </row>
    <row r="1336" spans="1:19" x14ac:dyDescent="0.2">
      <c r="A1336" s="4">
        <v>199</v>
      </c>
      <c r="B1336" s="2">
        <v>1520236</v>
      </c>
      <c r="C1336" s="2">
        <v>0</v>
      </c>
      <c r="D1336" s="4" t="s">
        <v>4104</v>
      </c>
      <c r="E1336" s="2">
        <v>1520236</v>
      </c>
      <c r="F1336" s="2">
        <v>288844.84000000003</v>
      </c>
      <c r="G1336" s="2">
        <v>0</v>
      </c>
      <c r="H1336" s="4">
        <v>0</v>
      </c>
      <c r="I1336" s="4">
        <v>0</v>
      </c>
      <c r="J1336" s="4">
        <v>0</v>
      </c>
      <c r="K1336" s="4">
        <v>1809080.84</v>
      </c>
      <c r="L1336" s="4" t="s">
        <v>4102</v>
      </c>
      <c r="M1336" s="4" t="s">
        <v>4103</v>
      </c>
      <c r="N1336" s="4" t="s">
        <v>695</v>
      </c>
      <c r="O1336" s="4" t="s">
        <v>67</v>
      </c>
      <c r="P1336" s="4" t="s">
        <v>67</v>
      </c>
      <c r="Q1336" s="8" t="s">
        <v>100</v>
      </c>
      <c r="R1336" s="9">
        <f t="shared" si="21"/>
        <v>2.6670598656996477E-5</v>
      </c>
      <c r="S1336" s="55">
        <f>Tabla3[[#This Row],[Subtotal]]/12</f>
        <v>126686.33333333333</v>
      </c>
    </row>
    <row r="1337" spans="1:19" x14ac:dyDescent="0.2">
      <c r="A1337" s="4">
        <v>1177</v>
      </c>
      <c r="B1337" s="2">
        <v>1513494</v>
      </c>
      <c r="C1337" s="2">
        <v>0</v>
      </c>
      <c r="D1337" s="4" t="s">
        <v>4107</v>
      </c>
      <c r="E1337" s="2">
        <v>1513494</v>
      </c>
      <c r="F1337" s="2">
        <v>287563.86</v>
      </c>
      <c r="G1337" s="2">
        <v>0</v>
      </c>
      <c r="H1337" s="4">
        <v>0</v>
      </c>
      <c r="I1337" s="4">
        <v>0</v>
      </c>
      <c r="J1337" s="4">
        <v>0</v>
      </c>
      <c r="K1337" s="4">
        <v>1801057.86</v>
      </c>
      <c r="L1337" s="4" t="s">
        <v>4105</v>
      </c>
      <c r="M1337" s="4" t="s">
        <v>4106</v>
      </c>
      <c r="N1337" s="4" t="s">
        <v>20</v>
      </c>
      <c r="O1337" s="4" t="s">
        <v>603</v>
      </c>
      <c r="P1337" s="4" t="s">
        <v>603</v>
      </c>
      <c r="Q1337" s="8" t="s">
        <v>100</v>
      </c>
      <c r="R1337" s="9">
        <f t="shared" si="21"/>
        <v>2.655231887928731E-5</v>
      </c>
      <c r="S1337" s="55">
        <f>Tabla3[[#This Row],[Subtotal]]/12</f>
        <v>126124.5</v>
      </c>
    </row>
    <row r="1338" spans="1:19" x14ac:dyDescent="0.2">
      <c r="A1338" s="4">
        <v>1295</v>
      </c>
      <c r="B1338" s="2">
        <v>1501593</v>
      </c>
      <c r="C1338" s="2">
        <v>0</v>
      </c>
      <c r="D1338" s="4" t="s">
        <v>4110</v>
      </c>
      <c r="E1338" s="2">
        <v>1501593</v>
      </c>
      <c r="F1338" s="2">
        <v>285302.67</v>
      </c>
      <c r="G1338" s="2">
        <v>0</v>
      </c>
      <c r="H1338" s="4">
        <v>0</v>
      </c>
      <c r="I1338" s="4">
        <v>0</v>
      </c>
      <c r="J1338" s="4">
        <v>0</v>
      </c>
      <c r="K1338" s="4">
        <v>1786895.67</v>
      </c>
      <c r="L1338" s="4" t="s">
        <v>4108</v>
      </c>
      <c r="M1338" s="4" t="s">
        <v>4109</v>
      </c>
      <c r="N1338" s="4" t="s">
        <v>20</v>
      </c>
      <c r="O1338" s="4" t="s">
        <v>257</v>
      </c>
      <c r="P1338" s="4" t="s">
        <v>257</v>
      </c>
      <c r="Q1338" s="8" t="s">
        <v>100</v>
      </c>
      <c r="R1338" s="9">
        <f t="shared" si="21"/>
        <v>2.6343531036730683E-5</v>
      </c>
      <c r="S1338" s="55">
        <f>Tabla3[[#This Row],[Subtotal]]/12</f>
        <v>125132.75</v>
      </c>
    </row>
    <row r="1339" spans="1:19" x14ac:dyDescent="0.2">
      <c r="A1339" s="4">
        <v>1003</v>
      </c>
      <c r="B1339" s="2">
        <v>1495872</v>
      </c>
      <c r="C1339" s="2">
        <v>0</v>
      </c>
      <c r="D1339" s="4" t="s">
        <v>3006</v>
      </c>
      <c r="E1339" s="2">
        <v>1495872</v>
      </c>
      <c r="F1339" s="2">
        <v>284215.67999999999</v>
      </c>
      <c r="G1339" s="2">
        <v>0</v>
      </c>
      <c r="H1339" s="4">
        <v>0</v>
      </c>
      <c r="I1339" s="4">
        <v>0</v>
      </c>
      <c r="J1339" s="4">
        <v>0</v>
      </c>
      <c r="K1339" s="4">
        <v>1780087.68</v>
      </c>
      <c r="L1339" s="4" t="s">
        <v>4111</v>
      </c>
      <c r="M1339" s="4" t="s">
        <v>3005</v>
      </c>
      <c r="N1339" s="4" t="s">
        <v>20</v>
      </c>
      <c r="O1339" s="4" t="s">
        <v>2863</v>
      </c>
      <c r="P1339" s="4" t="s">
        <v>2863</v>
      </c>
      <c r="Q1339" s="8" t="s">
        <v>100</v>
      </c>
      <c r="R1339" s="9">
        <f t="shared" si="21"/>
        <v>2.6243163399787027E-5</v>
      </c>
      <c r="S1339" s="55">
        <f>Tabla3[[#This Row],[Subtotal]]/12</f>
        <v>124656</v>
      </c>
    </row>
    <row r="1340" spans="1:19" x14ac:dyDescent="0.2">
      <c r="A1340" s="4">
        <v>1328</v>
      </c>
      <c r="B1340" s="2">
        <v>1486540</v>
      </c>
      <c r="C1340" s="2">
        <v>0</v>
      </c>
      <c r="D1340" s="4" t="s">
        <v>4114</v>
      </c>
      <c r="E1340" s="2">
        <v>1486540</v>
      </c>
      <c r="F1340" s="2">
        <v>282442.59999999998</v>
      </c>
      <c r="G1340" s="2">
        <v>0</v>
      </c>
      <c r="H1340" s="4">
        <v>0</v>
      </c>
      <c r="I1340" s="4">
        <v>0</v>
      </c>
      <c r="J1340" s="4">
        <v>0</v>
      </c>
      <c r="K1340" s="4">
        <v>1768982.6</v>
      </c>
      <c r="L1340" s="4" t="s">
        <v>4112</v>
      </c>
      <c r="M1340" s="4" t="s">
        <v>4113</v>
      </c>
      <c r="N1340" s="4" t="s">
        <v>20</v>
      </c>
      <c r="O1340" s="4" t="s">
        <v>692</v>
      </c>
      <c r="P1340" s="4" t="s">
        <v>692</v>
      </c>
      <c r="Q1340" s="8" t="s">
        <v>100</v>
      </c>
      <c r="R1340" s="9">
        <f t="shared" si="21"/>
        <v>2.6079445380566926E-5</v>
      </c>
      <c r="S1340" s="55">
        <f>Tabla3[[#This Row],[Subtotal]]/12</f>
        <v>123878.33333333333</v>
      </c>
    </row>
    <row r="1341" spans="1:19" x14ac:dyDescent="0.2">
      <c r="A1341" s="4">
        <v>84</v>
      </c>
      <c r="B1341" s="2">
        <v>1477280</v>
      </c>
      <c r="C1341" s="2">
        <v>0</v>
      </c>
      <c r="D1341" s="4" t="s">
        <v>4117</v>
      </c>
      <c r="E1341" s="2">
        <v>1477280</v>
      </c>
      <c r="F1341" s="2">
        <v>280683.2</v>
      </c>
      <c r="G1341" s="2">
        <v>0</v>
      </c>
      <c r="H1341" s="4">
        <v>0</v>
      </c>
      <c r="I1341" s="4">
        <v>0</v>
      </c>
      <c r="J1341" s="4">
        <v>0</v>
      </c>
      <c r="K1341" s="4">
        <v>1757963.2</v>
      </c>
      <c r="L1341" s="4" t="s">
        <v>4115</v>
      </c>
      <c r="M1341" s="4" t="s">
        <v>4116</v>
      </c>
      <c r="N1341" s="4" t="s">
        <v>20</v>
      </c>
      <c r="O1341" s="4" t="s">
        <v>2863</v>
      </c>
      <c r="P1341" s="4" t="s">
        <v>2863</v>
      </c>
      <c r="Q1341" s="8" t="s">
        <v>100</v>
      </c>
      <c r="R1341" s="9">
        <f t="shared" si="21"/>
        <v>2.5916990509373382E-5</v>
      </c>
      <c r="S1341" s="55">
        <f>Tabla3[[#This Row],[Subtotal]]/12</f>
        <v>123106.66666666667</v>
      </c>
    </row>
    <row r="1342" spans="1:19" x14ac:dyDescent="0.2">
      <c r="A1342" s="4">
        <v>137</v>
      </c>
      <c r="B1342" s="2">
        <v>1468837</v>
      </c>
      <c r="C1342" s="2">
        <v>0</v>
      </c>
      <c r="D1342" s="4" t="s">
        <v>4120</v>
      </c>
      <c r="E1342" s="2">
        <v>1468837</v>
      </c>
      <c r="F1342" s="2">
        <v>279079.03000000003</v>
      </c>
      <c r="G1342" s="2">
        <v>0</v>
      </c>
      <c r="H1342" s="4">
        <v>0</v>
      </c>
      <c r="I1342" s="4">
        <v>0</v>
      </c>
      <c r="J1342" s="4">
        <v>0</v>
      </c>
      <c r="K1342" s="4">
        <v>1747916.03</v>
      </c>
      <c r="L1342" s="4" t="s">
        <v>4118</v>
      </c>
      <c r="M1342" s="4" t="s">
        <v>4119</v>
      </c>
      <c r="N1342" s="4" t="s">
        <v>142</v>
      </c>
      <c r="O1342" s="4" t="s">
        <v>340</v>
      </c>
      <c r="P1342" s="4" t="s">
        <v>340</v>
      </c>
      <c r="Q1342" s="8" t="s">
        <v>100</v>
      </c>
      <c r="R1342" s="9">
        <f t="shared" si="21"/>
        <v>2.5768868859536765E-5</v>
      </c>
      <c r="S1342" s="55">
        <f>Tabla3[[#This Row],[Subtotal]]/12</f>
        <v>122403.08333333333</v>
      </c>
    </row>
    <row r="1343" spans="1:19" x14ac:dyDescent="0.2">
      <c r="A1343" s="4">
        <v>1706</v>
      </c>
      <c r="B1343" s="2">
        <v>1466496</v>
      </c>
      <c r="C1343" s="2">
        <v>0</v>
      </c>
      <c r="D1343" s="4" t="s">
        <v>4123</v>
      </c>
      <c r="E1343" s="2">
        <v>1466496</v>
      </c>
      <c r="F1343" s="2">
        <v>278634.23999999999</v>
      </c>
      <c r="G1343" s="2">
        <v>0</v>
      </c>
      <c r="H1343" s="4">
        <v>0</v>
      </c>
      <c r="I1343" s="4">
        <v>0</v>
      </c>
      <c r="J1343" s="4">
        <v>0</v>
      </c>
      <c r="K1343" s="4">
        <v>1745130.24</v>
      </c>
      <c r="L1343" s="4" t="s">
        <v>4121</v>
      </c>
      <c r="M1343" s="4" t="s">
        <v>4122</v>
      </c>
      <c r="N1343" s="4" t="s">
        <v>332</v>
      </c>
      <c r="O1343" s="4" t="s">
        <v>1127</v>
      </c>
      <c r="P1343" s="4" t="s">
        <v>1127</v>
      </c>
      <c r="Q1343" s="8" t="s">
        <v>100</v>
      </c>
      <c r="R1343" s="9">
        <f t="shared" si="21"/>
        <v>2.5727799004951011E-5</v>
      </c>
      <c r="S1343" s="55">
        <f>Tabla3[[#This Row],[Subtotal]]/12</f>
        <v>122208</v>
      </c>
    </row>
    <row r="1344" spans="1:19" x14ac:dyDescent="0.2">
      <c r="A1344" s="4">
        <v>668</v>
      </c>
      <c r="B1344" s="2">
        <v>1466073</v>
      </c>
      <c r="C1344" s="2">
        <v>0</v>
      </c>
      <c r="D1344" s="4" t="s">
        <v>4126</v>
      </c>
      <c r="E1344" s="2">
        <v>1466073</v>
      </c>
      <c r="F1344" s="2">
        <v>278553.87</v>
      </c>
      <c r="G1344" s="2">
        <v>36651.83</v>
      </c>
      <c r="H1344" s="4">
        <v>0</v>
      </c>
      <c r="I1344" s="4">
        <v>0</v>
      </c>
      <c r="J1344" s="4">
        <v>36651.83</v>
      </c>
      <c r="K1344" s="4">
        <v>1707975.04</v>
      </c>
      <c r="L1344" s="4" t="s">
        <v>4124</v>
      </c>
      <c r="M1344" s="4" t="s">
        <v>4125</v>
      </c>
      <c r="N1344" s="4" t="s">
        <v>20</v>
      </c>
      <c r="O1344" s="4" t="s">
        <v>71</v>
      </c>
      <c r="P1344" s="4" t="s">
        <v>71</v>
      </c>
      <c r="Q1344" s="8" t="s">
        <v>100</v>
      </c>
      <c r="R1344" s="9">
        <f t="shared" si="21"/>
        <v>2.5720378010294976E-5</v>
      </c>
      <c r="S1344" s="55">
        <f>Tabla3[[#This Row],[Subtotal]]/12</f>
        <v>122172.75</v>
      </c>
    </row>
    <row r="1345" spans="1:19" x14ac:dyDescent="0.2">
      <c r="A1345" s="4">
        <v>495</v>
      </c>
      <c r="B1345" s="2">
        <v>1438075</v>
      </c>
      <c r="C1345" s="2">
        <v>0</v>
      </c>
      <c r="D1345" s="4" t="s">
        <v>4129</v>
      </c>
      <c r="E1345" s="2">
        <v>1438075</v>
      </c>
      <c r="F1345" s="2">
        <v>273234.25</v>
      </c>
      <c r="G1345" s="2">
        <v>0</v>
      </c>
      <c r="H1345" s="4">
        <v>0</v>
      </c>
      <c r="I1345" s="4">
        <v>0</v>
      </c>
      <c r="J1345" s="4">
        <v>0</v>
      </c>
      <c r="K1345" s="4">
        <v>1711309.25</v>
      </c>
      <c r="L1345" s="4" t="s">
        <v>4127</v>
      </c>
      <c r="M1345" s="4" t="s">
        <v>4128</v>
      </c>
      <c r="N1345" s="4" t="s">
        <v>1421</v>
      </c>
      <c r="O1345" s="4" t="s">
        <v>340</v>
      </c>
      <c r="P1345" s="4" t="s">
        <v>340</v>
      </c>
      <c r="Q1345" s="8" t="s">
        <v>100</v>
      </c>
      <c r="R1345" s="9">
        <f t="shared" si="21"/>
        <v>2.5229188865189488E-5</v>
      </c>
      <c r="S1345" s="55">
        <f>Tabla3[[#This Row],[Subtotal]]/12</f>
        <v>119839.58333333333</v>
      </c>
    </row>
    <row r="1346" spans="1:19" x14ac:dyDescent="0.2">
      <c r="A1346" s="4">
        <v>852</v>
      </c>
      <c r="B1346" s="2">
        <v>1434797</v>
      </c>
      <c r="C1346" s="2">
        <v>0</v>
      </c>
      <c r="D1346" s="4" t="s">
        <v>4132</v>
      </c>
      <c r="E1346" s="2">
        <v>1434797</v>
      </c>
      <c r="F1346" s="2">
        <v>272611.43</v>
      </c>
      <c r="G1346" s="2">
        <v>0</v>
      </c>
      <c r="H1346" s="4">
        <v>0</v>
      </c>
      <c r="I1346" s="4">
        <v>0</v>
      </c>
      <c r="J1346" s="4">
        <v>0</v>
      </c>
      <c r="K1346" s="4">
        <v>1707408.43</v>
      </c>
      <c r="L1346" s="4" t="s">
        <v>4130</v>
      </c>
      <c r="M1346" s="4" t="s">
        <v>4131</v>
      </c>
      <c r="N1346" s="4" t="s">
        <v>20</v>
      </c>
      <c r="O1346" s="4" t="s">
        <v>316</v>
      </c>
      <c r="P1346" s="4" t="s">
        <v>316</v>
      </c>
      <c r="Q1346" s="8" t="s">
        <v>100</v>
      </c>
      <c r="R1346" s="9">
        <f t="shared" si="21"/>
        <v>2.5171680542535879E-5</v>
      </c>
      <c r="S1346" s="55">
        <f>Tabla3[[#This Row],[Subtotal]]/12</f>
        <v>119566.41666666667</v>
      </c>
    </row>
    <row r="1347" spans="1:19" x14ac:dyDescent="0.2">
      <c r="A1347" s="4">
        <v>334</v>
      </c>
      <c r="B1347" s="2">
        <v>1434201.77</v>
      </c>
      <c r="C1347" s="2">
        <v>0</v>
      </c>
      <c r="D1347" s="4" t="s">
        <v>4135</v>
      </c>
      <c r="E1347" s="2">
        <v>1434201.77</v>
      </c>
      <c r="F1347" s="2">
        <v>272498.34000000003</v>
      </c>
      <c r="G1347" s="2">
        <v>0</v>
      </c>
      <c r="H1347" s="4">
        <v>0</v>
      </c>
      <c r="I1347" s="4">
        <v>0</v>
      </c>
      <c r="J1347" s="4">
        <v>0</v>
      </c>
      <c r="K1347" s="4">
        <v>1706700.11</v>
      </c>
      <c r="L1347" s="4" t="s">
        <v>4133</v>
      </c>
      <c r="M1347" s="4" t="s">
        <v>4134</v>
      </c>
      <c r="N1347" s="4" t="s">
        <v>20</v>
      </c>
      <c r="O1347" s="4" t="s">
        <v>1677</v>
      </c>
      <c r="P1347" s="4" t="s">
        <v>1677</v>
      </c>
      <c r="Q1347" s="8" t="s">
        <v>144</v>
      </c>
      <c r="R1347" s="9">
        <f t="shared" ref="R1347:R1410" si="22">E1347/$E$1757</f>
        <v>2.5161237992537981E-5</v>
      </c>
      <c r="S1347" s="55">
        <f>Tabla3[[#This Row],[Subtotal]]/12</f>
        <v>119516.81416666666</v>
      </c>
    </row>
    <row r="1348" spans="1:19" x14ac:dyDescent="0.2">
      <c r="A1348" s="4">
        <v>1407</v>
      </c>
      <c r="B1348" s="2">
        <v>1425754</v>
      </c>
      <c r="C1348" s="2">
        <v>0</v>
      </c>
      <c r="D1348" s="4" t="s">
        <v>4138</v>
      </c>
      <c r="E1348" s="2">
        <v>1425754</v>
      </c>
      <c r="F1348" s="2">
        <v>270893.26</v>
      </c>
      <c r="G1348" s="2">
        <v>16201.75</v>
      </c>
      <c r="H1348" s="4">
        <v>0</v>
      </c>
      <c r="I1348" s="4">
        <v>0</v>
      </c>
      <c r="J1348" s="4">
        <v>16201.75</v>
      </c>
      <c r="K1348" s="4">
        <v>1680445.51</v>
      </c>
      <c r="L1348" s="4" t="s">
        <v>4136</v>
      </c>
      <c r="M1348" s="4" t="s">
        <v>4137</v>
      </c>
      <c r="N1348" s="4" t="s">
        <v>20</v>
      </c>
      <c r="O1348" s="4" t="s">
        <v>1562</v>
      </c>
      <c r="P1348" s="4" t="s">
        <v>1562</v>
      </c>
      <c r="Q1348" s="8" t="s">
        <v>100</v>
      </c>
      <c r="R1348" s="9">
        <f t="shared" si="22"/>
        <v>2.50130326591446E-5</v>
      </c>
      <c r="S1348" s="55">
        <f>Tabla3[[#This Row],[Subtotal]]/12</f>
        <v>118812.83333333333</v>
      </c>
    </row>
    <row r="1349" spans="1:19" x14ac:dyDescent="0.2">
      <c r="A1349" s="4">
        <v>1159</v>
      </c>
      <c r="B1349" s="2">
        <v>1419649</v>
      </c>
      <c r="C1349" s="2">
        <v>0</v>
      </c>
      <c r="D1349" s="4" t="s">
        <v>4141</v>
      </c>
      <c r="E1349" s="2">
        <v>1419649</v>
      </c>
      <c r="F1349" s="2">
        <v>269733.31</v>
      </c>
      <c r="G1349" s="2">
        <v>0</v>
      </c>
      <c r="H1349" s="4">
        <v>0</v>
      </c>
      <c r="I1349" s="4">
        <v>0</v>
      </c>
      <c r="J1349" s="4">
        <v>0</v>
      </c>
      <c r="K1349" s="4">
        <v>1689382.31</v>
      </c>
      <c r="L1349" s="4" t="s">
        <v>4139</v>
      </c>
      <c r="M1349" s="4" t="s">
        <v>4140</v>
      </c>
      <c r="N1349" s="4" t="s">
        <v>20</v>
      </c>
      <c r="O1349" s="4" t="s">
        <v>1356</v>
      </c>
      <c r="P1349" s="4" t="s">
        <v>1356</v>
      </c>
      <c r="Q1349" s="8" t="s">
        <v>100</v>
      </c>
      <c r="R1349" s="9">
        <f t="shared" si="22"/>
        <v>2.4905928232725963E-5</v>
      </c>
      <c r="S1349" s="55">
        <f>Tabla3[[#This Row],[Subtotal]]/12</f>
        <v>118304.08333333333</v>
      </c>
    </row>
    <row r="1350" spans="1:19" x14ac:dyDescent="0.2">
      <c r="A1350" s="4">
        <v>1336</v>
      </c>
      <c r="B1350" s="2">
        <v>1393891</v>
      </c>
      <c r="C1350" s="2">
        <v>0</v>
      </c>
      <c r="D1350" s="4" t="s">
        <v>4144</v>
      </c>
      <c r="E1350" s="2">
        <v>1393891</v>
      </c>
      <c r="F1350" s="2">
        <v>264839.28999999998</v>
      </c>
      <c r="G1350" s="2">
        <v>0</v>
      </c>
      <c r="H1350" s="4">
        <v>0</v>
      </c>
      <c r="I1350" s="4">
        <v>0</v>
      </c>
      <c r="J1350" s="4">
        <v>0</v>
      </c>
      <c r="K1350" s="4">
        <v>1658730.29</v>
      </c>
      <c r="L1350" s="4" t="s">
        <v>4142</v>
      </c>
      <c r="M1350" s="4" t="s">
        <v>4143</v>
      </c>
      <c r="N1350" s="4" t="s">
        <v>20</v>
      </c>
      <c r="O1350" s="4" t="s">
        <v>692</v>
      </c>
      <c r="P1350" s="4" t="s">
        <v>692</v>
      </c>
      <c r="Q1350" s="8" t="s">
        <v>100</v>
      </c>
      <c r="R1350" s="9">
        <f t="shared" si="22"/>
        <v>2.4454037026224531E-5</v>
      </c>
      <c r="S1350" s="55">
        <f>Tabla3[[#This Row],[Subtotal]]/12</f>
        <v>116157.58333333333</v>
      </c>
    </row>
    <row r="1351" spans="1:19" x14ac:dyDescent="0.2">
      <c r="A1351" s="4">
        <v>1613</v>
      </c>
      <c r="B1351" s="2">
        <v>1386506</v>
      </c>
      <c r="C1351" s="2">
        <v>0</v>
      </c>
      <c r="D1351" s="4" t="s">
        <v>4147</v>
      </c>
      <c r="E1351" s="2">
        <v>1386506</v>
      </c>
      <c r="F1351" s="2">
        <v>263436.14</v>
      </c>
      <c r="G1351" s="2">
        <v>0</v>
      </c>
      <c r="H1351" s="4">
        <v>0</v>
      </c>
      <c r="I1351" s="4">
        <v>0</v>
      </c>
      <c r="J1351" s="4">
        <v>0</v>
      </c>
      <c r="K1351" s="4">
        <v>1649942.14</v>
      </c>
      <c r="L1351" s="4" t="s">
        <v>4145</v>
      </c>
      <c r="M1351" s="4" t="s">
        <v>4146</v>
      </c>
      <c r="N1351" s="4" t="s">
        <v>20</v>
      </c>
      <c r="O1351" s="4" t="s">
        <v>631</v>
      </c>
      <c r="P1351" s="4" t="s">
        <v>631</v>
      </c>
      <c r="Q1351" s="8" t="s">
        <v>100</v>
      </c>
      <c r="R1351" s="9">
        <f t="shared" si="22"/>
        <v>2.4324476634889292E-5</v>
      </c>
      <c r="S1351" s="55">
        <f>Tabla3[[#This Row],[Subtotal]]/12</f>
        <v>115542.16666666667</v>
      </c>
    </row>
    <row r="1352" spans="1:19" x14ac:dyDescent="0.2">
      <c r="A1352" s="4">
        <v>704</v>
      </c>
      <c r="B1352" s="2">
        <v>1382498</v>
      </c>
      <c r="C1352" s="2">
        <v>0</v>
      </c>
      <c r="D1352" s="4" t="s">
        <v>4150</v>
      </c>
      <c r="E1352" s="2">
        <v>1382498</v>
      </c>
      <c r="F1352" s="2">
        <v>262674.62</v>
      </c>
      <c r="G1352" s="2">
        <v>0</v>
      </c>
      <c r="H1352" s="4">
        <v>0</v>
      </c>
      <c r="I1352" s="4">
        <v>0</v>
      </c>
      <c r="J1352" s="4">
        <v>0</v>
      </c>
      <c r="K1352" s="4">
        <v>1645172.62</v>
      </c>
      <c r="L1352" s="4" t="s">
        <v>4148</v>
      </c>
      <c r="M1352" s="4" t="s">
        <v>4149</v>
      </c>
      <c r="N1352" s="4" t="s">
        <v>779</v>
      </c>
      <c r="O1352" s="4" t="s">
        <v>33</v>
      </c>
      <c r="P1352" s="4" t="s">
        <v>33</v>
      </c>
      <c r="Q1352" s="8" t="s">
        <v>100</v>
      </c>
      <c r="R1352" s="9">
        <f t="shared" si="22"/>
        <v>2.425416139474418E-5</v>
      </c>
      <c r="S1352" s="55">
        <f>Tabla3[[#This Row],[Subtotal]]/12</f>
        <v>115208.16666666667</v>
      </c>
    </row>
    <row r="1353" spans="1:19" x14ac:dyDescent="0.2">
      <c r="A1353" s="4">
        <v>760</v>
      </c>
      <c r="B1353" s="2">
        <v>1376765</v>
      </c>
      <c r="C1353" s="2">
        <v>0</v>
      </c>
      <c r="D1353" s="4" t="s">
        <v>4152</v>
      </c>
      <c r="E1353" s="2">
        <v>1376765</v>
      </c>
      <c r="F1353" s="2">
        <v>261585.35</v>
      </c>
      <c r="G1353" s="2">
        <v>34419.129999999997</v>
      </c>
      <c r="H1353" s="4">
        <v>39237.800000000003</v>
      </c>
      <c r="I1353" s="4">
        <v>0</v>
      </c>
      <c r="J1353" s="4">
        <v>73656.929999999993</v>
      </c>
      <c r="K1353" s="4">
        <v>1564693.42</v>
      </c>
      <c r="L1353" s="4" t="s">
        <v>4151</v>
      </c>
      <c r="M1353" s="4" t="s">
        <v>81</v>
      </c>
      <c r="N1353" s="4" t="s">
        <v>558</v>
      </c>
      <c r="O1353" s="4" t="s">
        <v>559</v>
      </c>
      <c r="P1353" s="4" t="s">
        <v>559</v>
      </c>
      <c r="Q1353" s="8" t="s">
        <v>28</v>
      </c>
      <c r="R1353" s="9">
        <f t="shared" si="22"/>
        <v>2.4153583233129429E-5</v>
      </c>
      <c r="S1353" s="55">
        <f>Tabla3[[#This Row],[Subtotal]]/12</f>
        <v>114730.41666666667</v>
      </c>
    </row>
    <row r="1354" spans="1:19" x14ac:dyDescent="0.2">
      <c r="A1354" s="4">
        <v>1362</v>
      </c>
      <c r="B1354" s="2">
        <v>1366158.9</v>
      </c>
      <c r="C1354" s="2">
        <v>0</v>
      </c>
      <c r="D1354" s="4" t="s">
        <v>4155</v>
      </c>
      <c r="E1354" s="2">
        <v>1366158.9</v>
      </c>
      <c r="F1354" s="2">
        <v>259570.19</v>
      </c>
      <c r="G1354" s="2">
        <v>0</v>
      </c>
      <c r="H1354" s="4">
        <v>0</v>
      </c>
      <c r="I1354" s="4">
        <v>0</v>
      </c>
      <c r="J1354" s="4">
        <v>0</v>
      </c>
      <c r="K1354" s="4">
        <v>1625729.09</v>
      </c>
      <c r="L1354" s="4" t="s">
        <v>4153</v>
      </c>
      <c r="M1354" s="4" t="s">
        <v>4154</v>
      </c>
      <c r="N1354" s="4" t="s">
        <v>20</v>
      </c>
      <c r="O1354" s="4" t="s">
        <v>372</v>
      </c>
      <c r="P1354" s="4" t="s">
        <v>372</v>
      </c>
      <c r="Q1354" s="8" t="s">
        <v>100</v>
      </c>
      <c r="R1354" s="9">
        <f t="shared" si="22"/>
        <v>2.3967512756956011E-5</v>
      </c>
      <c r="S1354" s="55">
        <f>Tabla3[[#This Row],[Subtotal]]/12</f>
        <v>113846.575</v>
      </c>
    </row>
    <row r="1355" spans="1:19" x14ac:dyDescent="0.2">
      <c r="A1355" s="4">
        <v>1061</v>
      </c>
      <c r="B1355" s="2">
        <v>1352822.65</v>
      </c>
      <c r="C1355" s="2">
        <v>0</v>
      </c>
      <c r="D1355" s="4" t="s">
        <v>4158</v>
      </c>
      <c r="E1355" s="2">
        <v>1352822.65</v>
      </c>
      <c r="F1355" s="2">
        <v>257036.3</v>
      </c>
      <c r="G1355" s="2">
        <v>27056.45</v>
      </c>
      <c r="H1355" s="4">
        <v>0</v>
      </c>
      <c r="I1355" s="4">
        <v>0</v>
      </c>
      <c r="J1355" s="4">
        <v>27056.45</v>
      </c>
      <c r="K1355" s="4">
        <v>1582802.5</v>
      </c>
      <c r="L1355" s="4" t="s">
        <v>4156</v>
      </c>
      <c r="M1355" s="4" t="s">
        <v>4157</v>
      </c>
      <c r="N1355" s="4" t="s">
        <v>1107</v>
      </c>
      <c r="O1355" s="4" t="s">
        <v>900</v>
      </c>
      <c r="P1355" s="4" t="s">
        <v>900</v>
      </c>
      <c r="Q1355" s="8" t="s">
        <v>144</v>
      </c>
      <c r="R1355" s="9">
        <f t="shared" si="22"/>
        <v>2.3733545286550516E-5</v>
      </c>
      <c r="S1355" s="55">
        <f>Tabla3[[#This Row],[Subtotal]]/12</f>
        <v>112735.22083333333</v>
      </c>
    </row>
    <row r="1356" spans="1:19" x14ac:dyDescent="0.2">
      <c r="A1356" s="4">
        <v>1294</v>
      </c>
      <c r="B1356" s="2">
        <v>1352565</v>
      </c>
      <c r="C1356" s="2">
        <v>0</v>
      </c>
      <c r="D1356" s="4" t="s">
        <v>4161</v>
      </c>
      <c r="E1356" s="2">
        <v>1352565</v>
      </c>
      <c r="F1356" s="2">
        <v>256987.35</v>
      </c>
      <c r="G1356" s="2">
        <v>0</v>
      </c>
      <c r="H1356" s="4">
        <v>0</v>
      </c>
      <c r="I1356" s="4">
        <v>0</v>
      </c>
      <c r="J1356" s="4">
        <v>0</v>
      </c>
      <c r="K1356" s="4">
        <v>1609552.35</v>
      </c>
      <c r="L1356" s="4" t="s">
        <v>4159</v>
      </c>
      <c r="M1356" s="4" t="s">
        <v>4160</v>
      </c>
      <c r="N1356" s="4" t="s">
        <v>293</v>
      </c>
      <c r="O1356" s="4" t="s">
        <v>229</v>
      </c>
      <c r="P1356" s="4" t="s">
        <v>229</v>
      </c>
      <c r="Q1356" s="8" t="s">
        <v>100</v>
      </c>
      <c r="R1356" s="9">
        <f t="shared" si="22"/>
        <v>2.3729025146424923E-5</v>
      </c>
      <c r="S1356" s="55">
        <f>Tabla3[[#This Row],[Subtotal]]/12</f>
        <v>112713.75</v>
      </c>
    </row>
    <row r="1357" spans="1:19" x14ac:dyDescent="0.2">
      <c r="A1357" s="4">
        <v>185</v>
      </c>
      <c r="B1357" s="2">
        <v>1350952</v>
      </c>
      <c r="C1357" s="2">
        <v>0</v>
      </c>
      <c r="D1357" s="4" t="s">
        <v>4164</v>
      </c>
      <c r="E1357" s="2">
        <v>1350952</v>
      </c>
      <c r="F1357" s="2">
        <v>256680.88</v>
      </c>
      <c r="G1357" s="2">
        <v>0</v>
      </c>
      <c r="H1357" s="4">
        <v>0</v>
      </c>
      <c r="I1357" s="4">
        <v>0</v>
      </c>
      <c r="J1357" s="4">
        <v>0</v>
      </c>
      <c r="K1357" s="4">
        <v>1607632.88</v>
      </c>
      <c r="L1357" s="4" t="s">
        <v>4162</v>
      </c>
      <c r="M1357" s="4" t="s">
        <v>4163</v>
      </c>
      <c r="N1357" s="4" t="s">
        <v>427</v>
      </c>
      <c r="O1357" s="4" t="s">
        <v>89</v>
      </c>
      <c r="P1357" s="4" t="s">
        <v>89</v>
      </c>
      <c r="Q1357" s="8" t="s">
        <v>100</v>
      </c>
      <c r="R1357" s="9">
        <f t="shared" si="22"/>
        <v>2.3700727121885485E-5</v>
      </c>
      <c r="S1357" s="55">
        <f>Tabla3[[#This Row],[Subtotal]]/12</f>
        <v>112579.33333333333</v>
      </c>
    </row>
    <row r="1358" spans="1:19" x14ac:dyDescent="0.2">
      <c r="A1358" s="4">
        <v>1277</v>
      </c>
      <c r="B1358" s="2">
        <v>1347974</v>
      </c>
      <c r="C1358" s="2">
        <v>0</v>
      </c>
      <c r="D1358" s="4" t="s">
        <v>4167</v>
      </c>
      <c r="E1358" s="2">
        <v>1347974</v>
      </c>
      <c r="F1358" s="2">
        <v>256115.06</v>
      </c>
      <c r="G1358" s="2">
        <v>0</v>
      </c>
      <c r="H1358" s="4">
        <v>0</v>
      </c>
      <c r="I1358" s="4">
        <v>0</v>
      </c>
      <c r="J1358" s="4">
        <v>0</v>
      </c>
      <c r="K1358" s="4">
        <v>1604089.06</v>
      </c>
      <c r="L1358" s="4" t="s">
        <v>4165</v>
      </c>
      <c r="M1358" s="4" t="s">
        <v>4166</v>
      </c>
      <c r="N1358" s="4" t="s">
        <v>20</v>
      </c>
      <c r="O1358" s="4" t="s">
        <v>3938</v>
      </c>
      <c r="P1358" s="4" t="s">
        <v>3938</v>
      </c>
      <c r="Q1358" s="8" t="s">
        <v>1378</v>
      </c>
      <c r="R1358" s="9">
        <f t="shared" si="22"/>
        <v>2.3648481916009202E-5</v>
      </c>
      <c r="S1358" s="55">
        <f>Tabla3[[#This Row],[Subtotal]]/12</f>
        <v>112331.16666666667</v>
      </c>
    </row>
    <row r="1359" spans="1:19" x14ac:dyDescent="0.2">
      <c r="A1359" s="4">
        <v>817</v>
      </c>
      <c r="B1359" s="2">
        <v>1330728</v>
      </c>
      <c r="C1359" s="2">
        <v>0</v>
      </c>
      <c r="D1359" s="4" t="s">
        <v>4170</v>
      </c>
      <c r="E1359" s="2">
        <v>1330728</v>
      </c>
      <c r="F1359" s="2">
        <v>252838.32</v>
      </c>
      <c r="G1359" s="2">
        <v>0</v>
      </c>
      <c r="H1359" s="4">
        <v>0</v>
      </c>
      <c r="I1359" s="4">
        <v>0</v>
      </c>
      <c r="J1359" s="4">
        <v>0</v>
      </c>
      <c r="K1359" s="4">
        <v>1583566.32</v>
      </c>
      <c r="L1359" s="4" t="s">
        <v>4168</v>
      </c>
      <c r="M1359" s="4" t="s">
        <v>4169</v>
      </c>
      <c r="N1359" s="4" t="s">
        <v>20</v>
      </c>
      <c r="O1359" s="4" t="s">
        <v>631</v>
      </c>
      <c r="P1359" s="4" t="s">
        <v>631</v>
      </c>
      <c r="Q1359" s="8" t="s">
        <v>100</v>
      </c>
      <c r="R1359" s="9">
        <f t="shared" si="22"/>
        <v>2.3345922876203173E-5</v>
      </c>
      <c r="S1359" s="55">
        <f>Tabla3[[#This Row],[Subtotal]]/12</f>
        <v>110894</v>
      </c>
    </row>
    <row r="1360" spans="1:19" x14ac:dyDescent="0.2">
      <c r="A1360" s="4">
        <v>1445</v>
      </c>
      <c r="B1360" s="2">
        <v>1323540</v>
      </c>
      <c r="C1360" s="2">
        <v>0</v>
      </c>
      <c r="D1360" s="4" t="s">
        <v>4173</v>
      </c>
      <c r="E1360" s="2">
        <v>1323540</v>
      </c>
      <c r="F1360" s="2">
        <v>251472.6</v>
      </c>
      <c r="G1360" s="2">
        <v>0</v>
      </c>
      <c r="H1360" s="4">
        <v>0</v>
      </c>
      <c r="I1360" s="4">
        <v>0</v>
      </c>
      <c r="J1360" s="4">
        <v>0</v>
      </c>
      <c r="K1360" s="4">
        <v>1575012.6</v>
      </c>
      <c r="L1360" s="4" t="s">
        <v>4171</v>
      </c>
      <c r="M1360" s="4" t="s">
        <v>4172</v>
      </c>
      <c r="N1360" s="4" t="s">
        <v>221</v>
      </c>
      <c r="O1360" s="4" t="s">
        <v>33</v>
      </c>
      <c r="P1360" s="4" t="s">
        <v>33</v>
      </c>
      <c r="Q1360" s="8" t="s">
        <v>100</v>
      </c>
      <c r="R1360" s="9">
        <f t="shared" si="22"/>
        <v>2.3219818598218378E-5</v>
      </c>
      <c r="S1360" s="55">
        <f>Tabla3[[#This Row],[Subtotal]]/12</f>
        <v>110295</v>
      </c>
    </row>
    <row r="1361" spans="1:19" x14ac:dyDescent="0.2">
      <c r="A1361" s="4">
        <v>1089</v>
      </c>
      <c r="B1361" s="2">
        <v>1314664</v>
      </c>
      <c r="C1361" s="2">
        <v>0</v>
      </c>
      <c r="D1361" s="4" t="s">
        <v>4176</v>
      </c>
      <c r="E1361" s="2">
        <v>1314664</v>
      </c>
      <c r="F1361" s="2">
        <v>249786.16</v>
      </c>
      <c r="G1361" s="2">
        <v>0</v>
      </c>
      <c r="H1361" s="4">
        <v>0</v>
      </c>
      <c r="I1361" s="4">
        <v>0</v>
      </c>
      <c r="J1361" s="4">
        <v>0</v>
      </c>
      <c r="K1361" s="4">
        <v>1564450.16</v>
      </c>
      <c r="L1361" s="4" t="s">
        <v>4174</v>
      </c>
      <c r="M1361" s="4" t="s">
        <v>4175</v>
      </c>
      <c r="N1361" s="4" t="s">
        <v>20</v>
      </c>
      <c r="O1361" s="4" t="s">
        <v>316</v>
      </c>
      <c r="P1361" s="4" t="s">
        <v>316</v>
      </c>
      <c r="Q1361" s="8" t="s">
        <v>100</v>
      </c>
      <c r="R1361" s="9">
        <f t="shared" si="22"/>
        <v>2.3064100516499815E-5</v>
      </c>
      <c r="S1361" s="55">
        <f>Tabla3[[#This Row],[Subtotal]]/12</f>
        <v>109555.33333333333</v>
      </c>
    </row>
    <row r="1362" spans="1:19" x14ac:dyDescent="0.2">
      <c r="A1362" s="4">
        <v>1310</v>
      </c>
      <c r="B1362" s="2">
        <v>1313288</v>
      </c>
      <c r="C1362" s="2">
        <v>0</v>
      </c>
      <c r="D1362" s="4" t="s">
        <v>4179</v>
      </c>
      <c r="E1362" s="2">
        <v>1313288</v>
      </c>
      <c r="F1362" s="2">
        <v>249524.72</v>
      </c>
      <c r="G1362" s="2">
        <v>0</v>
      </c>
      <c r="H1362" s="4">
        <v>0</v>
      </c>
      <c r="I1362" s="4">
        <v>0</v>
      </c>
      <c r="J1362" s="4">
        <v>0</v>
      </c>
      <c r="K1362" s="4">
        <v>1562812.72</v>
      </c>
      <c r="L1362" s="4" t="s">
        <v>4177</v>
      </c>
      <c r="M1362" s="4" t="s">
        <v>4178</v>
      </c>
      <c r="N1362" s="4" t="s">
        <v>20</v>
      </c>
      <c r="O1362" s="4" t="s">
        <v>372</v>
      </c>
      <c r="P1362" s="4" t="s">
        <v>372</v>
      </c>
      <c r="Q1362" s="8" t="s">
        <v>100</v>
      </c>
      <c r="R1362" s="9">
        <f t="shared" si="22"/>
        <v>2.3039960354214467E-5</v>
      </c>
      <c r="S1362" s="55">
        <f>Tabla3[[#This Row],[Subtotal]]/12</f>
        <v>109440.66666666667</v>
      </c>
    </row>
    <row r="1363" spans="1:19" x14ac:dyDescent="0.2">
      <c r="A1363" s="4">
        <v>1229</v>
      </c>
      <c r="B1363" s="2">
        <v>1304666</v>
      </c>
      <c r="C1363" s="2">
        <v>0</v>
      </c>
      <c r="D1363" s="4" t="s">
        <v>4182</v>
      </c>
      <c r="E1363" s="2">
        <v>1304666</v>
      </c>
      <c r="F1363" s="2">
        <v>247886.54</v>
      </c>
      <c r="G1363" s="2">
        <v>-35444.550000000003</v>
      </c>
      <c r="H1363" s="4">
        <v>0</v>
      </c>
      <c r="I1363" s="4">
        <v>0</v>
      </c>
      <c r="J1363" s="4">
        <v>-35444.550000000003</v>
      </c>
      <c r="K1363" s="4">
        <v>1587997.09</v>
      </c>
      <c r="L1363" s="4" t="s">
        <v>4180</v>
      </c>
      <c r="M1363" s="4" t="s">
        <v>4181</v>
      </c>
      <c r="N1363" s="4" t="s">
        <v>293</v>
      </c>
      <c r="O1363" s="4" t="s">
        <v>229</v>
      </c>
      <c r="P1363" s="4" t="s">
        <v>229</v>
      </c>
      <c r="Q1363" s="8" t="s">
        <v>100</v>
      </c>
      <c r="R1363" s="9">
        <f t="shared" si="22"/>
        <v>2.2888698378034045E-5</v>
      </c>
      <c r="S1363" s="55">
        <f>Tabla3[[#This Row],[Subtotal]]/12</f>
        <v>108722.16666666667</v>
      </c>
    </row>
    <row r="1364" spans="1:19" x14ac:dyDescent="0.2">
      <c r="A1364" s="4">
        <v>725</v>
      </c>
      <c r="B1364" s="2">
        <v>1283386</v>
      </c>
      <c r="C1364" s="2">
        <v>0</v>
      </c>
      <c r="D1364" s="4" t="s">
        <v>4185</v>
      </c>
      <c r="E1364" s="2">
        <v>1283386</v>
      </c>
      <c r="F1364" s="2">
        <v>243843.34</v>
      </c>
      <c r="G1364" s="2">
        <v>0</v>
      </c>
      <c r="H1364" s="4">
        <v>0</v>
      </c>
      <c r="I1364" s="4">
        <v>0</v>
      </c>
      <c r="J1364" s="4">
        <v>0</v>
      </c>
      <c r="K1364" s="4">
        <v>1527229.34</v>
      </c>
      <c r="L1364" s="4" t="s">
        <v>4183</v>
      </c>
      <c r="M1364" s="4" t="s">
        <v>4184</v>
      </c>
      <c r="N1364" s="4" t="s">
        <v>142</v>
      </c>
      <c r="O1364" s="4" t="s">
        <v>340</v>
      </c>
      <c r="P1364" s="4" t="s">
        <v>340</v>
      </c>
      <c r="Q1364" s="8" t="s">
        <v>100</v>
      </c>
      <c r="R1364" s="9">
        <f t="shared" si="22"/>
        <v>2.2515367961295535E-5</v>
      </c>
      <c r="S1364" s="55">
        <f>Tabla3[[#This Row],[Subtotal]]/12</f>
        <v>106948.83333333333</v>
      </c>
    </row>
    <row r="1365" spans="1:19" x14ac:dyDescent="0.2">
      <c r="A1365" s="4">
        <v>1130</v>
      </c>
      <c r="B1365" s="2">
        <v>1277641</v>
      </c>
      <c r="C1365" s="2">
        <v>0</v>
      </c>
      <c r="D1365" s="4" t="s">
        <v>4188</v>
      </c>
      <c r="E1365" s="2">
        <v>1277641</v>
      </c>
      <c r="F1365" s="2">
        <v>242751.79</v>
      </c>
      <c r="G1365" s="2">
        <v>0</v>
      </c>
      <c r="H1365" s="4">
        <v>0</v>
      </c>
      <c r="I1365" s="4">
        <v>0</v>
      </c>
      <c r="J1365" s="4">
        <v>0</v>
      </c>
      <c r="K1365" s="4">
        <v>1520392.79</v>
      </c>
      <c r="L1365" s="4" t="s">
        <v>4186</v>
      </c>
      <c r="M1365" s="4" t="s">
        <v>4187</v>
      </c>
      <c r="N1365" s="4" t="s">
        <v>20</v>
      </c>
      <c r="O1365" s="4" t="s">
        <v>316</v>
      </c>
      <c r="P1365" s="4" t="s">
        <v>316</v>
      </c>
      <c r="Q1365" s="8" t="s">
        <v>100</v>
      </c>
      <c r="R1365" s="9">
        <f t="shared" si="22"/>
        <v>2.2414579275009693E-5</v>
      </c>
      <c r="S1365" s="55">
        <f>Tabla3[[#This Row],[Subtotal]]/12</f>
        <v>106470.08333333333</v>
      </c>
    </row>
    <row r="1366" spans="1:19" x14ac:dyDescent="0.2">
      <c r="A1366" s="4">
        <v>327</v>
      </c>
      <c r="B1366" s="2">
        <v>1267416</v>
      </c>
      <c r="C1366" s="2">
        <v>0</v>
      </c>
      <c r="D1366" s="4" t="s">
        <v>4191</v>
      </c>
      <c r="E1366" s="2">
        <v>1267416</v>
      </c>
      <c r="F1366" s="2">
        <v>240809.04</v>
      </c>
      <c r="G1366" s="2">
        <v>0</v>
      </c>
      <c r="H1366" s="4">
        <v>0</v>
      </c>
      <c r="I1366" s="4">
        <v>0</v>
      </c>
      <c r="J1366" s="4">
        <v>0</v>
      </c>
      <c r="K1366" s="4">
        <v>1508225.04</v>
      </c>
      <c r="L1366" s="4" t="s">
        <v>4189</v>
      </c>
      <c r="M1366" s="4" t="s">
        <v>4190</v>
      </c>
      <c r="N1366" s="4" t="s">
        <v>20</v>
      </c>
      <c r="O1366" s="4" t="s">
        <v>768</v>
      </c>
      <c r="P1366" s="4" t="s">
        <v>768</v>
      </c>
      <c r="Q1366" s="8" t="s">
        <v>100</v>
      </c>
      <c r="R1366" s="9">
        <f t="shared" si="22"/>
        <v>2.223519471151574E-5</v>
      </c>
      <c r="S1366" s="55">
        <f>Tabla3[[#This Row],[Subtotal]]/12</f>
        <v>105618</v>
      </c>
    </row>
    <row r="1367" spans="1:19" x14ac:dyDescent="0.2">
      <c r="A1367" s="4">
        <v>1145</v>
      </c>
      <c r="B1367" s="2">
        <v>1258390</v>
      </c>
      <c r="C1367" s="2">
        <v>0</v>
      </c>
      <c r="D1367" s="4" t="s">
        <v>4194</v>
      </c>
      <c r="E1367" s="2">
        <v>1258390</v>
      </c>
      <c r="F1367" s="2">
        <v>239094.1</v>
      </c>
      <c r="G1367" s="2">
        <v>31459.75</v>
      </c>
      <c r="H1367" s="4">
        <v>0</v>
      </c>
      <c r="I1367" s="4">
        <v>0</v>
      </c>
      <c r="J1367" s="4">
        <v>31459.75</v>
      </c>
      <c r="K1367" s="4">
        <v>1466024.35</v>
      </c>
      <c r="L1367" s="4" t="s">
        <v>4192</v>
      </c>
      <c r="M1367" s="4" t="s">
        <v>4193</v>
      </c>
      <c r="N1367" s="4" t="s">
        <v>20</v>
      </c>
      <c r="O1367" s="4" t="s">
        <v>76</v>
      </c>
      <c r="P1367" s="4" t="s">
        <v>76</v>
      </c>
      <c r="Q1367" s="8" t="s">
        <v>408</v>
      </c>
      <c r="R1367" s="9">
        <f t="shared" si="22"/>
        <v>2.2076845071408514E-5</v>
      </c>
      <c r="S1367" s="55">
        <f>Tabla3[[#This Row],[Subtotal]]/12</f>
        <v>104865.83333333333</v>
      </c>
    </row>
    <row r="1368" spans="1:19" x14ac:dyDescent="0.2">
      <c r="A1368" s="4">
        <v>383</v>
      </c>
      <c r="B1368" s="2">
        <v>1247976</v>
      </c>
      <c r="C1368" s="2">
        <v>0</v>
      </c>
      <c r="D1368" s="4" t="s">
        <v>4196</v>
      </c>
      <c r="E1368" s="2">
        <v>1247976</v>
      </c>
      <c r="F1368" s="2">
        <v>237115.44</v>
      </c>
      <c r="G1368" s="2">
        <v>22090.400000000001</v>
      </c>
      <c r="H1368" s="4">
        <v>35567.31</v>
      </c>
      <c r="I1368" s="4">
        <v>0</v>
      </c>
      <c r="J1368" s="4">
        <v>57657.71</v>
      </c>
      <c r="K1368" s="4">
        <v>1427433.73</v>
      </c>
      <c r="L1368" s="4" t="s">
        <v>4195</v>
      </c>
      <c r="M1368" s="4" t="s">
        <v>137</v>
      </c>
      <c r="N1368" s="4" t="s">
        <v>20</v>
      </c>
      <c r="O1368" s="4" t="s">
        <v>1043</v>
      </c>
      <c r="P1368" s="4" t="s">
        <v>1043</v>
      </c>
      <c r="Q1368" s="8" t="s">
        <v>22</v>
      </c>
      <c r="R1368" s="9">
        <f t="shared" si="22"/>
        <v>2.1894144744344847E-5</v>
      </c>
      <c r="S1368" s="55">
        <f>Tabla3[[#This Row],[Subtotal]]/12</f>
        <v>103998</v>
      </c>
    </row>
    <row r="1369" spans="1:19" x14ac:dyDescent="0.2">
      <c r="A1369" s="4">
        <v>239</v>
      </c>
      <c r="B1369" s="2">
        <v>1242334</v>
      </c>
      <c r="C1369" s="2">
        <v>0</v>
      </c>
      <c r="D1369" s="4" t="s">
        <v>4199</v>
      </c>
      <c r="E1369" s="2">
        <v>1242334</v>
      </c>
      <c r="F1369" s="2">
        <v>236043.46</v>
      </c>
      <c r="G1369" s="2">
        <v>0</v>
      </c>
      <c r="H1369" s="4">
        <v>0</v>
      </c>
      <c r="I1369" s="4">
        <v>0</v>
      </c>
      <c r="J1369" s="4">
        <v>0</v>
      </c>
      <c r="K1369" s="4">
        <v>1478377.46</v>
      </c>
      <c r="L1369" s="4" t="s">
        <v>4197</v>
      </c>
      <c r="M1369" s="4" t="s">
        <v>4198</v>
      </c>
      <c r="N1369" s="4" t="s">
        <v>648</v>
      </c>
      <c r="O1369" s="4" t="s">
        <v>340</v>
      </c>
      <c r="P1369" s="4" t="s">
        <v>340</v>
      </c>
      <c r="Q1369" s="8" t="s">
        <v>100</v>
      </c>
      <c r="R1369" s="9">
        <f t="shared" si="22"/>
        <v>2.1795163061485888E-5</v>
      </c>
      <c r="S1369" s="55">
        <f>Tabla3[[#This Row],[Subtotal]]/12</f>
        <v>103527.83333333333</v>
      </c>
    </row>
    <row r="1370" spans="1:19" x14ac:dyDescent="0.2">
      <c r="A1370" s="4">
        <v>1230</v>
      </c>
      <c r="B1370" s="2">
        <v>1233198</v>
      </c>
      <c r="C1370" s="2">
        <v>0</v>
      </c>
      <c r="D1370" s="4" t="s">
        <v>4202</v>
      </c>
      <c r="E1370" s="2">
        <v>1233198</v>
      </c>
      <c r="F1370" s="2">
        <v>234307.62</v>
      </c>
      <c r="G1370" s="2">
        <v>0</v>
      </c>
      <c r="H1370" s="4">
        <v>0</v>
      </c>
      <c r="I1370" s="4">
        <v>0</v>
      </c>
      <c r="J1370" s="4">
        <v>0</v>
      </c>
      <c r="K1370" s="4">
        <v>1467505.62</v>
      </c>
      <c r="L1370" s="4" t="s">
        <v>4200</v>
      </c>
      <c r="M1370" s="4" t="s">
        <v>4201</v>
      </c>
      <c r="N1370" s="4" t="s">
        <v>20</v>
      </c>
      <c r="O1370" s="4" t="s">
        <v>631</v>
      </c>
      <c r="P1370" s="4" t="s">
        <v>631</v>
      </c>
      <c r="Q1370" s="8" t="s">
        <v>100</v>
      </c>
      <c r="R1370" s="9">
        <f t="shared" si="22"/>
        <v>2.1634883611893639E-5</v>
      </c>
      <c r="S1370" s="55">
        <f>Tabla3[[#This Row],[Subtotal]]/12</f>
        <v>102766.5</v>
      </c>
    </row>
    <row r="1371" spans="1:19" x14ac:dyDescent="0.2">
      <c r="A1371" s="4">
        <v>535</v>
      </c>
      <c r="B1371" s="2">
        <v>1227438</v>
      </c>
      <c r="C1371" s="2">
        <v>0</v>
      </c>
      <c r="D1371" s="4" t="s">
        <v>4205</v>
      </c>
      <c r="E1371" s="2">
        <v>1227438</v>
      </c>
      <c r="F1371" s="2">
        <v>233213.22</v>
      </c>
      <c r="G1371" s="2">
        <v>0</v>
      </c>
      <c r="H1371" s="4">
        <v>0</v>
      </c>
      <c r="I1371" s="4">
        <v>0</v>
      </c>
      <c r="J1371" s="4">
        <v>0</v>
      </c>
      <c r="K1371" s="4">
        <v>1460651.22</v>
      </c>
      <c r="L1371" s="4" t="s">
        <v>4203</v>
      </c>
      <c r="M1371" s="4" t="s">
        <v>4204</v>
      </c>
      <c r="N1371" s="4" t="s">
        <v>20</v>
      </c>
      <c r="O1371" s="4" t="s">
        <v>603</v>
      </c>
      <c r="P1371" s="4" t="s">
        <v>603</v>
      </c>
      <c r="Q1371" s="8" t="s">
        <v>100</v>
      </c>
      <c r="R1371" s="9">
        <f t="shared" si="22"/>
        <v>2.1533831769768931E-5</v>
      </c>
      <c r="S1371" s="55">
        <f>Tabla3[[#This Row],[Subtotal]]/12</f>
        <v>102286.5</v>
      </c>
    </row>
    <row r="1372" spans="1:19" x14ac:dyDescent="0.2">
      <c r="A1372" s="4">
        <v>1075</v>
      </c>
      <c r="B1372" s="2">
        <v>1217540</v>
      </c>
      <c r="C1372" s="2">
        <v>0</v>
      </c>
      <c r="D1372" s="4" t="s">
        <v>4208</v>
      </c>
      <c r="E1372" s="2">
        <v>1217540</v>
      </c>
      <c r="F1372" s="2">
        <v>231332.6</v>
      </c>
      <c r="G1372" s="2">
        <v>30438.5</v>
      </c>
      <c r="H1372" s="4">
        <v>0</v>
      </c>
      <c r="I1372" s="4">
        <v>0</v>
      </c>
      <c r="J1372" s="4">
        <v>30438.5</v>
      </c>
      <c r="K1372" s="4">
        <v>1418434.1</v>
      </c>
      <c r="L1372" s="4" t="s">
        <v>4206</v>
      </c>
      <c r="M1372" s="4" t="s">
        <v>4207</v>
      </c>
      <c r="N1372" s="4" t="s">
        <v>20</v>
      </c>
      <c r="O1372" s="4" t="s">
        <v>76</v>
      </c>
      <c r="P1372" s="4" t="s">
        <v>76</v>
      </c>
      <c r="Q1372" s="8" t="s">
        <v>1378</v>
      </c>
      <c r="R1372" s="9">
        <f t="shared" si="22"/>
        <v>2.1360184003562267E-5</v>
      </c>
      <c r="S1372" s="55">
        <f>Tabla3[[#This Row],[Subtotal]]/12</f>
        <v>101461.66666666667</v>
      </c>
    </row>
    <row r="1373" spans="1:19" x14ac:dyDescent="0.2">
      <c r="A1373" s="4">
        <v>318</v>
      </c>
      <c r="B1373" s="2">
        <v>1213818</v>
      </c>
      <c r="C1373" s="2">
        <v>0</v>
      </c>
      <c r="D1373" s="4" t="s">
        <v>4211</v>
      </c>
      <c r="E1373" s="2">
        <v>1213818</v>
      </c>
      <c r="F1373" s="2">
        <v>230625.42</v>
      </c>
      <c r="G1373" s="2">
        <v>0</v>
      </c>
      <c r="H1373" s="4">
        <v>0</v>
      </c>
      <c r="I1373" s="4">
        <v>0</v>
      </c>
      <c r="J1373" s="4">
        <v>0</v>
      </c>
      <c r="K1373" s="4">
        <v>1444443.42</v>
      </c>
      <c r="L1373" s="4" t="s">
        <v>4209</v>
      </c>
      <c r="M1373" s="4" t="s">
        <v>4210</v>
      </c>
      <c r="N1373" s="4" t="s">
        <v>20</v>
      </c>
      <c r="O1373" s="4" t="s">
        <v>1157</v>
      </c>
      <c r="P1373" s="4" t="s">
        <v>1157</v>
      </c>
      <c r="Q1373" s="8" t="s">
        <v>100</v>
      </c>
      <c r="R1373" s="9">
        <f t="shared" si="22"/>
        <v>2.129488626807821E-5</v>
      </c>
      <c r="S1373" s="55">
        <f>Tabla3[[#This Row],[Subtotal]]/12</f>
        <v>101151.5</v>
      </c>
    </row>
    <row r="1374" spans="1:19" x14ac:dyDescent="0.2">
      <c r="A1374" s="4">
        <v>714</v>
      </c>
      <c r="B1374" s="2">
        <v>1209402</v>
      </c>
      <c r="C1374" s="2">
        <v>0</v>
      </c>
      <c r="D1374" s="4" t="s">
        <v>3491</v>
      </c>
      <c r="E1374" s="2">
        <v>1209402</v>
      </c>
      <c r="F1374" s="2">
        <v>225226.38</v>
      </c>
      <c r="G1374" s="2">
        <v>0</v>
      </c>
      <c r="H1374" s="4">
        <v>0</v>
      </c>
      <c r="I1374" s="4">
        <v>0</v>
      </c>
      <c r="J1374" s="4">
        <v>0</v>
      </c>
      <c r="K1374" s="4">
        <v>1434628.38</v>
      </c>
      <c r="L1374" s="4" t="s">
        <v>4212</v>
      </c>
      <c r="M1374" s="4" t="s">
        <v>3490</v>
      </c>
      <c r="N1374" s="4" t="s">
        <v>20</v>
      </c>
      <c r="O1374" s="4" t="s">
        <v>2863</v>
      </c>
      <c r="P1374" s="4" t="s">
        <v>2863</v>
      </c>
      <c r="Q1374" s="8" t="s">
        <v>100</v>
      </c>
      <c r="R1374" s="9">
        <f t="shared" si="22"/>
        <v>2.1217413189115935E-5</v>
      </c>
      <c r="S1374" s="55">
        <f>Tabla3[[#This Row],[Subtotal]]/12</f>
        <v>100783.5</v>
      </c>
    </row>
    <row r="1375" spans="1:19" x14ac:dyDescent="0.2">
      <c r="A1375" s="4">
        <v>1344</v>
      </c>
      <c r="B1375" s="2">
        <v>1206024</v>
      </c>
      <c r="C1375" s="2">
        <v>0</v>
      </c>
      <c r="D1375" s="4" t="s">
        <v>4215</v>
      </c>
      <c r="E1375" s="2">
        <v>1206024</v>
      </c>
      <c r="F1375" s="2">
        <v>229144.56</v>
      </c>
      <c r="G1375" s="2">
        <v>0</v>
      </c>
      <c r="H1375" s="4">
        <v>0</v>
      </c>
      <c r="I1375" s="4">
        <v>0</v>
      </c>
      <c r="J1375" s="4">
        <v>0</v>
      </c>
      <c r="K1375" s="4">
        <v>1435168.56</v>
      </c>
      <c r="L1375" s="4" t="s">
        <v>4213</v>
      </c>
      <c r="M1375" s="4" t="s">
        <v>4214</v>
      </c>
      <c r="N1375" s="4" t="s">
        <v>332</v>
      </c>
      <c r="O1375" s="4" t="s">
        <v>1127</v>
      </c>
      <c r="P1375" s="4" t="s">
        <v>1127</v>
      </c>
      <c r="Q1375" s="8" t="s">
        <v>100</v>
      </c>
      <c r="R1375" s="9">
        <f t="shared" si="22"/>
        <v>2.1158150494203213E-5</v>
      </c>
      <c r="S1375" s="55">
        <f>Tabla3[[#This Row],[Subtotal]]/12</f>
        <v>100502</v>
      </c>
    </row>
    <row r="1376" spans="1:19" x14ac:dyDescent="0.2">
      <c r="A1376" s="4">
        <v>452</v>
      </c>
      <c r="B1376" s="2">
        <v>1203795</v>
      </c>
      <c r="C1376" s="2">
        <v>0</v>
      </c>
      <c r="D1376" s="4" t="s">
        <v>4218</v>
      </c>
      <c r="E1376" s="2">
        <v>1203795</v>
      </c>
      <c r="F1376" s="2">
        <v>228721.05</v>
      </c>
      <c r="G1376" s="2">
        <v>30094.880000000001</v>
      </c>
      <c r="H1376" s="4">
        <v>0</v>
      </c>
      <c r="I1376" s="4">
        <v>0</v>
      </c>
      <c r="J1376" s="4">
        <v>30094.880000000001</v>
      </c>
      <c r="K1376" s="4">
        <v>1402421.17</v>
      </c>
      <c r="L1376" s="4" t="s">
        <v>4216</v>
      </c>
      <c r="M1376" s="4" t="s">
        <v>4217</v>
      </c>
      <c r="N1376" s="4" t="s">
        <v>104</v>
      </c>
      <c r="O1376" s="4" t="s">
        <v>105</v>
      </c>
      <c r="P1376" s="4" t="s">
        <v>105</v>
      </c>
      <c r="Q1376" s="8" t="s">
        <v>100</v>
      </c>
      <c r="R1376" s="9">
        <f t="shared" si="22"/>
        <v>2.1119045536547662E-5</v>
      </c>
      <c r="S1376" s="55">
        <f>Tabla3[[#This Row],[Subtotal]]/12</f>
        <v>100316.25</v>
      </c>
    </row>
    <row r="1377" spans="1:19" x14ac:dyDescent="0.2">
      <c r="A1377" s="4">
        <v>1567</v>
      </c>
      <c r="B1377" s="2">
        <v>1201456</v>
      </c>
      <c r="C1377" s="2">
        <v>0</v>
      </c>
      <c r="D1377" s="4" t="s">
        <v>4221</v>
      </c>
      <c r="E1377" s="2">
        <v>1201456</v>
      </c>
      <c r="F1377" s="2">
        <v>228276.64</v>
      </c>
      <c r="G1377" s="2">
        <v>0</v>
      </c>
      <c r="H1377" s="4">
        <v>0</v>
      </c>
      <c r="I1377" s="4">
        <v>0</v>
      </c>
      <c r="J1377" s="4">
        <v>0</v>
      </c>
      <c r="K1377" s="4">
        <v>1429732.64</v>
      </c>
      <c r="L1377" s="4" t="s">
        <v>4219</v>
      </c>
      <c r="M1377" s="4" t="s">
        <v>4220</v>
      </c>
      <c r="N1377" s="4" t="s">
        <v>20</v>
      </c>
      <c r="O1377" s="4" t="s">
        <v>316</v>
      </c>
      <c r="P1377" s="4" t="s">
        <v>316</v>
      </c>
      <c r="Q1377" s="8" t="s">
        <v>100</v>
      </c>
      <c r="R1377" s="9">
        <f t="shared" si="22"/>
        <v>2.1078010769407092E-5</v>
      </c>
      <c r="S1377" s="55">
        <f>Tabla3[[#This Row],[Subtotal]]/12</f>
        <v>100121.33333333333</v>
      </c>
    </row>
    <row r="1378" spans="1:19" x14ac:dyDescent="0.2">
      <c r="A1378" s="4">
        <v>456</v>
      </c>
      <c r="B1378" s="2">
        <v>1199723</v>
      </c>
      <c r="C1378" s="2">
        <v>0</v>
      </c>
      <c r="D1378" s="4" t="s">
        <v>4224</v>
      </c>
      <c r="E1378" s="2">
        <v>1199723</v>
      </c>
      <c r="F1378" s="2">
        <v>227947.37</v>
      </c>
      <c r="G1378" s="2">
        <v>0</v>
      </c>
      <c r="H1378" s="4">
        <v>0</v>
      </c>
      <c r="I1378" s="4">
        <v>0</v>
      </c>
      <c r="J1378" s="4">
        <v>0</v>
      </c>
      <c r="K1378" s="4">
        <v>1427670.37</v>
      </c>
      <c r="L1378" s="4" t="s">
        <v>4222</v>
      </c>
      <c r="M1378" s="4" t="s">
        <v>4223</v>
      </c>
      <c r="N1378" s="4" t="s">
        <v>20</v>
      </c>
      <c r="O1378" s="4" t="s">
        <v>372</v>
      </c>
      <c r="P1378" s="4" t="s">
        <v>372</v>
      </c>
      <c r="Q1378" s="8" t="s">
        <v>100</v>
      </c>
      <c r="R1378" s="9">
        <f t="shared" si="22"/>
        <v>2.1047607498156723E-5</v>
      </c>
      <c r="S1378" s="55">
        <f>Tabla3[[#This Row],[Subtotal]]/12</f>
        <v>99976.916666666672</v>
      </c>
    </row>
    <row r="1379" spans="1:19" x14ac:dyDescent="0.2">
      <c r="A1379" s="4">
        <v>1214</v>
      </c>
      <c r="B1379" s="2">
        <v>1196070</v>
      </c>
      <c r="C1379" s="2">
        <v>0</v>
      </c>
      <c r="D1379" s="4" t="s">
        <v>4226</v>
      </c>
      <c r="E1379" s="2">
        <v>1196070</v>
      </c>
      <c r="F1379" s="2">
        <v>227253.3</v>
      </c>
      <c r="G1379" s="2">
        <v>29901.75</v>
      </c>
      <c r="H1379" s="4">
        <v>34088</v>
      </c>
      <c r="I1379" s="4">
        <v>0</v>
      </c>
      <c r="J1379" s="4">
        <v>63989.75</v>
      </c>
      <c r="K1379" s="4">
        <v>1359333.55</v>
      </c>
      <c r="L1379" s="4" t="s">
        <v>4225</v>
      </c>
      <c r="M1379" s="4" t="s">
        <v>1006</v>
      </c>
      <c r="N1379" s="4" t="s">
        <v>46</v>
      </c>
      <c r="O1379" s="4" t="s">
        <v>27</v>
      </c>
      <c r="P1379" s="4" t="s">
        <v>27</v>
      </c>
      <c r="Q1379" s="8" t="s">
        <v>28</v>
      </c>
      <c r="R1379" s="9">
        <f t="shared" si="22"/>
        <v>2.0983520279531452E-5</v>
      </c>
      <c r="S1379" s="55">
        <f>Tabla3[[#This Row],[Subtotal]]/12</f>
        <v>99672.5</v>
      </c>
    </row>
    <row r="1380" spans="1:19" x14ac:dyDescent="0.2">
      <c r="A1380" s="4">
        <v>200</v>
      </c>
      <c r="B1380" s="2">
        <v>1193964</v>
      </c>
      <c r="C1380" s="2">
        <v>0</v>
      </c>
      <c r="D1380" s="4" t="s">
        <v>4229</v>
      </c>
      <c r="E1380" s="2">
        <v>1193964</v>
      </c>
      <c r="F1380" s="2">
        <v>226853.16</v>
      </c>
      <c r="G1380" s="2">
        <v>0</v>
      </c>
      <c r="H1380" s="4">
        <v>0</v>
      </c>
      <c r="I1380" s="4">
        <v>0</v>
      </c>
      <c r="J1380" s="4">
        <v>0</v>
      </c>
      <c r="K1380" s="4">
        <v>1420817.16</v>
      </c>
      <c r="L1380" s="4" t="s">
        <v>4227</v>
      </c>
      <c r="M1380" s="4" t="s">
        <v>4228</v>
      </c>
      <c r="N1380" s="4" t="s">
        <v>156</v>
      </c>
      <c r="O1380" s="4" t="s">
        <v>67</v>
      </c>
      <c r="P1380" s="4" t="s">
        <v>67</v>
      </c>
      <c r="Q1380" s="8" t="s">
        <v>100</v>
      </c>
      <c r="R1380" s="9">
        <f t="shared" si="22"/>
        <v>2.0946573199754604E-5</v>
      </c>
      <c r="S1380" s="55">
        <f>Tabla3[[#This Row],[Subtotal]]/12</f>
        <v>99497</v>
      </c>
    </row>
    <row r="1381" spans="1:19" x14ac:dyDescent="0.2">
      <c r="A1381" s="4">
        <v>787</v>
      </c>
      <c r="B1381" s="2">
        <v>1189907</v>
      </c>
      <c r="C1381" s="2">
        <v>0</v>
      </c>
      <c r="D1381" s="4" t="s">
        <v>4232</v>
      </c>
      <c r="E1381" s="2">
        <v>1189907</v>
      </c>
      <c r="F1381" s="2">
        <v>226082.33</v>
      </c>
      <c r="G1381" s="2">
        <v>0</v>
      </c>
      <c r="H1381" s="4">
        <v>0</v>
      </c>
      <c r="I1381" s="4">
        <v>0</v>
      </c>
      <c r="J1381" s="4">
        <v>0</v>
      </c>
      <c r="K1381" s="4">
        <v>1415989.33</v>
      </c>
      <c r="L1381" s="4" t="s">
        <v>4230</v>
      </c>
      <c r="M1381" s="4" t="s">
        <v>4231</v>
      </c>
      <c r="N1381" s="4" t="s">
        <v>20</v>
      </c>
      <c r="O1381" s="4" t="s">
        <v>372</v>
      </c>
      <c r="P1381" s="4" t="s">
        <v>372</v>
      </c>
      <c r="Q1381" s="8" t="s">
        <v>100</v>
      </c>
      <c r="R1381" s="9">
        <f t="shared" si="22"/>
        <v>2.087539831720253E-5</v>
      </c>
      <c r="S1381" s="55">
        <f>Tabla3[[#This Row],[Subtotal]]/12</f>
        <v>99158.916666666672</v>
      </c>
    </row>
    <row r="1382" spans="1:19" x14ac:dyDescent="0.2">
      <c r="A1382" s="4">
        <v>1121</v>
      </c>
      <c r="B1382" s="2">
        <v>1173911</v>
      </c>
      <c r="C1382" s="2">
        <v>0</v>
      </c>
      <c r="D1382" s="4" t="s">
        <v>4235</v>
      </c>
      <c r="E1382" s="2">
        <v>1173911</v>
      </c>
      <c r="F1382" s="2">
        <v>223043.09</v>
      </c>
      <c r="G1382" s="2">
        <v>0</v>
      </c>
      <c r="H1382" s="4">
        <v>0</v>
      </c>
      <c r="I1382" s="4">
        <v>0</v>
      </c>
      <c r="J1382" s="4">
        <v>0</v>
      </c>
      <c r="K1382" s="4">
        <v>1396954.09</v>
      </c>
      <c r="L1382" s="4" t="s">
        <v>4233</v>
      </c>
      <c r="M1382" s="4" t="s">
        <v>4234</v>
      </c>
      <c r="N1382" s="4" t="s">
        <v>20</v>
      </c>
      <c r="O1382" s="4" t="s">
        <v>3938</v>
      </c>
      <c r="P1382" s="4" t="s">
        <v>3938</v>
      </c>
      <c r="Q1382" s="8" t="s">
        <v>1378</v>
      </c>
      <c r="R1382" s="9">
        <f t="shared" si="22"/>
        <v>2.0594768930635367E-5</v>
      </c>
      <c r="S1382" s="55">
        <f>Tabla3[[#This Row],[Subtotal]]/12</f>
        <v>97825.916666666672</v>
      </c>
    </row>
    <row r="1383" spans="1:19" x14ac:dyDescent="0.2">
      <c r="A1383" s="4">
        <v>1217</v>
      </c>
      <c r="B1383" s="2">
        <v>1152508</v>
      </c>
      <c r="C1383" s="2">
        <v>0</v>
      </c>
      <c r="D1383" s="4" t="s">
        <v>4237</v>
      </c>
      <c r="E1383" s="2">
        <v>1152508</v>
      </c>
      <c r="F1383" s="2">
        <v>218976.52</v>
      </c>
      <c r="G1383" s="2">
        <v>28812.7</v>
      </c>
      <c r="H1383" s="4">
        <v>32846.480000000003</v>
      </c>
      <c r="I1383" s="4">
        <v>4939.32</v>
      </c>
      <c r="J1383" s="4">
        <v>66598.5</v>
      </c>
      <c r="K1383" s="4">
        <v>1304886.02</v>
      </c>
      <c r="L1383" s="4" t="s">
        <v>4236</v>
      </c>
      <c r="M1383" s="4" t="s">
        <v>1006</v>
      </c>
      <c r="N1383" s="4" t="s">
        <v>306</v>
      </c>
      <c r="O1383" s="4" t="s">
        <v>42</v>
      </c>
      <c r="P1383" s="4" t="s">
        <v>42</v>
      </c>
      <c r="Q1383" s="8" t="s">
        <v>28</v>
      </c>
      <c r="R1383" s="9">
        <f t="shared" si="22"/>
        <v>2.0219280636018155E-5</v>
      </c>
      <c r="S1383" s="55">
        <f>Tabla3[[#This Row],[Subtotal]]/12</f>
        <v>96042.333333333328</v>
      </c>
    </row>
    <row r="1384" spans="1:19" x14ac:dyDescent="0.2">
      <c r="A1384" s="4">
        <v>1656</v>
      </c>
      <c r="B1384" s="2">
        <v>1150524</v>
      </c>
      <c r="C1384" s="2">
        <v>0</v>
      </c>
      <c r="D1384" s="4" t="s">
        <v>4240</v>
      </c>
      <c r="E1384" s="2">
        <v>1150524</v>
      </c>
      <c r="F1384" s="2">
        <v>218599.56</v>
      </c>
      <c r="G1384" s="2">
        <v>0</v>
      </c>
      <c r="H1384" s="4">
        <v>0</v>
      </c>
      <c r="I1384" s="4">
        <v>0</v>
      </c>
      <c r="J1384" s="4">
        <v>0</v>
      </c>
      <c r="K1384" s="4">
        <v>1369123.56</v>
      </c>
      <c r="L1384" s="4" t="s">
        <v>4238</v>
      </c>
      <c r="M1384" s="4" t="s">
        <v>4239</v>
      </c>
      <c r="N1384" s="4" t="s">
        <v>20</v>
      </c>
      <c r="O1384" s="4" t="s">
        <v>1517</v>
      </c>
      <c r="P1384" s="4" t="s">
        <v>1517</v>
      </c>
      <c r="Q1384" s="8" t="s">
        <v>100</v>
      </c>
      <c r="R1384" s="9">
        <f t="shared" si="22"/>
        <v>2.0184473890397421E-5</v>
      </c>
      <c r="S1384" s="55">
        <f>Tabla3[[#This Row],[Subtotal]]/12</f>
        <v>95877</v>
      </c>
    </row>
    <row r="1385" spans="1:19" x14ac:dyDescent="0.2">
      <c r="A1385" s="4">
        <v>806</v>
      </c>
      <c r="B1385" s="2">
        <v>1147854</v>
      </c>
      <c r="C1385" s="2">
        <v>0</v>
      </c>
      <c r="D1385" s="4" t="s">
        <v>4243</v>
      </c>
      <c r="E1385" s="2">
        <v>1147854</v>
      </c>
      <c r="F1385" s="2">
        <v>218092.26</v>
      </c>
      <c r="G1385" s="2">
        <v>0</v>
      </c>
      <c r="H1385" s="4">
        <v>0</v>
      </c>
      <c r="I1385" s="4">
        <v>0</v>
      </c>
      <c r="J1385" s="4">
        <v>0</v>
      </c>
      <c r="K1385" s="4">
        <v>1365946.26</v>
      </c>
      <c r="L1385" s="4" t="s">
        <v>4241</v>
      </c>
      <c r="M1385" s="4" t="s">
        <v>4242</v>
      </c>
      <c r="N1385" s="4" t="s">
        <v>20</v>
      </c>
      <c r="O1385" s="4" t="s">
        <v>1356</v>
      </c>
      <c r="P1385" s="4" t="s">
        <v>1356</v>
      </c>
      <c r="Q1385" s="8" t="s">
        <v>100</v>
      </c>
      <c r="R1385" s="9">
        <f t="shared" si="22"/>
        <v>2.0137632151079195E-5</v>
      </c>
      <c r="S1385" s="55">
        <f>Tabla3[[#This Row],[Subtotal]]/12</f>
        <v>95654.5</v>
      </c>
    </row>
    <row r="1386" spans="1:19" x14ac:dyDescent="0.2">
      <c r="A1386" s="4">
        <v>59</v>
      </c>
      <c r="B1386" s="2">
        <v>1140695</v>
      </c>
      <c r="C1386" s="2">
        <v>0</v>
      </c>
      <c r="D1386" s="4" t="s">
        <v>4246</v>
      </c>
      <c r="E1386" s="2">
        <v>1140695</v>
      </c>
      <c r="F1386" s="2">
        <v>216732.05</v>
      </c>
      <c r="G1386" s="2">
        <v>0</v>
      </c>
      <c r="H1386" s="4">
        <v>0</v>
      </c>
      <c r="I1386" s="4">
        <v>0</v>
      </c>
      <c r="J1386" s="4">
        <v>0</v>
      </c>
      <c r="K1386" s="4">
        <v>1357427.05</v>
      </c>
      <c r="L1386" s="4" t="s">
        <v>4244</v>
      </c>
      <c r="M1386" s="4" t="s">
        <v>4245</v>
      </c>
      <c r="N1386" s="4" t="s">
        <v>20</v>
      </c>
      <c r="O1386" s="4" t="s">
        <v>1517</v>
      </c>
      <c r="P1386" s="4" t="s">
        <v>1517</v>
      </c>
      <c r="Q1386" s="8" t="s">
        <v>100</v>
      </c>
      <c r="R1386" s="9">
        <f t="shared" si="22"/>
        <v>2.0012036641049543E-5</v>
      </c>
      <c r="S1386" s="55">
        <f>Tabla3[[#This Row],[Subtotal]]/12</f>
        <v>95057.916666666672</v>
      </c>
    </row>
    <row r="1387" spans="1:19" x14ac:dyDescent="0.2">
      <c r="A1387" s="4">
        <v>1417</v>
      </c>
      <c r="B1387" s="2">
        <v>1140462.2</v>
      </c>
      <c r="C1387" s="2">
        <v>0</v>
      </c>
      <c r="D1387" s="4" t="s">
        <v>4249</v>
      </c>
      <c r="E1387" s="2">
        <v>1140462.2</v>
      </c>
      <c r="F1387" s="2">
        <v>215737.82</v>
      </c>
      <c r="G1387" s="2">
        <v>0</v>
      </c>
      <c r="H1387" s="4">
        <v>0</v>
      </c>
      <c r="I1387" s="4">
        <v>0</v>
      </c>
      <c r="J1387" s="4">
        <v>0</v>
      </c>
      <c r="K1387" s="4">
        <v>1356200.02</v>
      </c>
      <c r="L1387" s="4" t="s">
        <v>4247</v>
      </c>
      <c r="M1387" s="4" t="s">
        <v>4248</v>
      </c>
      <c r="N1387" s="4" t="s">
        <v>20</v>
      </c>
      <c r="O1387" s="4" t="s">
        <v>1677</v>
      </c>
      <c r="P1387" s="4" t="s">
        <v>1677</v>
      </c>
      <c r="Q1387" s="8" t="s">
        <v>144</v>
      </c>
      <c r="R1387" s="9">
        <f t="shared" si="22"/>
        <v>2.0007952462430337E-5</v>
      </c>
      <c r="S1387" s="55">
        <f>Tabla3[[#This Row],[Subtotal]]/12</f>
        <v>95038.516666666663</v>
      </c>
    </row>
    <row r="1388" spans="1:19" x14ac:dyDescent="0.2">
      <c r="A1388" s="4">
        <v>146</v>
      </c>
      <c r="B1388" s="2">
        <v>1132348</v>
      </c>
      <c r="C1388" s="2">
        <v>0</v>
      </c>
      <c r="D1388" s="4" t="s">
        <v>4252</v>
      </c>
      <c r="E1388" s="2">
        <v>1132348</v>
      </c>
      <c r="F1388" s="2">
        <v>215146.12</v>
      </c>
      <c r="G1388" s="2">
        <v>0</v>
      </c>
      <c r="H1388" s="4">
        <v>0</v>
      </c>
      <c r="I1388" s="4">
        <v>0</v>
      </c>
      <c r="J1388" s="4">
        <v>0</v>
      </c>
      <c r="K1388" s="4">
        <v>1347494.12</v>
      </c>
      <c r="L1388" s="4" t="s">
        <v>4250</v>
      </c>
      <c r="M1388" s="4" t="s">
        <v>4251</v>
      </c>
      <c r="N1388" s="4" t="s">
        <v>20</v>
      </c>
      <c r="O1388" s="4" t="s">
        <v>372</v>
      </c>
      <c r="P1388" s="4" t="s">
        <v>372</v>
      </c>
      <c r="Q1388" s="8" t="s">
        <v>100</v>
      </c>
      <c r="R1388" s="9">
        <f t="shared" si="22"/>
        <v>1.9865599188581669E-5</v>
      </c>
      <c r="S1388" s="55">
        <f>Tabla3[[#This Row],[Subtotal]]/12</f>
        <v>94362.333333333328</v>
      </c>
    </row>
    <row r="1389" spans="1:19" x14ac:dyDescent="0.2">
      <c r="A1389" s="4">
        <v>342</v>
      </c>
      <c r="B1389" s="2">
        <v>1124667.45</v>
      </c>
      <c r="C1389" s="2">
        <v>0</v>
      </c>
      <c r="D1389" s="4" t="s">
        <v>4255</v>
      </c>
      <c r="E1389" s="2">
        <v>1124667.45</v>
      </c>
      <c r="F1389" s="2">
        <v>213686.82</v>
      </c>
      <c r="G1389" s="2">
        <v>28116.69</v>
      </c>
      <c r="H1389" s="4">
        <v>0</v>
      </c>
      <c r="I1389" s="4">
        <v>0</v>
      </c>
      <c r="J1389" s="4">
        <v>28116.69</v>
      </c>
      <c r="K1389" s="4">
        <v>1310237.58</v>
      </c>
      <c r="L1389" s="4" t="s">
        <v>4253</v>
      </c>
      <c r="M1389" s="4" t="s">
        <v>4254</v>
      </c>
      <c r="N1389" s="4" t="s">
        <v>487</v>
      </c>
      <c r="O1389" s="4" t="s">
        <v>900</v>
      </c>
      <c r="P1389" s="4" t="s">
        <v>900</v>
      </c>
      <c r="Q1389" s="8" t="s">
        <v>144</v>
      </c>
      <c r="R1389" s="9">
        <f t="shared" si="22"/>
        <v>1.9730853750034633E-5</v>
      </c>
      <c r="S1389" s="55">
        <f>Tabla3[[#This Row],[Subtotal]]/12</f>
        <v>93722.287499999991</v>
      </c>
    </row>
    <row r="1390" spans="1:19" x14ac:dyDescent="0.2">
      <c r="A1390" s="4">
        <v>1248</v>
      </c>
      <c r="B1390" s="2">
        <v>1123594</v>
      </c>
      <c r="C1390" s="2">
        <v>0</v>
      </c>
      <c r="D1390" s="4" t="s">
        <v>4258</v>
      </c>
      <c r="E1390" s="2">
        <v>1123594</v>
      </c>
      <c r="F1390" s="2">
        <v>213482.86</v>
      </c>
      <c r="G1390" s="2">
        <v>0</v>
      </c>
      <c r="H1390" s="4">
        <v>0</v>
      </c>
      <c r="I1390" s="4">
        <v>0</v>
      </c>
      <c r="J1390" s="4">
        <v>0</v>
      </c>
      <c r="K1390" s="4">
        <v>1337076.8600000001</v>
      </c>
      <c r="L1390" s="4" t="s">
        <v>4256</v>
      </c>
      <c r="M1390" s="4" t="s">
        <v>4257</v>
      </c>
      <c r="N1390" s="4" t="s">
        <v>20</v>
      </c>
      <c r="O1390" s="4" t="s">
        <v>316</v>
      </c>
      <c r="P1390" s="4" t="s">
        <v>316</v>
      </c>
      <c r="Q1390" s="8" t="s">
        <v>100</v>
      </c>
      <c r="R1390" s="9">
        <f t="shared" si="22"/>
        <v>1.9712021441019221E-5</v>
      </c>
      <c r="S1390" s="55">
        <f>Tabla3[[#This Row],[Subtotal]]/12</f>
        <v>93632.833333333328</v>
      </c>
    </row>
    <row r="1391" spans="1:19" x14ac:dyDescent="0.2">
      <c r="A1391" s="4">
        <v>1461</v>
      </c>
      <c r="B1391" s="2">
        <v>1122540</v>
      </c>
      <c r="C1391" s="2">
        <v>0</v>
      </c>
      <c r="D1391" s="4" t="s">
        <v>4261</v>
      </c>
      <c r="E1391" s="2">
        <v>1122540</v>
      </c>
      <c r="F1391" s="2">
        <v>213282.6</v>
      </c>
      <c r="G1391" s="2">
        <v>0</v>
      </c>
      <c r="H1391" s="4">
        <v>0</v>
      </c>
      <c r="I1391" s="4">
        <v>0</v>
      </c>
      <c r="J1391" s="4">
        <v>0</v>
      </c>
      <c r="K1391" s="4">
        <v>1335822.6000000001</v>
      </c>
      <c r="L1391" s="4" t="s">
        <v>4259</v>
      </c>
      <c r="M1391" s="4" t="s">
        <v>4260</v>
      </c>
      <c r="N1391" s="4" t="s">
        <v>20</v>
      </c>
      <c r="O1391" s="4" t="s">
        <v>261</v>
      </c>
      <c r="P1391" s="4" t="s">
        <v>261</v>
      </c>
      <c r="Q1391" s="8" t="s">
        <v>100</v>
      </c>
      <c r="R1391" s="9">
        <f t="shared" si="22"/>
        <v>1.9693530357408208E-5</v>
      </c>
      <c r="S1391" s="55">
        <f>Tabla3[[#This Row],[Subtotal]]/12</f>
        <v>93545</v>
      </c>
    </row>
    <row r="1392" spans="1:19" x14ac:dyDescent="0.2">
      <c r="A1392" s="4">
        <v>125</v>
      </c>
      <c r="B1392" s="2">
        <v>1121208</v>
      </c>
      <c r="C1392" s="2">
        <v>0</v>
      </c>
      <c r="D1392" s="4" t="s">
        <v>4264</v>
      </c>
      <c r="E1392" s="2">
        <v>1121208</v>
      </c>
      <c r="F1392" s="2">
        <v>213029.52</v>
      </c>
      <c r="G1392" s="2">
        <v>0</v>
      </c>
      <c r="H1392" s="4">
        <v>0</v>
      </c>
      <c r="I1392" s="4">
        <v>0</v>
      </c>
      <c r="J1392" s="4">
        <v>0</v>
      </c>
      <c r="K1392" s="4">
        <v>1334237.52</v>
      </c>
      <c r="L1392" s="4" t="s">
        <v>4262</v>
      </c>
      <c r="M1392" s="4" t="s">
        <v>4263</v>
      </c>
      <c r="N1392" s="4" t="s">
        <v>4265</v>
      </c>
      <c r="O1392" s="4" t="s">
        <v>2025</v>
      </c>
      <c r="P1392" s="4" t="s">
        <v>2025</v>
      </c>
      <c r="Q1392" s="8" t="s">
        <v>100</v>
      </c>
      <c r="R1392" s="9">
        <f t="shared" si="22"/>
        <v>1.9670162118916869E-5</v>
      </c>
      <c r="S1392" s="55">
        <f>Tabla3[[#This Row],[Subtotal]]/12</f>
        <v>93434</v>
      </c>
    </row>
    <row r="1393" spans="1:19" x14ac:dyDescent="0.2">
      <c r="A1393" s="4">
        <v>1501</v>
      </c>
      <c r="B1393" s="2">
        <v>1116649</v>
      </c>
      <c r="C1393" s="2">
        <v>0</v>
      </c>
      <c r="D1393" s="4" t="s">
        <v>4268</v>
      </c>
      <c r="E1393" s="2">
        <v>1116649</v>
      </c>
      <c r="F1393" s="2">
        <v>212163.31</v>
      </c>
      <c r="G1393" s="2">
        <v>0</v>
      </c>
      <c r="H1393" s="4">
        <v>0</v>
      </c>
      <c r="I1393" s="4">
        <v>0</v>
      </c>
      <c r="J1393" s="4">
        <v>0</v>
      </c>
      <c r="K1393" s="4">
        <v>1328812.31</v>
      </c>
      <c r="L1393" s="4" t="s">
        <v>4266</v>
      </c>
      <c r="M1393" s="4" t="s">
        <v>4267</v>
      </c>
      <c r="N1393" s="4" t="s">
        <v>4269</v>
      </c>
      <c r="O1393" s="4" t="s">
        <v>105</v>
      </c>
      <c r="P1393" s="4" t="s">
        <v>105</v>
      </c>
      <c r="Q1393" s="8" t="s">
        <v>100</v>
      </c>
      <c r="R1393" s="9">
        <f t="shared" si="22"/>
        <v>1.9590180287624064E-5</v>
      </c>
      <c r="S1393" s="55">
        <f>Tabla3[[#This Row],[Subtotal]]/12</f>
        <v>93054.083333333328</v>
      </c>
    </row>
    <row r="1394" spans="1:19" x14ac:dyDescent="0.2">
      <c r="A1394" s="4">
        <v>1698</v>
      </c>
      <c r="B1394" s="2">
        <v>1106586</v>
      </c>
      <c r="C1394" s="2">
        <v>0</v>
      </c>
      <c r="D1394" s="4" t="s">
        <v>4272</v>
      </c>
      <c r="E1394" s="2">
        <v>1106586</v>
      </c>
      <c r="F1394" s="2">
        <v>210251.34</v>
      </c>
      <c r="G1394" s="2">
        <v>0</v>
      </c>
      <c r="H1394" s="4">
        <v>0</v>
      </c>
      <c r="I1394" s="4">
        <v>0</v>
      </c>
      <c r="J1394" s="4">
        <v>0</v>
      </c>
      <c r="K1394" s="4">
        <v>1316837.3400000001</v>
      </c>
      <c r="L1394" s="4" t="s">
        <v>4270</v>
      </c>
      <c r="M1394" s="4" t="s">
        <v>4271</v>
      </c>
      <c r="N1394" s="4" t="s">
        <v>37</v>
      </c>
      <c r="O1394" s="4" t="s">
        <v>33</v>
      </c>
      <c r="P1394" s="4" t="s">
        <v>33</v>
      </c>
      <c r="Q1394" s="8" t="s">
        <v>100</v>
      </c>
      <c r="R1394" s="9">
        <f t="shared" si="22"/>
        <v>1.941363780718987E-5</v>
      </c>
      <c r="S1394" s="55">
        <f>Tabla3[[#This Row],[Subtotal]]/12</f>
        <v>92215.5</v>
      </c>
    </row>
    <row r="1395" spans="1:19" x14ac:dyDescent="0.2">
      <c r="A1395" s="4">
        <v>116</v>
      </c>
      <c r="B1395" s="2">
        <v>1088120</v>
      </c>
      <c r="C1395" s="2">
        <v>0</v>
      </c>
      <c r="D1395" s="4" t="s">
        <v>4274</v>
      </c>
      <c r="E1395" s="2">
        <v>1088120</v>
      </c>
      <c r="F1395" s="2">
        <v>206742.8</v>
      </c>
      <c r="G1395" s="2">
        <v>0</v>
      </c>
      <c r="H1395" s="4">
        <v>0</v>
      </c>
      <c r="I1395" s="4">
        <v>0</v>
      </c>
      <c r="J1395" s="4">
        <v>0</v>
      </c>
      <c r="K1395" s="4">
        <v>1294862.8</v>
      </c>
      <c r="L1395" s="4" t="s">
        <v>4273</v>
      </c>
      <c r="M1395" s="4" t="s">
        <v>3671</v>
      </c>
      <c r="N1395" s="4" t="s">
        <v>20</v>
      </c>
      <c r="O1395" s="4" t="s">
        <v>257</v>
      </c>
      <c r="P1395" s="4" t="s">
        <v>257</v>
      </c>
      <c r="Q1395" s="8" t="s">
        <v>100</v>
      </c>
      <c r="R1395" s="9">
        <f t="shared" si="22"/>
        <v>1.9089675425822703E-5</v>
      </c>
      <c r="S1395" s="55">
        <f>Tabla3[[#This Row],[Subtotal]]/12</f>
        <v>90676.666666666672</v>
      </c>
    </row>
    <row r="1396" spans="1:19" x14ac:dyDescent="0.2">
      <c r="A1396" s="4">
        <v>1608</v>
      </c>
      <c r="B1396" s="2">
        <v>1085906</v>
      </c>
      <c r="C1396" s="2">
        <v>0</v>
      </c>
      <c r="D1396" s="4" t="s">
        <v>4277</v>
      </c>
      <c r="E1396" s="2">
        <v>1085906</v>
      </c>
      <c r="F1396" s="2">
        <v>206322.14</v>
      </c>
      <c r="G1396" s="2">
        <v>0</v>
      </c>
      <c r="H1396" s="4">
        <v>0</v>
      </c>
      <c r="I1396" s="4">
        <v>0</v>
      </c>
      <c r="J1396" s="4">
        <v>0</v>
      </c>
      <c r="K1396" s="4">
        <v>1292228.1399999999</v>
      </c>
      <c r="L1396" s="4" t="s">
        <v>4275</v>
      </c>
      <c r="M1396" s="4" t="s">
        <v>4276</v>
      </c>
      <c r="N1396" s="4" t="s">
        <v>627</v>
      </c>
      <c r="O1396" s="4" t="s">
        <v>1277</v>
      </c>
      <c r="P1396" s="4" t="s">
        <v>1277</v>
      </c>
      <c r="Q1396" s="8" t="s">
        <v>100</v>
      </c>
      <c r="R1396" s="9">
        <f t="shared" si="22"/>
        <v>1.9050833624006019E-5</v>
      </c>
      <c r="S1396" s="55">
        <f>Tabla3[[#This Row],[Subtotal]]/12</f>
        <v>90492.166666666672</v>
      </c>
    </row>
    <row r="1397" spans="1:19" x14ac:dyDescent="0.2">
      <c r="A1397" s="4">
        <v>44</v>
      </c>
      <c r="B1397" s="2">
        <v>1081896</v>
      </c>
      <c r="C1397" s="2">
        <v>0</v>
      </c>
      <c r="D1397" s="4" t="s">
        <v>4280</v>
      </c>
      <c r="E1397" s="2">
        <v>1081896</v>
      </c>
      <c r="F1397" s="2">
        <v>205560.24</v>
      </c>
      <c r="G1397" s="2">
        <v>27047.4</v>
      </c>
      <c r="H1397" s="4">
        <v>0</v>
      </c>
      <c r="I1397" s="4">
        <v>0</v>
      </c>
      <c r="J1397" s="4">
        <v>27047.4</v>
      </c>
      <c r="K1397" s="4">
        <v>1260408.8400000001</v>
      </c>
      <c r="L1397" s="4" t="s">
        <v>4278</v>
      </c>
      <c r="M1397" s="4" t="s">
        <v>4279</v>
      </c>
      <c r="N1397" s="4" t="s">
        <v>20</v>
      </c>
      <c r="O1397" s="4" t="s">
        <v>386</v>
      </c>
      <c r="P1397" s="4" t="s">
        <v>386</v>
      </c>
      <c r="Q1397" s="8" t="s">
        <v>408</v>
      </c>
      <c r="R1397" s="9">
        <f t="shared" si="22"/>
        <v>1.8980483296415726E-5</v>
      </c>
      <c r="S1397" s="55">
        <f>Tabla3[[#This Row],[Subtotal]]/12</f>
        <v>90158</v>
      </c>
    </row>
    <row r="1398" spans="1:19" x14ac:dyDescent="0.2">
      <c r="A1398" s="4">
        <v>468</v>
      </c>
      <c r="B1398" s="2">
        <v>1075413</v>
      </c>
      <c r="C1398" s="2">
        <v>0</v>
      </c>
      <c r="D1398" s="4" t="s">
        <v>4283</v>
      </c>
      <c r="E1398" s="2">
        <v>1075413</v>
      </c>
      <c r="F1398" s="2">
        <v>204328.47</v>
      </c>
      <c r="G1398" s="2">
        <v>0</v>
      </c>
      <c r="H1398" s="4">
        <v>0</v>
      </c>
      <c r="I1398" s="4">
        <v>0</v>
      </c>
      <c r="J1398" s="4">
        <v>0</v>
      </c>
      <c r="K1398" s="4">
        <v>1279741.47</v>
      </c>
      <c r="L1398" s="4" t="s">
        <v>4281</v>
      </c>
      <c r="M1398" s="4" t="s">
        <v>4282</v>
      </c>
      <c r="N1398" s="4" t="s">
        <v>20</v>
      </c>
      <c r="O1398" s="4" t="s">
        <v>603</v>
      </c>
      <c r="P1398" s="4" t="s">
        <v>603</v>
      </c>
      <c r="Q1398" s="8" t="s">
        <v>100</v>
      </c>
      <c r="R1398" s="9">
        <f t="shared" si="22"/>
        <v>1.8866747342857655E-5</v>
      </c>
      <c r="S1398" s="55">
        <f>Tabla3[[#This Row],[Subtotal]]/12</f>
        <v>89617.75</v>
      </c>
    </row>
    <row r="1399" spans="1:19" x14ac:dyDescent="0.2">
      <c r="A1399" s="4">
        <v>15</v>
      </c>
      <c r="B1399" s="2">
        <v>1073536</v>
      </c>
      <c r="C1399" s="2">
        <v>0</v>
      </c>
      <c r="D1399" s="4" t="s">
        <v>4285</v>
      </c>
      <c r="E1399" s="2">
        <v>1073536</v>
      </c>
      <c r="F1399" s="2">
        <v>203971.84</v>
      </c>
      <c r="G1399" s="2">
        <v>26838.400000000001</v>
      </c>
      <c r="H1399" s="4">
        <v>30595.78</v>
      </c>
      <c r="I1399" s="4">
        <v>0</v>
      </c>
      <c r="J1399" s="4">
        <v>57434.18</v>
      </c>
      <c r="K1399" s="4">
        <v>1220073.6599999999</v>
      </c>
      <c r="L1399" s="4" t="s">
        <v>4284</v>
      </c>
      <c r="M1399" s="4" t="s">
        <v>146</v>
      </c>
      <c r="N1399" s="4" t="s">
        <v>4286</v>
      </c>
      <c r="O1399" s="4" t="s">
        <v>237</v>
      </c>
      <c r="P1399" s="4" t="s">
        <v>237</v>
      </c>
      <c r="Q1399" s="8" t="s">
        <v>28</v>
      </c>
      <c r="R1399" s="9">
        <f t="shared" si="22"/>
        <v>1.883381777555417E-5</v>
      </c>
      <c r="S1399" s="55">
        <f>Tabla3[[#This Row],[Subtotal]]/12</f>
        <v>89461.333333333328</v>
      </c>
    </row>
    <row r="1400" spans="1:19" x14ac:dyDescent="0.2">
      <c r="A1400" s="4">
        <v>1346</v>
      </c>
      <c r="B1400" s="2">
        <v>1070715</v>
      </c>
      <c r="C1400" s="2">
        <v>0</v>
      </c>
      <c r="D1400" s="4" t="s">
        <v>4289</v>
      </c>
      <c r="E1400" s="2">
        <v>1070715</v>
      </c>
      <c r="F1400" s="2">
        <v>203435.85</v>
      </c>
      <c r="G1400" s="2">
        <v>0</v>
      </c>
      <c r="H1400" s="4">
        <v>0</v>
      </c>
      <c r="I1400" s="4">
        <v>0</v>
      </c>
      <c r="J1400" s="4">
        <v>0</v>
      </c>
      <c r="K1400" s="4">
        <v>1274150.8500000001</v>
      </c>
      <c r="L1400" s="4" t="s">
        <v>4287</v>
      </c>
      <c r="M1400" s="4" t="s">
        <v>4288</v>
      </c>
      <c r="N1400" s="4" t="s">
        <v>20</v>
      </c>
      <c r="O1400" s="4" t="s">
        <v>257</v>
      </c>
      <c r="P1400" s="4" t="s">
        <v>257</v>
      </c>
      <c r="Q1400" s="8" t="s">
        <v>100</v>
      </c>
      <c r="R1400" s="9">
        <f t="shared" si="22"/>
        <v>1.8784326934124689E-5</v>
      </c>
      <c r="S1400" s="55">
        <f>Tabla3[[#This Row],[Subtotal]]/12</f>
        <v>89226.25</v>
      </c>
    </row>
    <row r="1401" spans="1:19" x14ac:dyDescent="0.2">
      <c r="A1401" s="4">
        <v>942</v>
      </c>
      <c r="B1401" s="2">
        <v>1068480</v>
      </c>
      <c r="C1401" s="2">
        <v>0</v>
      </c>
      <c r="D1401" s="4" t="s">
        <v>4292</v>
      </c>
      <c r="E1401" s="2">
        <v>1068480</v>
      </c>
      <c r="F1401" s="2">
        <v>203011.20000000001</v>
      </c>
      <c r="G1401" s="2">
        <v>26712</v>
      </c>
      <c r="H1401" s="4">
        <v>0</v>
      </c>
      <c r="I1401" s="4">
        <v>0</v>
      </c>
      <c r="J1401" s="4">
        <v>26712</v>
      </c>
      <c r="K1401" s="4">
        <v>1244779.2</v>
      </c>
      <c r="L1401" s="4" t="s">
        <v>4290</v>
      </c>
      <c r="M1401" s="4" t="s">
        <v>4291</v>
      </c>
      <c r="N1401" s="4" t="s">
        <v>20</v>
      </c>
      <c r="O1401" s="4" t="s">
        <v>71</v>
      </c>
      <c r="P1401" s="4" t="s">
        <v>71</v>
      </c>
      <c r="Q1401" s="8" t="s">
        <v>100</v>
      </c>
      <c r="R1401" s="9">
        <f t="shared" si="22"/>
        <v>1.8745116714133591E-5</v>
      </c>
      <c r="S1401" s="55">
        <f>Tabla3[[#This Row],[Subtotal]]/12</f>
        <v>89040</v>
      </c>
    </row>
    <row r="1402" spans="1:19" x14ac:dyDescent="0.2">
      <c r="A1402" s="4">
        <v>1225</v>
      </c>
      <c r="B1402" s="2">
        <v>1065129</v>
      </c>
      <c r="C1402" s="2">
        <v>0</v>
      </c>
      <c r="D1402" s="4" t="s">
        <v>4295</v>
      </c>
      <c r="E1402" s="2">
        <v>1065129</v>
      </c>
      <c r="F1402" s="2">
        <v>202374.51</v>
      </c>
      <c r="G1402" s="2">
        <v>0</v>
      </c>
      <c r="H1402" s="4">
        <v>0</v>
      </c>
      <c r="I1402" s="4">
        <v>0</v>
      </c>
      <c r="J1402" s="4">
        <v>0</v>
      </c>
      <c r="K1402" s="4">
        <v>1267503.51</v>
      </c>
      <c r="L1402" s="4" t="s">
        <v>4293</v>
      </c>
      <c r="M1402" s="4" t="s">
        <v>4294</v>
      </c>
      <c r="N1402" s="4" t="s">
        <v>1269</v>
      </c>
      <c r="O1402" s="4" t="s">
        <v>89</v>
      </c>
      <c r="P1402" s="4" t="s">
        <v>89</v>
      </c>
      <c r="Q1402" s="8" t="s">
        <v>100</v>
      </c>
      <c r="R1402" s="9">
        <f t="shared" si="22"/>
        <v>1.8686327699730829E-5</v>
      </c>
      <c r="S1402" s="55">
        <f>Tabla3[[#This Row],[Subtotal]]/12</f>
        <v>88760.75</v>
      </c>
    </row>
    <row r="1403" spans="1:19" x14ac:dyDescent="0.2">
      <c r="A1403" s="4">
        <v>1050</v>
      </c>
      <c r="B1403" s="2">
        <v>1059368</v>
      </c>
      <c r="C1403" s="2">
        <v>0</v>
      </c>
      <c r="D1403" s="4" t="s">
        <v>4298</v>
      </c>
      <c r="E1403" s="2">
        <v>1059368</v>
      </c>
      <c r="F1403" s="2">
        <v>201279.92</v>
      </c>
      <c r="G1403" s="2">
        <v>0</v>
      </c>
      <c r="H1403" s="4">
        <v>0</v>
      </c>
      <c r="I1403" s="4">
        <v>0</v>
      </c>
      <c r="J1403" s="4">
        <v>0</v>
      </c>
      <c r="K1403" s="4">
        <v>1260647.92</v>
      </c>
      <c r="L1403" s="4" t="s">
        <v>4296</v>
      </c>
      <c r="M1403" s="4" t="s">
        <v>4297</v>
      </c>
      <c r="N1403" s="4" t="s">
        <v>20</v>
      </c>
      <c r="O1403" s="4" t="s">
        <v>1677</v>
      </c>
      <c r="P1403" s="4" t="s">
        <v>1677</v>
      </c>
      <c r="Q1403" s="8" t="s">
        <v>144</v>
      </c>
      <c r="R1403" s="9">
        <f t="shared" si="22"/>
        <v>1.858525831388353E-5</v>
      </c>
      <c r="S1403" s="55">
        <f>Tabla3[[#This Row],[Subtotal]]/12</f>
        <v>88280.666666666672</v>
      </c>
    </row>
    <row r="1404" spans="1:19" x14ac:dyDescent="0.2">
      <c r="A1404" s="4">
        <v>709</v>
      </c>
      <c r="B1404" s="2">
        <v>1055079</v>
      </c>
      <c r="C1404" s="2">
        <v>0</v>
      </c>
      <c r="D1404" s="4" t="s">
        <v>4301</v>
      </c>
      <c r="E1404" s="2">
        <v>1055079</v>
      </c>
      <c r="F1404" s="2">
        <v>200465.01</v>
      </c>
      <c r="G1404" s="2">
        <v>0</v>
      </c>
      <c r="H1404" s="4">
        <v>0</v>
      </c>
      <c r="I1404" s="4">
        <v>0</v>
      </c>
      <c r="J1404" s="4">
        <v>0</v>
      </c>
      <c r="K1404" s="4">
        <v>1255544.01</v>
      </c>
      <c r="L1404" s="4" t="s">
        <v>4299</v>
      </c>
      <c r="M1404" s="4" t="s">
        <v>4300</v>
      </c>
      <c r="N1404" s="4" t="s">
        <v>1100</v>
      </c>
      <c r="O1404" s="4" t="s">
        <v>229</v>
      </c>
      <c r="P1404" s="4" t="s">
        <v>229</v>
      </c>
      <c r="Q1404" s="8" t="s">
        <v>100</v>
      </c>
      <c r="R1404" s="9">
        <f t="shared" si="22"/>
        <v>1.8510013287690322E-5</v>
      </c>
      <c r="S1404" s="55">
        <f>Tabla3[[#This Row],[Subtotal]]/12</f>
        <v>87923.25</v>
      </c>
    </row>
    <row r="1405" spans="1:19" x14ac:dyDescent="0.2">
      <c r="A1405" s="4">
        <v>1700</v>
      </c>
      <c r="B1405" s="2">
        <v>1044062</v>
      </c>
      <c r="C1405" s="2">
        <v>0</v>
      </c>
      <c r="D1405" s="4" t="s">
        <v>4304</v>
      </c>
      <c r="E1405" s="2">
        <v>1044062</v>
      </c>
      <c r="F1405" s="2">
        <v>198371.78</v>
      </c>
      <c r="G1405" s="2">
        <v>0</v>
      </c>
      <c r="H1405" s="4">
        <v>0</v>
      </c>
      <c r="I1405" s="4">
        <v>0</v>
      </c>
      <c r="J1405" s="4">
        <v>0</v>
      </c>
      <c r="K1405" s="4">
        <v>1242433.78</v>
      </c>
      <c r="L1405" s="4" t="s">
        <v>4302</v>
      </c>
      <c r="M1405" s="4" t="s">
        <v>4303</v>
      </c>
      <c r="N1405" s="4" t="s">
        <v>20</v>
      </c>
      <c r="O1405" s="4" t="s">
        <v>631</v>
      </c>
      <c r="P1405" s="4" t="s">
        <v>631</v>
      </c>
      <c r="Q1405" s="8" t="s">
        <v>100</v>
      </c>
      <c r="R1405" s="9">
        <f t="shared" si="22"/>
        <v>1.8316734095904225E-5</v>
      </c>
      <c r="S1405" s="55">
        <f>Tabla3[[#This Row],[Subtotal]]/12</f>
        <v>87005.166666666672</v>
      </c>
    </row>
    <row r="1406" spans="1:19" x14ac:dyDescent="0.2">
      <c r="A1406" s="4">
        <v>219</v>
      </c>
      <c r="B1406" s="2">
        <v>1043191.5</v>
      </c>
      <c r="C1406" s="2">
        <v>0</v>
      </c>
      <c r="D1406" s="4" t="s">
        <v>4307</v>
      </c>
      <c r="E1406" s="2">
        <v>1043191.5</v>
      </c>
      <c r="F1406" s="2">
        <v>196306.39</v>
      </c>
      <c r="G1406" s="2">
        <v>0</v>
      </c>
      <c r="H1406" s="4">
        <v>0</v>
      </c>
      <c r="I1406" s="4">
        <v>0</v>
      </c>
      <c r="J1406" s="4">
        <v>0</v>
      </c>
      <c r="K1406" s="4">
        <v>1239497.8899999999</v>
      </c>
      <c r="L1406" s="4" t="s">
        <v>4305</v>
      </c>
      <c r="M1406" s="4" t="s">
        <v>4306</v>
      </c>
      <c r="N1406" s="4" t="s">
        <v>20</v>
      </c>
      <c r="O1406" s="4" t="s">
        <v>1677</v>
      </c>
      <c r="P1406" s="4" t="s">
        <v>1677</v>
      </c>
      <c r="Q1406" s="8" t="s">
        <v>144</v>
      </c>
      <c r="R1406" s="9">
        <f t="shared" si="22"/>
        <v>1.8301462285388677E-5</v>
      </c>
      <c r="S1406" s="55">
        <f>Tabla3[[#This Row],[Subtotal]]/12</f>
        <v>86932.625</v>
      </c>
    </row>
    <row r="1407" spans="1:19" x14ac:dyDescent="0.2">
      <c r="A1407" s="4">
        <v>1015</v>
      </c>
      <c r="B1407" s="2">
        <v>1033060</v>
      </c>
      <c r="C1407" s="2">
        <v>0</v>
      </c>
      <c r="D1407" s="4" t="s">
        <v>4310</v>
      </c>
      <c r="E1407" s="2">
        <v>1033060</v>
      </c>
      <c r="F1407" s="2">
        <v>196281.4</v>
      </c>
      <c r="G1407" s="2">
        <v>0</v>
      </c>
      <c r="H1407" s="4">
        <v>0</v>
      </c>
      <c r="I1407" s="4">
        <v>0</v>
      </c>
      <c r="J1407" s="4">
        <v>0</v>
      </c>
      <c r="K1407" s="4">
        <v>1229341.3999999999</v>
      </c>
      <c r="L1407" s="4" t="s">
        <v>4308</v>
      </c>
      <c r="M1407" s="4" t="s">
        <v>4309</v>
      </c>
      <c r="N1407" s="4" t="s">
        <v>20</v>
      </c>
      <c r="O1407" s="4" t="s">
        <v>2863</v>
      </c>
      <c r="P1407" s="4" t="s">
        <v>2863</v>
      </c>
      <c r="Q1407" s="8" t="s">
        <v>100</v>
      </c>
      <c r="R1407" s="9">
        <f t="shared" si="22"/>
        <v>1.8123718059956993E-5</v>
      </c>
      <c r="S1407" s="55">
        <f>Tabla3[[#This Row],[Subtotal]]/12</f>
        <v>86088.333333333328</v>
      </c>
    </row>
    <row r="1408" spans="1:19" x14ac:dyDescent="0.2">
      <c r="A1408" s="4">
        <v>1332</v>
      </c>
      <c r="B1408" s="2">
        <v>1030844</v>
      </c>
      <c r="C1408" s="2">
        <v>0</v>
      </c>
      <c r="D1408" s="4" t="s">
        <v>4313</v>
      </c>
      <c r="E1408" s="2">
        <v>1030844</v>
      </c>
      <c r="F1408" s="2">
        <v>195860.36</v>
      </c>
      <c r="G1408" s="2">
        <v>0</v>
      </c>
      <c r="H1408" s="4">
        <v>0</v>
      </c>
      <c r="I1408" s="4">
        <v>0</v>
      </c>
      <c r="J1408" s="4">
        <v>0</v>
      </c>
      <c r="K1408" s="4">
        <v>1226704.3600000001</v>
      </c>
      <c r="L1408" s="4" t="s">
        <v>4311</v>
      </c>
      <c r="M1408" s="4" t="s">
        <v>4312</v>
      </c>
      <c r="N1408" s="4" t="s">
        <v>1242</v>
      </c>
      <c r="O1408" s="4" t="s">
        <v>59</v>
      </c>
      <c r="P1408" s="4" t="s">
        <v>59</v>
      </c>
      <c r="Q1408" s="8" t="s">
        <v>100</v>
      </c>
      <c r="R1408" s="9">
        <f t="shared" si="22"/>
        <v>1.8084841170695125E-5</v>
      </c>
      <c r="S1408" s="55">
        <f>Tabla3[[#This Row],[Subtotal]]/12</f>
        <v>85903.666666666672</v>
      </c>
    </row>
    <row r="1409" spans="1:19" x14ac:dyDescent="0.2">
      <c r="A1409" s="4">
        <v>1053</v>
      </c>
      <c r="B1409" s="2">
        <v>1028571.52</v>
      </c>
      <c r="C1409" s="2">
        <v>0</v>
      </c>
      <c r="D1409" s="4" t="s">
        <v>4316</v>
      </c>
      <c r="E1409" s="2">
        <v>1028571.52</v>
      </c>
      <c r="F1409" s="2">
        <v>195428.59</v>
      </c>
      <c r="G1409" s="2">
        <v>16071.43</v>
      </c>
      <c r="H1409" s="4">
        <v>0</v>
      </c>
      <c r="I1409" s="4">
        <v>0</v>
      </c>
      <c r="J1409" s="4">
        <v>16071.43</v>
      </c>
      <c r="K1409" s="4">
        <v>1207928.68</v>
      </c>
      <c r="L1409" s="4" t="s">
        <v>4314</v>
      </c>
      <c r="M1409" s="4" t="s">
        <v>4315</v>
      </c>
      <c r="N1409" s="4" t="s">
        <v>20</v>
      </c>
      <c r="O1409" s="4" t="s">
        <v>1677</v>
      </c>
      <c r="P1409" s="4" t="s">
        <v>1677</v>
      </c>
      <c r="Q1409" s="8" t="s">
        <v>144</v>
      </c>
      <c r="R1409" s="9">
        <f t="shared" si="22"/>
        <v>1.8044973411981312E-5</v>
      </c>
      <c r="S1409" s="55">
        <f>Tabla3[[#This Row],[Subtotal]]/12</f>
        <v>85714.293333333335</v>
      </c>
    </row>
    <row r="1410" spans="1:19" x14ac:dyDescent="0.2">
      <c r="A1410" s="4">
        <v>487</v>
      </c>
      <c r="B1410" s="2">
        <v>1025312</v>
      </c>
      <c r="C1410" s="2">
        <v>0</v>
      </c>
      <c r="D1410" s="4" t="s">
        <v>4319</v>
      </c>
      <c r="E1410" s="2">
        <v>1025312</v>
      </c>
      <c r="F1410" s="2">
        <v>194809.28</v>
      </c>
      <c r="G1410" s="2">
        <v>0</v>
      </c>
      <c r="H1410" s="4">
        <v>0</v>
      </c>
      <c r="I1410" s="4">
        <v>0</v>
      </c>
      <c r="J1410" s="4">
        <v>0</v>
      </c>
      <c r="K1410" s="4">
        <v>1220121.28</v>
      </c>
      <c r="L1410" s="4" t="s">
        <v>4317</v>
      </c>
      <c r="M1410" s="4" t="s">
        <v>4318</v>
      </c>
      <c r="N1410" s="4" t="s">
        <v>20</v>
      </c>
      <c r="O1410" s="4" t="s">
        <v>372</v>
      </c>
      <c r="P1410" s="4" t="s">
        <v>372</v>
      </c>
      <c r="Q1410" s="8" t="s">
        <v>100</v>
      </c>
      <c r="R1410" s="9">
        <f t="shared" si="22"/>
        <v>1.7987789297321186E-5</v>
      </c>
      <c r="S1410" s="55">
        <f>Tabla3[[#This Row],[Subtotal]]/12</f>
        <v>85442.666666666672</v>
      </c>
    </row>
    <row r="1411" spans="1:19" x14ac:dyDescent="0.2">
      <c r="A1411" s="4">
        <v>588</v>
      </c>
      <c r="B1411" s="2">
        <v>1012451</v>
      </c>
      <c r="C1411" s="2">
        <v>0</v>
      </c>
      <c r="D1411" s="4" t="s">
        <v>4322</v>
      </c>
      <c r="E1411" s="2">
        <v>1012451</v>
      </c>
      <c r="F1411" s="2">
        <v>192365.69</v>
      </c>
      <c r="G1411" s="2">
        <v>0</v>
      </c>
      <c r="H1411" s="4">
        <v>0</v>
      </c>
      <c r="I1411" s="4">
        <v>0</v>
      </c>
      <c r="J1411" s="4">
        <v>0</v>
      </c>
      <c r="K1411" s="4">
        <v>1204816.69</v>
      </c>
      <c r="L1411" s="4" t="s">
        <v>4320</v>
      </c>
      <c r="M1411" s="4" t="s">
        <v>4321</v>
      </c>
      <c r="N1411" s="4" t="s">
        <v>20</v>
      </c>
      <c r="O1411" s="4" t="s">
        <v>1157</v>
      </c>
      <c r="P1411" s="4" t="s">
        <v>1157</v>
      </c>
      <c r="Q1411" s="8" t="s">
        <v>100</v>
      </c>
      <c r="R1411" s="9">
        <f t="shared" ref="R1411:R1474" si="23">E1411/$E$1757</f>
        <v>1.7762159481077108E-5</v>
      </c>
      <c r="S1411" s="55">
        <f>Tabla3[[#This Row],[Subtotal]]/12</f>
        <v>84370.916666666672</v>
      </c>
    </row>
    <row r="1412" spans="1:19" x14ac:dyDescent="0.2">
      <c r="A1412" s="4">
        <v>1253</v>
      </c>
      <c r="B1412" s="2">
        <v>1006344</v>
      </c>
      <c r="C1412" s="2">
        <v>0</v>
      </c>
      <c r="D1412" s="4" t="s">
        <v>4325</v>
      </c>
      <c r="E1412" s="2">
        <v>1006344</v>
      </c>
      <c r="F1412" s="2">
        <v>190255.35999999999</v>
      </c>
      <c r="G1412" s="2">
        <v>0</v>
      </c>
      <c r="H1412" s="4">
        <v>0</v>
      </c>
      <c r="I1412" s="4">
        <v>0</v>
      </c>
      <c r="J1412" s="4">
        <v>0</v>
      </c>
      <c r="K1412" s="4">
        <v>1196599.3600000001</v>
      </c>
      <c r="L1412" s="4" t="s">
        <v>4323</v>
      </c>
      <c r="M1412" s="4" t="s">
        <v>4324</v>
      </c>
      <c r="N1412" s="4" t="s">
        <v>20</v>
      </c>
      <c r="O1412" s="4" t="s">
        <v>1677</v>
      </c>
      <c r="P1412" s="4" t="s">
        <v>1677</v>
      </c>
      <c r="Q1412" s="8" t="s">
        <v>144</v>
      </c>
      <c r="R1412" s="9">
        <f t="shared" si="23"/>
        <v>1.765501996721329E-5</v>
      </c>
      <c r="S1412" s="55">
        <f>Tabla3[[#This Row],[Subtotal]]/12</f>
        <v>83862</v>
      </c>
    </row>
    <row r="1413" spans="1:19" x14ac:dyDescent="0.2">
      <c r="A1413" s="4">
        <v>1100</v>
      </c>
      <c r="B1413" s="2">
        <v>1005572</v>
      </c>
      <c r="C1413" s="2">
        <v>0</v>
      </c>
      <c r="D1413" s="4" t="s">
        <v>4328</v>
      </c>
      <c r="E1413" s="2">
        <v>1005572</v>
      </c>
      <c r="F1413" s="2">
        <v>191058.68</v>
      </c>
      <c r="G1413" s="2">
        <v>25139.3</v>
      </c>
      <c r="H1413" s="4">
        <v>0</v>
      </c>
      <c r="I1413" s="4">
        <v>0</v>
      </c>
      <c r="J1413" s="4">
        <v>25139.3</v>
      </c>
      <c r="K1413" s="4">
        <v>1171491.3799999999</v>
      </c>
      <c r="L1413" s="4" t="s">
        <v>4326</v>
      </c>
      <c r="M1413" s="4" t="s">
        <v>4327</v>
      </c>
      <c r="N1413" s="4" t="s">
        <v>20</v>
      </c>
      <c r="O1413" s="4" t="s">
        <v>71</v>
      </c>
      <c r="P1413" s="4" t="s">
        <v>71</v>
      </c>
      <c r="Q1413" s="8" t="s">
        <v>100</v>
      </c>
      <c r="R1413" s="9">
        <f t="shared" si="23"/>
        <v>1.7641476213372964E-5</v>
      </c>
      <c r="S1413" s="55">
        <f>Tabla3[[#This Row],[Subtotal]]/12</f>
        <v>83797.666666666672</v>
      </c>
    </row>
    <row r="1414" spans="1:19" x14ac:dyDescent="0.2">
      <c r="A1414" s="4">
        <v>492</v>
      </c>
      <c r="B1414" s="2">
        <v>1003523</v>
      </c>
      <c r="C1414" s="2">
        <v>0</v>
      </c>
      <c r="D1414" s="4" t="s">
        <v>4331</v>
      </c>
      <c r="E1414" s="2">
        <v>1003523</v>
      </c>
      <c r="F1414" s="2">
        <v>190669.37</v>
      </c>
      <c r="G1414" s="2">
        <v>0</v>
      </c>
      <c r="H1414" s="4">
        <v>0</v>
      </c>
      <c r="I1414" s="4">
        <v>0</v>
      </c>
      <c r="J1414" s="4">
        <v>0</v>
      </c>
      <c r="K1414" s="4">
        <v>1194192.3700000001</v>
      </c>
      <c r="L1414" s="4" t="s">
        <v>4329</v>
      </c>
      <c r="M1414" s="4" t="s">
        <v>4330</v>
      </c>
      <c r="N1414" s="4" t="s">
        <v>20</v>
      </c>
      <c r="O1414" s="4" t="s">
        <v>631</v>
      </c>
      <c r="P1414" s="4" t="s">
        <v>631</v>
      </c>
      <c r="Q1414" s="8" t="s">
        <v>100</v>
      </c>
      <c r="R1414" s="9">
        <f t="shared" si="23"/>
        <v>1.7605529125783809E-5</v>
      </c>
      <c r="S1414" s="55">
        <f>Tabla3[[#This Row],[Subtotal]]/12</f>
        <v>83626.916666666672</v>
      </c>
    </row>
    <row r="1415" spans="1:19" x14ac:dyDescent="0.2">
      <c r="A1415" s="4">
        <v>1358</v>
      </c>
      <c r="B1415" s="2">
        <v>998087</v>
      </c>
      <c r="C1415" s="2">
        <v>0</v>
      </c>
      <c r="D1415" s="4" t="s">
        <v>4334</v>
      </c>
      <c r="E1415" s="2">
        <v>998087</v>
      </c>
      <c r="F1415" s="2">
        <v>189636.53</v>
      </c>
      <c r="G1415" s="2">
        <v>0</v>
      </c>
      <c r="H1415" s="4">
        <v>0</v>
      </c>
      <c r="I1415" s="4">
        <v>0</v>
      </c>
      <c r="J1415" s="4">
        <v>0</v>
      </c>
      <c r="K1415" s="4">
        <v>1187723.53</v>
      </c>
      <c r="L1415" s="4" t="s">
        <v>4332</v>
      </c>
      <c r="M1415" s="4" t="s">
        <v>4333</v>
      </c>
      <c r="N1415" s="4" t="s">
        <v>20</v>
      </c>
      <c r="O1415" s="4" t="s">
        <v>1562</v>
      </c>
      <c r="P1415" s="4" t="s">
        <v>1562</v>
      </c>
      <c r="Q1415" s="8" t="s">
        <v>100</v>
      </c>
      <c r="R1415" s="9">
        <f t="shared" si="23"/>
        <v>1.7510161449778615E-5</v>
      </c>
      <c r="S1415" s="55">
        <f>Tabla3[[#This Row],[Subtotal]]/12</f>
        <v>83173.916666666672</v>
      </c>
    </row>
    <row r="1416" spans="1:19" x14ac:dyDescent="0.2">
      <c r="A1416" s="4">
        <v>1488</v>
      </c>
      <c r="B1416" s="2">
        <v>985764</v>
      </c>
      <c r="C1416" s="2">
        <v>0</v>
      </c>
      <c r="D1416" s="4" t="s">
        <v>4337</v>
      </c>
      <c r="E1416" s="2">
        <v>985764</v>
      </c>
      <c r="F1416" s="2">
        <v>187295.16</v>
      </c>
      <c r="G1416" s="2">
        <v>0</v>
      </c>
      <c r="H1416" s="4">
        <v>0</v>
      </c>
      <c r="I1416" s="4">
        <v>0</v>
      </c>
      <c r="J1416" s="4">
        <v>0</v>
      </c>
      <c r="K1416" s="4">
        <v>1173059.1599999999</v>
      </c>
      <c r="L1416" s="4" t="s">
        <v>4335</v>
      </c>
      <c r="M1416" s="4" t="s">
        <v>4336</v>
      </c>
      <c r="N1416" s="4" t="s">
        <v>20</v>
      </c>
      <c r="O1416" s="4" t="s">
        <v>372</v>
      </c>
      <c r="P1416" s="4" t="s">
        <v>372</v>
      </c>
      <c r="Q1416" s="8" t="s">
        <v>100</v>
      </c>
      <c r="R1416" s="9">
        <f t="shared" si="23"/>
        <v>1.7293970156288545E-5</v>
      </c>
      <c r="S1416" s="55">
        <f>Tabla3[[#This Row],[Subtotal]]/12</f>
        <v>82147</v>
      </c>
    </row>
    <row r="1417" spans="1:19" x14ac:dyDescent="0.2">
      <c r="A1417" s="4">
        <v>298</v>
      </c>
      <c r="B1417" s="2">
        <v>983530</v>
      </c>
      <c r="C1417" s="2">
        <v>0</v>
      </c>
      <c r="D1417" s="4" t="s">
        <v>4340</v>
      </c>
      <c r="E1417" s="2">
        <v>983530</v>
      </c>
      <c r="F1417" s="2">
        <v>186870.7</v>
      </c>
      <c r="G1417" s="2">
        <v>0</v>
      </c>
      <c r="H1417" s="4">
        <v>0</v>
      </c>
      <c r="I1417" s="4">
        <v>0</v>
      </c>
      <c r="J1417" s="4">
        <v>0</v>
      </c>
      <c r="K1417" s="4">
        <v>1170400.7</v>
      </c>
      <c r="L1417" s="4" t="s">
        <v>4338</v>
      </c>
      <c r="M1417" s="4" t="s">
        <v>4339</v>
      </c>
      <c r="N1417" s="4" t="s">
        <v>322</v>
      </c>
      <c r="O1417" s="4" t="s">
        <v>229</v>
      </c>
      <c r="P1417" s="4" t="s">
        <v>229</v>
      </c>
      <c r="Q1417" s="8" t="s">
        <v>100</v>
      </c>
      <c r="R1417" s="9">
        <f t="shared" si="23"/>
        <v>1.7254777480020039E-5</v>
      </c>
      <c r="S1417" s="55">
        <f>Tabla3[[#This Row],[Subtotal]]/12</f>
        <v>81960.833333333328</v>
      </c>
    </row>
    <row r="1418" spans="1:19" x14ac:dyDescent="0.2">
      <c r="A1418" s="4">
        <v>1648</v>
      </c>
      <c r="B1418" s="2">
        <v>980631</v>
      </c>
      <c r="C1418" s="2">
        <v>0</v>
      </c>
      <c r="D1418" s="4" t="s">
        <v>4343</v>
      </c>
      <c r="E1418" s="2">
        <v>980631</v>
      </c>
      <c r="F1418" s="2">
        <v>186319.89</v>
      </c>
      <c r="G1418" s="2">
        <v>0</v>
      </c>
      <c r="H1418" s="4">
        <v>0</v>
      </c>
      <c r="I1418" s="4">
        <v>0</v>
      </c>
      <c r="J1418" s="4">
        <v>0</v>
      </c>
      <c r="K1418" s="4">
        <v>1166950.8899999999</v>
      </c>
      <c r="L1418" s="4" t="s">
        <v>4341</v>
      </c>
      <c r="M1418" s="4" t="s">
        <v>4342</v>
      </c>
      <c r="N1418" s="4" t="s">
        <v>368</v>
      </c>
      <c r="O1418" s="4" t="s">
        <v>89</v>
      </c>
      <c r="P1418" s="4" t="s">
        <v>89</v>
      </c>
      <c r="Q1418" s="8" t="s">
        <v>100</v>
      </c>
      <c r="R1418" s="9">
        <f t="shared" si="23"/>
        <v>1.7203918228228453E-5</v>
      </c>
      <c r="S1418" s="55">
        <f>Tabla3[[#This Row],[Subtotal]]/12</f>
        <v>81719.25</v>
      </c>
    </row>
    <row r="1419" spans="1:19" x14ac:dyDescent="0.2">
      <c r="A1419" s="4">
        <v>596</v>
      </c>
      <c r="B1419" s="2">
        <v>964261</v>
      </c>
      <c r="C1419" s="2">
        <v>0</v>
      </c>
      <c r="D1419" s="4" t="s">
        <v>4346</v>
      </c>
      <c r="E1419" s="2">
        <v>964261</v>
      </c>
      <c r="F1419" s="2">
        <v>183209.59</v>
      </c>
      <c r="G1419" s="2">
        <v>11238.97</v>
      </c>
      <c r="H1419" s="4">
        <v>0</v>
      </c>
      <c r="I1419" s="4">
        <v>0</v>
      </c>
      <c r="J1419" s="4">
        <v>11238.97</v>
      </c>
      <c r="K1419" s="4">
        <v>1136231.6200000001</v>
      </c>
      <c r="L1419" s="4" t="s">
        <v>4344</v>
      </c>
      <c r="M1419" s="4" t="s">
        <v>4345</v>
      </c>
      <c r="N1419" s="4" t="s">
        <v>20</v>
      </c>
      <c r="O1419" s="4" t="s">
        <v>925</v>
      </c>
      <c r="P1419" s="4" t="s">
        <v>925</v>
      </c>
      <c r="Q1419" s="8" t="s">
        <v>100</v>
      </c>
      <c r="R1419" s="9">
        <f t="shared" si="23"/>
        <v>1.6916727489412222E-5</v>
      </c>
      <c r="S1419" s="55">
        <f>Tabla3[[#This Row],[Subtotal]]/12</f>
        <v>80355.083333333328</v>
      </c>
    </row>
    <row r="1420" spans="1:19" x14ac:dyDescent="0.2">
      <c r="A1420" s="4">
        <v>467</v>
      </c>
      <c r="B1420" s="2">
        <v>963036</v>
      </c>
      <c r="C1420" s="2">
        <v>0</v>
      </c>
      <c r="D1420" s="4" t="s">
        <v>4283</v>
      </c>
      <c r="E1420" s="2">
        <v>963036</v>
      </c>
      <c r="F1420" s="2">
        <v>182976.84</v>
      </c>
      <c r="G1420" s="2">
        <v>0</v>
      </c>
      <c r="H1420" s="4">
        <v>0</v>
      </c>
      <c r="I1420" s="4">
        <v>0</v>
      </c>
      <c r="J1420" s="4">
        <v>0</v>
      </c>
      <c r="K1420" s="4">
        <v>1146012.8400000001</v>
      </c>
      <c r="L1420" s="4" t="s">
        <v>4281</v>
      </c>
      <c r="M1420" s="4" t="s">
        <v>4282</v>
      </c>
      <c r="N1420" s="4" t="s">
        <v>20</v>
      </c>
      <c r="O1420" s="4" t="s">
        <v>1517</v>
      </c>
      <c r="P1420" s="4" t="s">
        <v>603</v>
      </c>
      <c r="Q1420" s="8" t="s">
        <v>100</v>
      </c>
      <c r="R1420" s="9">
        <f t="shared" si="23"/>
        <v>1.6895236429238129E-5</v>
      </c>
      <c r="S1420" s="55">
        <f>Tabla3[[#This Row],[Subtotal]]/12</f>
        <v>80253</v>
      </c>
    </row>
    <row r="1421" spans="1:19" x14ac:dyDescent="0.2">
      <c r="A1421" s="4">
        <v>943</v>
      </c>
      <c r="B1421" s="2">
        <v>961892</v>
      </c>
      <c r="C1421" s="2">
        <v>0</v>
      </c>
      <c r="D1421" s="4" t="s">
        <v>4349</v>
      </c>
      <c r="E1421" s="2">
        <v>961892</v>
      </c>
      <c r="F1421" s="2">
        <v>182759.48</v>
      </c>
      <c r="G1421" s="2">
        <v>24047.3</v>
      </c>
      <c r="H1421" s="4">
        <v>0</v>
      </c>
      <c r="I1421" s="4">
        <v>0</v>
      </c>
      <c r="J1421" s="4">
        <v>24047.3</v>
      </c>
      <c r="K1421" s="4">
        <v>1120604.18</v>
      </c>
      <c r="L1421" s="4" t="s">
        <v>4347</v>
      </c>
      <c r="M1421" s="4" t="s">
        <v>4348</v>
      </c>
      <c r="N1421" s="4" t="s">
        <v>20</v>
      </c>
      <c r="O1421" s="4" t="s">
        <v>386</v>
      </c>
      <c r="P1421" s="4" t="s">
        <v>386</v>
      </c>
      <c r="Q1421" s="8" t="s">
        <v>408</v>
      </c>
      <c r="R1421" s="9">
        <f t="shared" si="23"/>
        <v>1.6875166410593916E-5</v>
      </c>
      <c r="S1421" s="55">
        <f>Tabla3[[#This Row],[Subtotal]]/12</f>
        <v>80157.666666666672</v>
      </c>
    </row>
    <row r="1422" spans="1:19" x14ac:dyDescent="0.2">
      <c r="A1422" s="4">
        <v>297</v>
      </c>
      <c r="B1422" s="2">
        <v>946155.95</v>
      </c>
      <c r="C1422" s="2">
        <v>0</v>
      </c>
      <c r="D1422" s="4" t="s">
        <v>4352</v>
      </c>
      <c r="E1422" s="2">
        <v>946155.95</v>
      </c>
      <c r="F1422" s="2">
        <v>179769.63</v>
      </c>
      <c r="G1422" s="2">
        <v>0</v>
      </c>
      <c r="H1422" s="4">
        <v>0</v>
      </c>
      <c r="I1422" s="4">
        <v>0</v>
      </c>
      <c r="J1422" s="4">
        <v>0</v>
      </c>
      <c r="K1422" s="4">
        <v>1125925.58</v>
      </c>
      <c r="L1422" s="4" t="s">
        <v>4350</v>
      </c>
      <c r="M1422" s="4" t="s">
        <v>4351</v>
      </c>
      <c r="N1422" s="4" t="s">
        <v>20</v>
      </c>
      <c r="O1422" s="4" t="s">
        <v>76</v>
      </c>
      <c r="P1422" s="4" t="s">
        <v>76</v>
      </c>
      <c r="Q1422" s="8" t="s">
        <v>144</v>
      </c>
      <c r="R1422" s="9">
        <f t="shared" si="23"/>
        <v>1.6599097514714309E-5</v>
      </c>
      <c r="S1422" s="55">
        <f>Tabla3[[#This Row],[Subtotal]]/12</f>
        <v>78846.329166666663</v>
      </c>
    </row>
    <row r="1423" spans="1:19" x14ac:dyDescent="0.2">
      <c r="A1423" s="4">
        <v>394</v>
      </c>
      <c r="B1423" s="2">
        <v>945655.46</v>
      </c>
      <c r="C1423" s="2">
        <v>0</v>
      </c>
      <c r="D1423" s="4" t="s">
        <v>4355</v>
      </c>
      <c r="E1423" s="2">
        <v>945655.46</v>
      </c>
      <c r="F1423" s="2">
        <v>179674.54</v>
      </c>
      <c r="G1423" s="2">
        <v>23641.39</v>
      </c>
      <c r="H1423" s="4">
        <v>0</v>
      </c>
      <c r="I1423" s="4">
        <v>0</v>
      </c>
      <c r="J1423" s="4">
        <v>23641.39</v>
      </c>
      <c r="K1423" s="4">
        <v>1101688.6100000001</v>
      </c>
      <c r="L1423" s="4" t="s">
        <v>4353</v>
      </c>
      <c r="M1423" s="4" t="s">
        <v>4354</v>
      </c>
      <c r="N1423" s="4" t="s">
        <v>272</v>
      </c>
      <c r="O1423" s="4" t="s">
        <v>1677</v>
      </c>
      <c r="P1423" s="4" t="s">
        <v>1677</v>
      </c>
      <c r="Q1423" s="8" t="s">
        <v>144</v>
      </c>
      <c r="R1423" s="9">
        <f t="shared" si="23"/>
        <v>1.6590317056994691E-5</v>
      </c>
      <c r="S1423" s="55">
        <f>Tabla3[[#This Row],[Subtotal]]/12</f>
        <v>78804.621666666659</v>
      </c>
    </row>
    <row r="1424" spans="1:19" x14ac:dyDescent="0.2">
      <c r="A1424" s="4">
        <v>1464</v>
      </c>
      <c r="B1424" s="2">
        <v>945016</v>
      </c>
      <c r="C1424" s="2">
        <v>0</v>
      </c>
      <c r="D1424" s="4" t="s">
        <v>4358</v>
      </c>
      <c r="E1424" s="2">
        <v>945016</v>
      </c>
      <c r="F1424" s="2">
        <v>179553.04</v>
      </c>
      <c r="G1424" s="2">
        <v>0</v>
      </c>
      <c r="H1424" s="4">
        <v>0</v>
      </c>
      <c r="I1424" s="4">
        <v>0</v>
      </c>
      <c r="J1424" s="4">
        <v>0</v>
      </c>
      <c r="K1424" s="4">
        <v>1124569.04</v>
      </c>
      <c r="L1424" s="4" t="s">
        <v>4356</v>
      </c>
      <c r="M1424" s="4" t="s">
        <v>4357</v>
      </c>
      <c r="N1424" s="4" t="s">
        <v>20</v>
      </c>
      <c r="O1424" s="4" t="s">
        <v>2863</v>
      </c>
      <c r="P1424" s="4" t="s">
        <v>2863</v>
      </c>
      <c r="Q1424" s="8" t="s">
        <v>100</v>
      </c>
      <c r="R1424" s="9">
        <f t="shared" si="23"/>
        <v>1.6579098548146591E-5</v>
      </c>
      <c r="S1424" s="55">
        <f>Tabla3[[#This Row],[Subtotal]]/12</f>
        <v>78751.333333333328</v>
      </c>
    </row>
    <row r="1425" spans="1:19" x14ac:dyDescent="0.2">
      <c r="A1425" s="4">
        <v>11</v>
      </c>
      <c r="B1425" s="2">
        <v>941892</v>
      </c>
      <c r="C1425" s="2">
        <v>0</v>
      </c>
      <c r="D1425" s="4" t="s">
        <v>4361</v>
      </c>
      <c r="E1425" s="2">
        <v>941892</v>
      </c>
      <c r="F1425" s="2">
        <v>178959.48</v>
      </c>
      <c r="G1425" s="2">
        <v>0</v>
      </c>
      <c r="H1425" s="4">
        <v>0</v>
      </c>
      <c r="I1425" s="4">
        <v>0</v>
      </c>
      <c r="J1425" s="4">
        <v>0</v>
      </c>
      <c r="K1425" s="4">
        <v>1120851.48</v>
      </c>
      <c r="L1425" s="4" t="s">
        <v>4359</v>
      </c>
      <c r="M1425" s="4" t="s">
        <v>4360</v>
      </c>
      <c r="N1425" s="4" t="s">
        <v>20</v>
      </c>
      <c r="O1425" s="4" t="s">
        <v>316</v>
      </c>
      <c r="P1425" s="4" t="s">
        <v>316</v>
      </c>
      <c r="Q1425" s="8" t="s">
        <v>100</v>
      </c>
      <c r="R1425" s="9">
        <f t="shared" si="23"/>
        <v>1.6524291958772008E-5</v>
      </c>
      <c r="S1425" s="55">
        <f>Tabla3[[#This Row],[Subtotal]]/12</f>
        <v>78491</v>
      </c>
    </row>
    <row r="1426" spans="1:19" x14ac:dyDescent="0.2">
      <c r="A1426" s="4">
        <v>354</v>
      </c>
      <c r="B1426" s="2">
        <v>939135</v>
      </c>
      <c r="C1426" s="2">
        <v>0</v>
      </c>
      <c r="D1426" s="4" t="s">
        <v>4364</v>
      </c>
      <c r="E1426" s="2">
        <v>939135</v>
      </c>
      <c r="F1426" s="2">
        <v>107171.02</v>
      </c>
      <c r="G1426" s="2">
        <v>0</v>
      </c>
      <c r="H1426" s="4">
        <v>0</v>
      </c>
      <c r="I1426" s="4">
        <v>0</v>
      </c>
      <c r="J1426" s="4">
        <v>0</v>
      </c>
      <c r="K1426" s="4">
        <v>1046306.02</v>
      </c>
      <c r="L1426" s="4" t="s">
        <v>4362</v>
      </c>
      <c r="M1426" s="4" t="s">
        <v>4363</v>
      </c>
      <c r="N1426" s="4" t="s">
        <v>58</v>
      </c>
      <c r="O1426" s="4" t="s">
        <v>3907</v>
      </c>
      <c r="P1426" s="4" t="s">
        <v>3907</v>
      </c>
      <c r="Q1426" s="8" t="s">
        <v>4365</v>
      </c>
      <c r="R1426" s="9">
        <f t="shared" si="23"/>
        <v>1.6475923915588361E-5</v>
      </c>
      <c r="S1426" s="55">
        <f>Tabla3[[#This Row],[Subtotal]]/12</f>
        <v>78261.25</v>
      </c>
    </row>
    <row r="1427" spans="1:19" x14ac:dyDescent="0.2">
      <c r="A1427" s="4">
        <v>335</v>
      </c>
      <c r="B1427" s="2">
        <v>937101.03</v>
      </c>
      <c r="C1427" s="2">
        <v>0</v>
      </c>
      <c r="D1427" s="4" t="s">
        <v>4368</v>
      </c>
      <c r="E1427" s="2">
        <v>937101.03</v>
      </c>
      <c r="F1427" s="2">
        <v>178049.2</v>
      </c>
      <c r="G1427" s="2">
        <v>0</v>
      </c>
      <c r="H1427" s="4">
        <v>0</v>
      </c>
      <c r="I1427" s="4">
        <v>0</v>
      </c>
      <c r="J1427" s="4">
        <v>0</v>
      </c>
      <c r="K1427" s="4">
        <v>1115150.23</v>
      </c>
      <c r="L1427" s="4" t="s">
        <v>4366</v>
      </c>
      <c r="M1427" s="4" t="s">
        <v>4367</v>
      </c>
      <c r="N1427" s="4" t="s">
        <v>1107</v>
      </c>
      <c r="O1427" s="4" t="s">
        <v>1677</v>
      </c>
      <c r="P1427" s="4" t="s">
        <v>1677</v>
      </c>
      <c r="Q1427" s="8" t="s">
        <v>144</v>
      </c>
      <c r="R1427" s="9">
        <f t="shared" si="23"/>
        <v>1.6440240510149748E-5</v>
      </c>
      <c r="S1427" s="55">
        <f>Tabla3[[#This Row],[Subtotal]]/12</f>
        <v>78091.752500000002</v>
      </c>
    </row>
    <row r="1428" spans="1:19" x14ac:dyDescent="0.2">
      <c r="A1428" s="4">
        <v>816</v>
      </c>
      <c r="B1428" s="2">
        <v>936802</v>
      </c>
      <c r="C1428" s="2">
        <v>0</v>
      </c>
      <c r="D1428" s="4" t="s">
        <v>4371</v>
      </c>
      <c r="E1428" s="2">
        <v>936802</v>
      </c>
      <c r="F1428" s="2">
        <v>177992.38</v>
      </c>
      <c r="G1428" s="2">
        <v>0</v>
      </c>
      <c r="H1428" s="4">
        <v>0</v>
      </c>
      <c r="I1428" s="4">
        <v>0</v>
      </c>
      <c r="J1428" s="4">
        <v>0</v>
      </c>
      <c r="K1428" s="4">
        <v>1114794.3799999999</v>
      </c>
      <c r="L1428" s="4" t="s">
        <v>4369</v>
      </c>
      <c r="M1428" s="4" t="s">
        <v>4370</v>
      </c>
      <c r="N1428" s="4" t="s">
        <v>20</v>
      </c>
      <c r="O1428" s="4" t="s">
        <v>768</v>
      </c>
      <c r="P1428" s="4" t="s">
        <v>768</v>
      </c>
      <c r="Q1428" s="8" t="s">
        <v>100</v>
      </c>
      <c r="R1428" s="9">
        <f t="shared" si="23"/>
        <v>1.6434994410783334E-5</v>
      </c>
      <c r="S1428" s="55">
        <f>Tabla3[[#This Row],[Subtotal]]/12</f>
        <v>78066.833333333328</v>
      </c>
    </row>
    <row r="1429" spans="1:19" x14ac:dyDescent="0.2">
      <c r="A1429" s="4">
        <v>126</v>
      </c>
      <c r="B1429" s="2">
        <v>929523</v>
      </c>
      <c r="C1429" s="2">
        <v>0</v>
      </c>
      <c r="D1429" s="4" t="s">
        <v>4374</v>
      </c>
      <c r="E1429" s="2">
        <v>929523</v>
      </c>
      <c r="F1429" s="2">
        <v>176609.37</v>
      </c>
      <c r="G1429" s="2">
        <v>0</v>
      </c>
      <c r="H1429" s="4">
        <v>0</v>
      </c>
      <c r="I1429" s="4">
        <v>0</v>
      </c>
      <c r="J1429" s="4">
        <v>0</v>
      </c>
      <c r="K1429" s="4">
        <v>1106132.3700000001</v>
      </c>
      <c r="L1429" s="4" t="s">
        <v>4372</v>
      </c>
      <c r="M1429" s="4" t="s">
        <v>4373</v>
      </c>
      <c r="N1429" s="4" t="s">
        <v>801</v>
      </c>
      <c r="O1429" s="4" t="s">
        <v>2025</v>
      </c>
      <c r="P1429" s="4" t="s">
        <v>2025</v>
      </c>
      <c r="Q1429" s="8" t="s">
        <v>100</v>
      </c>
      <c r="R1429" s="9">
        <f t="shared" si="23"/>
        <v>1.6307293654042751E-5</v>
      </c>
      <c r="S1429" s="55">
        <f>Tabla3[[#This Row],[Subtotal]]/12</f>
        <v>77460.25</v>
      </c>
    </row>
    <row r="1430" spans="1:19" x14ac:dyDescent="0.2">
      <c r="A1430" s="4">
        <v>1678</v>
      </c>
      <c r="B1430" s="2">
        <v>925974</v>
      </c>
      <c r="C1430" s="2">
        <v>0</v>
      </c>
      <c r="D1430" s="4" t="s">
        <v>4377</v>
      </c>
      <c r="E1430" s="2">
        <v>925974</v>
      </c>
      <c r="F1430" s="2">
        <v>175935.06</v>
      </c>
      <c r="G1430" s="2">
        <v>23149.35</v>
      </c>
      <c r="H1430" s="4">
        <v>0</v>
      </c>
      <c r="I1430" s="4">
        <v>0</v>
      </c>
      <c r="J1430" s="4">
        <v>23149.35</v>
      </c>
      <c r="K1430" s="4">
        <v>1078759.71</v>
      </c>
      <c r="L1430" s="4" t="s">
        <v>4375</v>
      </c>
      <c r="M1430" s="4" t="s">
        <v>4376</v>
      </c>
      <c r="N1430" s="4" t="s">
        <v>3630</v>
      </c>
      <c r="O1430" s="4" t="s">
        <v>27</v>
      </c>
      <c r="P1430" s="4" t="s">
        <v>27</v>
      </c>
      <c r="Q1430" s="8" t="s">
        <v>100</v>
      </c>
      <c r="R1430" s="9">
        <f t="shared" si="23"/>
        <v>1.6245030982566953E-5</v>
      </c>
      <c r="S1430" s="55">
        <f>Tabla3[[#This Row],[Subtotal]]/12</f>
        <v>77164.5</v>
      </c>
    </row>
    <row r="1431" spans="1:19" x14ac:dyDescent="0.2">
      <c r="A1431" s="4">
        <v>882</v>
      </c>
      <c r="B1431" s="2">
        <v>924951</v>
      </c>
      <c r="C1431" s="2">
        <v>0</v>
      </c>
      <c r="D1431" s="4" t="s">
        <v>4380</v>
      </c>
      <c r="E1431" s="2">
        <v>924951</v>
      </c>
      <c r="F1431" s="2">
        <v>175740.69</v>
      </c>
      <c r="G1431" s="2">
        <v>0</v>
      </c>
      <c r="H1431" s="4">
        <v>0</v>
      </c>
      <c r="I1431" s="4">
        <v>0</v>
      </c>
      <c r="J1431" s="4">
        <v>0</v>
      </c>
      <c r="K1431" s="4">
        <v>1100691.69</v>
      </c>
      <c r="L1431" s="4" t="s">
        <v>4378</v>
      </c>
      <c r="M1431" s="4" t="s">
        <v>4379</v>
      </c>
      <c r="N1431" s="4" t="s">
        <v>20</v>
      </c>
      <c r="O1431" s="4" t="s">
        <v>316</v>
      </c>
      <c r="P1431" s="4" t="s">
        <v>316</v>
      </c>
      <c r="Q1431" s="8" t="s">
        <v>100</v>
      </c>
      <c r="R1431" s="9">
        <f t="shared" si="23"/>
        <v>1.6227083754356263E-5</v>
      </c>
      <c r="S1431" s="55">
        <f>Tabla3[[#This Row],[Subtotal]]/12</f>
        <v>77079.25</v>
      </c>
    </row>
    <row r="1432" spans="1:19" x14ac:dyDescent="0.2">
      <c r="A1432" s="4">
        <v>1509</v>
      </c>
      <c r="B1432" s="2">
        <v>923880</v>
      </c>
      <c r="C1432" s="2">
        <v>0</v>
      </c>
      <c r="D1432" s="4" t="s">
        <v>4383</v>
      </c>
      <c r="E1432" s="2">
        <v>923880</v>
      </c>
      <c r="F1432" s="2">
        <v>175537.2</v>
      </c>
      <c r="G1432" s="2">
        <v>0</v>
      </c>
      <c r="H1432" s="4">
        <v>0</v>
      </c>
      <c r="I1432" s="4">
        <v>0</v>
      </c>
      <c r="J1432" s="4">
        <v>0</v>
      </c>
      <c r="K1432" s="4">
        <v>1099417.2</v>
      </c>
      <c r="L1432" s="4" t="s">
        <v>4381</v>
      </c>
      <c r="M1432" s="4" t="s">
        <v>4382</v>
      </c>
      <c r="N1432" s="4" t="s">
        <v>20</v>
      </c>
      <c r="O1432" s="4" t="s">
        <v>768</v>
      </c>
      <c r="P1432" s="4" t="s">
        <v>768</v>
      </c>
      <c r="Q1432" s="8" t="s">
        <v>100</v>
      </c>
      <c r="R1432" s="9">
        <f t="shared" si="23"/>
        <v>1.62082944274612E-5</v>
      </c>
      <c r="S1432" s="55">
        <f>Tabla3[[#This Row],[Subtotal]]/12</f>
        <v>76990</v>
      </c>
    </row>
    <row r="1433" spans="1:19" x14ac:dyDescent="0.2">
      <c r="A1433" s="4">
        <v>431</v>
      </c>
      <c r="B1433" s="2">
        <v>921338</v>
      </c>
      <c r="C1433" s="2">
        <v>0</v>
      </c>
      <c r="D1433" s="4" t="s">
        <v>4386</v>
      </c>
      <c r="E1433" s="2">
        <v>921338</v>
      </c>
      <c r="F1433" s="2">
        <v>175054.22</v>
      </c>
      <c r="G1433" s="2">
        <v>20065.45</v>
      </c>
      <c r="H1433" s="4">
        <v>0</v>
      </c>
      <c r="I1433" s="4">
        <v>0</v>
      </c>
      <c r="J1433" s="4">
        <v>20065.45</v>
      </c>
      <c r="K1433" s="4">
        <v>1076326.77</v>
      </c>
      <c r="L1433" s="4" t="s">
        <v>4384</v>
      </c>
      <c r="M1433" s="4" t="s">
        <v>4385</v>
      </c>
      <c r="N1433" s="4" t="s">
        <v>20</v>
      </c>
      <c r="O1433" s="4" t="s">
        <v>1043</v>
      </c>
      <c r="P1433" s="4" t="s">
        <v>1043</v>
      </c>
      <c r="Q1433" s="8" t="s">
        <v>100</v>
      </c>
      <c r="R1433" s="9">
        <f t="shared" si="23"/>
        <v>1.6163698284634634E-5</v>
      </c>
      <c r="S1433" s="55">
        <f>Tabla3[[#This Row],[Subtotal]]/12</f>
        <v>76778.166666666672</v>
      </c>
    </row>
    <row r="1434" spans="1:19" x14ac:dyDescent="0.2">
      <c r="A1434" s="4">
        <v>1556</v>
      </c>
      <c r="B1434" s="2">
        <v>920730</v>
      </c>
      <c r="C1434" s="2">
        <v>0</v>
      </c>
      <c r="D1434" s="4" t="s">
        <v>4389</v>
      </c>
      <c r="E1434" s="2">
        <v>920730</v>
      </c>
      <c r="F1434" s="2">
        <v>174938.7</v>
      </c>
      <c r="G1434" s="2">
        <v>0</v>
      </c>
      <c r="H1434" s="4">
        <v>0</v>
      </c>
      <c r="I1434" s="4">
        <v>0</v>
      </c>
      <c r="J1434" s="4">
        <v>0</v>
      </c>
      <c r="K1434" s="4">
        <v>1095668.7</v>
      </c>
      <c r="L1434" s="4" t="s">
        <v>4387</v>
      </c>
      <c r="M1434" s="4" t="s">
        <v>4388</v>
      </c>
      <c r="N1434" s="4" t="s">
        <v>20</v>
      </c>
      <c r="O1434" s="4" t="s">
        <v>372</v>
      </c>
      <c r="P1434" s="4" t="s">
        <v>372</v>
      </c>
      <c r="Q1434" s="8" t="s">
        <v>100</v>
      </c>
      <c r="R1434" s="9">
        <f t="shared" si="23"/>
        <v>1.6153031701299249E-5</v>
      </c>
      <c r="S1434" s="55">
        <f>Tabla3[[#This Row],[Subtotal]]/12</f>
        <v>76727.5</v>
      </c>
    </row>
    <row r="1435" spans="1:19" x14ac:dyDescent="0.2">
      <c r="A1435" s="4">
        <v>1719</v>
      </c>
      <c r="B1435" s="2">
        <v>902430</v>
      </c>
      <c r="C1435" s="2">
        <v>0</v>
      </c>
      <c r="D1435" s="4" t="s">
        <v>4392</v>
      </c>
      <c r="E1435" s="2">
        <v>902430</v>
      </c>
      <c r="F1435" s="2">
        <v>171461.7</v>
      </c>
      <c r="G1435" s="2">
        <v>0</v>
      </c>
      <c r="H1435" s="4">
        <v>0</v>
      </c>
      <c r="I1435" s="4">
        <v>0</v>
      </c>
      <c r="J1435" s="4">
        <v>0</v>
      </c>
      <c r="K1435" s="4">
        <v>1073891.7</v>
      </c>
      <c r="L1435" s="4" t="s">
        <v>4390</v>
      </c>
      <c r="M1435" s="4" t="s">
        <v>4391</v>
      </c>
      <c r="N1435" s="4" t="s">
        <v>20</v>
      </c>
      <c r="O1435" s="4" t="s">
        <v>257</v>
      </c>
      <c r="P1435" s="4" t="s">
        <v>257</v>
      </c>
      <c r="Q1435" s="8" t="s">
        <v>100</v>
      </c>
      <c r="R1435" s="9">
        <f t="shared" si="23"/>
        <v>1.5831981577882202E-5</v>
      </c>
      <c r="S1435" s="55">
        <f>Tabla3[[#This Row],[Subtotal]]/12</f>
        <v>75202.5</v>
      </c>
    </row>
    <row r="1436" spans="1:19" x14ac:dyDescent="0.2">
      <c r="A1436" s="4">
        <v>215</v>
      </c>
      <c r="B1436" s="2">
        <v>894414</v>
      </c>
      <c r="C1436" s="2">
        <v>0</v>
      </c>
      <c r="D1436" s="4" t="s">
        <v>4395</v>
      </c>
      <c r="E1436" s="2">
        <v>894414</v>
      </c>
      <c r="F1436" s="2">
        <v>169938.66</v>
      </c>
      <c r="G1436" s="2">
        <v>0</v>
      </c>
      <c r="H1436" s="4">
        <v>0</v>
      </c>
      <c r="I1436" s="4">
        <v>0</v>
      </c>
      <c r="J1436" s="4">
        <v>0</v>
      </c>
      <c r="K1436" s="4">
        <v>1064352.6599999999</v>
      </c>
      <c r="L1436" s="4" t="s">
        <v>4393</v>
      </c>
      <c r="M1436" s="4" t="s">
        <v>4394</v>
      </c>
      <c r="N1436" s="4" t="s">
        <v>104</v>
      </c>
      <c r="O1436" s="4" t="s">
        <v>105</v>
      </c>
      <c r="P1436" s="4" t="s">
        <v>105</v>
      </c>
      <c r="Q1436" s="8" t="s">
        <v>100</v>
      </c>
      <c r="R1436" s="9">
        <f t="shared" si="23"/>
        <v>1.5691351097591981E-5</v>
      </c>
      <c r="S1436" s="55">
        <f>Tabla3[[#This Row],[Subtotal]]/12</f>
        <v>74534.5</v>
      </c>
    </row>
    <row r="1437" spans="1:19" x14ac:dyDescent="0.2">
      <c r="A1437" s="4">
        <v>77</v>
      </c>
      <c r="B1437" s="2">
        <v>892425</v>
      </c>
      <c r="C1437" s="2">
        <v>0</v>
      </c>
      <c r="D1437" s="4" t="s">
        <v>4398</v>
      </c>
      <c r="E1437" s="2">
        <v>892425</v>
      </c>
      <c r="F1437" s="2">
        <v>169560.75</v>
      </c>
      <c r="G1437" s="2">
        <v>0</v>
      </c>
      <c r="H1437" s="4">
        <v>0</v>
      </c>
      <c r="I1437" s="4">
        <v>0</v>
      </c>
      <c r="J1437" s="4">
        <v>0</v>
      </c>
      <c r="K1437" s="4">
        <v>1061985.75</v>
      </c>
      <c r="L1437" s="4" t="s">
        <v>4396</v>
      </c>
      <c r="M1437" s="4" t="s">
        <v>4397</v>
      </c>
      <c r="N1437" s="4" t="s">
        <v>20</v>
      </c>
      <c r="O1437" s="4" t="s">
        <v>257</v>
      </c>
      <c r="P1437" s="4" t="s">
        <v>257</v>
      </c>
      <c r="Q1437" s="8" t="s">
        <v>100</v>
      </c>
      <c r="R1437" s="9">
        <f t="shared" si="23"/>
        <v>1.5656456633358293E-5</v>
      </c>
      <c r="S1437" s="55">
        <f>Tabla3[[#This Row],[Subtotal]]/12</f>
        <v>74368.75</v>
      </c>
    </row>
    <row r="1438" spans="1:19" x14ac:dyDescent="0.2">
      <c r="A1438" s="4">
        <v>839</v>
      </c>
      <c r="B1438" s="2">
        <v>889244.1</v>
      </c>
      <c r="C1438" s="2">
        <v>0</v>
      </c>
      <c r="D1438" s="4" t="s">
        <v>4401</v>
      </c>
      <c r="E1438" s="2">
        <v>889244.1</v>
      </c>
      <c r="F1438" s="2">
        <v>168956.38</v>
      </c>
      <c r="G1438" s="2">
        <v>0</v>
      </c>
      <c r="H1438" s="4">
        <v>0</v>
      </c>
      <c r="I1438" s="4">
        <v>0</v>
      </c>
      <c r="J1438" s="4">
        <v>0</v>
      </c>
      <c r="K1438" s="4">
        <v>1058200.48</v>
      </c>
      <c r="L1438" s="4" t="s">
        <v>4399</v>
      </c>
      <c r="M1438" s="4" t="s">
        <v>4400</v>
      </c>
      <c r="N1438" s="4" t="s">
        <v>20</v>
      </c>
      <c r="O1438" s="4" t="s">
        <v>1677</v>
      </c>
      <c r="P1438" s="4" t="s">
        <v>1677</v>
      </c>
      <c r="Q1438" s="8" t="s">
        <v>144</v>
      </c>
      <c r="R1438" s="9">
        <f t="shared" si="23"/>
        <v>1.5600651806168277E-5</v>
      </c>
      <c r="S1438" s="55">
        <f>Tabla3[[#This Row],[Subtotal]]/12</f>
        <v>74103.675000000003</v>
      </c>
    </row>
    <row r="1439" spans="1:19" x14ac:dyDescent="0.2">
      <c r="A1439" s="4">
        <v>180</v>
      </c>
      <c r="B1439" s="2">
        <v>887957</v>
      </c>
      <c r="C1439" s="2">
        <v>0</v>
      </c>
      <c r="D1439" s="4" t="s">
        <v>4404</v>
      </c>
      <c r="E1439" s="2">
        <v>887957</v>
      </c>
      <c r="F1439" s="2">
        <v>168711.83</v>
      </c>
      <c r="G1439" s="2">
        <v>0</v>
      </c>
      <c r="H1439" s="4">
        <v>0</v>
      </c>
      <c r="I1439" s="4">
        <v>0</v>
      </c>
      <c r="J1439" s="4">
        <v>0</v>
      </c>
      <c r="K1439" s="4">
        <v>1056668.83</v>
      </c>
      <c r="L1439" s="4" t="s">
        <v>4402</v>
      </c>
      <c r="M1439" s="4" t="s">
        <v>4403</v>
      </c>
      <c r="N1439" s="4" t="s">
        <v>20</v>
      </c>
      <c r="O1439" s="4" t="s">
        <v>2863</v>
      </c>
      <c r="P1439" s="4" t="s">
        <v>2863</v>
      </c>
      <c r="Q1439" s="8" t="s">
        <v>100</v>
      </c>
      <c r="R1439" s="9">
        <f t="shared" si="23"/>
        <v>1.5578071280821281E-5</v>
      </c>
      <c r="S1439" s="55">
        <f>Tabla3[[#This Row],[Subtotal]]/12</f>
        <v>73996.416666666672</v>
      </c>
    </row>
    <row r="1440" spans="1:19" x14ac:dyDescent="0.2">
      <c r="A1440" s="4">
        <v>794</v>
      </c>
      <c r="B1440" s="2">
        <v>885390</v>
      </c>
      <c r="C1440" s="2">
        <v>0</v>
      </c>
      <c r="D1440" s="4" t="s">
        <v>4407</v>
      </c>
      <c r="E1440" s="2">
        <v>885390</v>
      </c>
      <c r="F1440" s="2">
        <v>168224.1</v>
      </c>
      <c r="G1440" s="2">
        <v>0</v>
      </c>
      <c r="H1440" s="4">
        <v>0</v>
      </c>
      <c r="I1440" s="4">
        <v>0</v>
      </c>
      <c r="J1440" s="4">
        <v>0</v>
      </c>
      <c r="K1440" s="4">
        <v>1053614.1000000001</v>
      </c>
      <c r="L1440" s="4" t="s">
        <v>4405</v>
      </c>
      <c r="M1440" s="4" t="s">
        <v>4406</v>
      </c>
      <c r="N1440" s="4" t="s">
        <v>20</v>
      </c>
      <c r="O1440" s="4" t="s">
        <v>76</v>
      </c>
      <c r="P1440" s="4" t="s">
        <v>76</v>
      </c>
      <c r="Q1440" s="8" t="s">
        <v>408</v>
      </c>
      <c r="R1440" s="9">
        <f t="shared" si="23"/>
        <v>1.5533036544929939E-5</v>
      </c>
      <c r="S1440" s="55">
        <f>Tabla3[[#This Row],[Subtotal]]/12</f>
        <v>73782.5</v>
      </c>
    </row>
    <row r="1441" spans="1:19" x14ac:dyDescent="0.2">
      <c r="A1441" s="4">
        <v>139</v>
      </c>
      <c r="B1441" s="2">
        <v>885378</v>
      </c>
      <c r="C1441" s="2">
        <v>0</v>
      </c>
      <c r="D1441" s="4" t="s">
        <v>4410</v>
      </c>
      <c r="E1441" s="2">
        <v>885378</v>
      </c>
      <c r="F1441" s="2">
        <v>168221.82</v>
      </c>
      <c r="G1441" s="2">
        <v>0</v>
      </c>
      <c r="H1441" s="4">
        <v>0</v>
      </c>
      <c r="I1441" s="4">
        <v>0</v>
      </c>
      <c r="J1441" s="4">
        <v>0</v>
      </c>
      <c r="K1441" s="4">
        <v>1053599.82</v>
      </c>
      <c r="L1441" s="4" t="s">
        <v>4408</v>
      </c>
      <c r="M1441" s="4" t="s">
        <v>4409</v>
      </c>
      <c r="N1441" s="4" t="s">
        <v>1421</v>
      </c>
      <c r="O1441" s="4" t="s">
        <v>340</v>
      </c>
      <c r="P1441" s="4" t="s">
        <v>340</v>
      </c>
      <c r="Q1441" s="8" t="s">
        <v>100</v>
      </c>
      <c r="R1441" s="9">
        <f t="shared" si="23"/>
        <v>1.5532826020258845E-5</v>
      </c>
      <c r="S1441" s="55">
        <f>Tabla3[[#This Row],[Subtotal]]/12</f>
        <v>73781.5</v>
      </c>
    </row>
    <row r="1442" spans="1:19" x14ac:dyDescent="0.2">
      <c r="A1442" s="4">
        <v>1396</v>
      </c>
      <c r="B1442" s="2">
        <v>883730</v>
      </c>
      <c r="C1442" s="2">
        <v>0</v>
      </c>
      <c r="D1442" s="4" t="s">
        <v>4413</v>
      </c>
      <c r="E1442" s="2">
        <v>883730</v>
      </c>
      <c r="F1442" s="2">
        <v>167908.7</v>
      </c>
      <c r="G1442" s="2">
        <v>0</v>
      </c>
      <c r="H1442" s="4">
        <v>0</v>
      </c>
      <c r="I1442" s="4">
        <v>0</v>
      </c>
      <c r="J1442" s="4">
        <v>0</v>
      </c>
      <c r="K1442" s="4">
        <v>1051638.7</v>
      </c>
      <c r="L1442" s="4" t="s">
        <v>4411</v>
      </c>
      <c r="M1442" s="4" t="s">
        <v>4412</v>
      </c>
      <c r="N1442" s="4" t="s">
        <v>20</v>
      </c>
      <c r="O1442" s="4" t="s">
        <v>631</v>
      </c>
      <c r="P1442" s="4" t="s">
        <v>631</v>
      </c>
      <c r="Q1442" s="8" t="s">
        <v>100</v>
      </c>
      <c r="R1442" s="9">
        <f t="shared" si="23"/>
        <v>1.550391396542872E-5</v>
      </c>
      <c r="S1442" s="55">
        <f>Tabla3[[#This Row],[Subtotal]]/12</f>
        <v>73644.166666666672</v>
      </c>
    </row>
    <row r="1443" spans="1:19" x14ac:dyDescent="0.2">
      <c r="A1443" s="4">
        <v>1340</v>
      </c>
      <c r="B1443" s="2">
        <v>883214</v>
      </c>
      <c r="C1443" s="2">
        <v>0</v>
      </c>
      <c r="D1443" s="4" t="s">
        <v>4416</v>
      </c>
      <c r="E1443" s="2">
        <v>883214</v>
      </c>
      <c r="F1443" s="2">
        <v>167810.66</v>
      </c>
      <c r="G1443" s="2">
        <v>0</v>
      </c>
      <c r="H1443" s="4">
        <v>0</v>
      </c>
      <c r="I1443" s="4">
        <v>0</v>
      </c>
      <c r="J1443" s="4">
        <v>0</v>
      </c>
      <c r="K1443" s="4">
        <v>1051024.6599999999</v>
      </c>
      <c r="L1443" s="4" t="s">
        <v>4414</v>
      </c>
      <c r="M1443" s="4" t="s">
        <v>4415</v>
      </c>
      <c r="N1443" s="4" t="s">
        <v>332</v>
      </c>
      <c r="O1443" s="4" t="s">
        <v>1127</v>
      </c>
      <c r="P1443" s="4" t="s">
        <v>1127</v>
      </c>
      <c r="Q1443" s="8" t="s">
        <v>100</v>
      </c>
      <c r="R1443" s="9">
        <f t="shared" si="23"/>
        <v>1.5494861404571714E-5</v>
      </c>
      <c r="S1443" s="55">
        <f>Tabla3[[#This Row],[Subtotal]]/12</f>
        <v>73601.166666666672</v>
      </c>
    </row>
    <row r="1444" spans="1:19" x14ac:dyDescent="0.2">
      <c r="A1444" s="4">
        <v>197</v>
      </c>
      <c r="B1444" s="2">
        <v>878100</v>
      </c>
      <c r="C1444" s="2">
        <v>0</v>
      </c>
      <c r="D1444" s="4" t="s">
        <v>4419</v>
      </c>
      <c r="E1444" s="2">
        <v>878100</v>
      </c>
      <c r="F1444" s="2">
        <v>166839</v>
      </c>
      <c r="G1444" s="2">
        <v>21952.5</v>
      </c>
      <c r="H1444" s="4">
        <v>0</v>
      </c>
      <c r="I1444" s="4">
        <v>0</v>
      </c>
      <c r="J1444" s="4">
        <v>21952.5</v>
      </c>
      <c r="K1444" s="4">
        <v>1022986.5</v>
      </c>
      <c r="L1444" s="4" t="s">
        <v>4417</v>
      </c>
      <c r="M1444" s="4" t="s">
        <v>4418</v>
      </c>
      <c r="N1444" s="4" t="s">
        <v>695</v>
      </c>
      <c r="O1444" s="4" t="s">
        <v>67</v>
      </c>
      <c r="P1444" s="4" t="s">
        <v>67</v>
      </c>
      <c r="Q1444" s="8" t="s">
        <v>100</v>
      </c>
      <c r="R1444" s="9">
        <f t="shared" si="23"/>
        <v>1.5405142807240851E-5</v>
      </c>
      <c r="S1444" s="55">
        <f>Tabla3[[#This Row],[Subtotal]]/12</f>
        <v>73175</v>
      </c>
    </row>
    <row r="1445" spans="1:19" x14ac:dyDescent="0.2">
      <c r="A1445" s="4">
        <v>738</v>
      </c>
      <c r="B1445" s="2">
        <v>878100</v>
      </c>
      <c r="C1445" s="2">
        <v>0</v>
      </c>
      <c r="D1445" s="4" t="s">
        <v>4422</v>
      </c>
      <c r="E1445" s="2">
        <v>878100</v>
      </c>
      <c r="F1445" s="2">
        <v>166839</v>
      </c>
      <c r="G1445" s="2">
        <v>0</v>
      </c>
      <c r="H1445" s="4">
        <v>0</v>
      </c>
      <c r="I1445" s="4">
        <v>0</v>
      </c>
      <c r="J1445" s="4">
        <v>0</v>
      </c>
      <c r="K1445" s="4">
        <v>1044939</v>
      </c>
      <c r="L1445" s="4" t="s">
        <v>4420</v>
      </c>
      <c r="M1445" s="4" t="s">
        <v>4421</v>
      </c>
      <c r="N1445" s="4" t="s">
        <v>1143</v>
      </c>
      <c r="O1445" s="4" t="s">
        <v>340</v>
      </c>
      <c r="P1445" s="4" t="s">
        <v>340</v>
      </c>
      <c r="Q1445" s="8" t="s">
        <v>100</v>
      </c>
      <c r="R1445" s="9">
        <f t="shared" si="23"/>
        <v>1.5405142807240851E-5</v>
      </c>
      <c r="S1445" s="55">
        <f>Tabla3[[#This Row],[Subtotal]]/12</f>
        <v>73175</v>
      </c>
    </row>
    <row r="1446" spans="1:19" x14ac:dyDescent="0.2">
      <c r="A1446" s="4">
        <v>1111</v>
      </c>
      <c r="B1446" s="2">
        <v>876254</v>
      </c>
      <c r="C1446" s="2">
        <v>0</v>
      </c>
      <c r="D1446" s="4" t="s">
        <v>4425</v>
      </c>
      <c r="E1446" s="2">
        <v>876254</v>
      </c>
      <c r="F1446" s="2">
        <v>166488.26</v>
      </c>
      <c r="G1446" s="2">
        <v>0</v>
      </c>
      <c r="H1446" s="4">
        <v>0</v>
      </c>
      <c r="I1446" s="4">
        <v>0</v>
      </c>
      <c r="J1446" s="4">
        <v>0</v>
      </c>
      <c r="K1446" s="4">
        <v>1042742.26</v>
      </c>
      <c r="L1446" s="4" t="s">
        <v>4423</v>
      </c>
      <c r="M1446" s="4" t="s">
        <v>4424</v>
      </c>
      <c r="N1446" s="4" t="s">
        <v>20</v>
      </c>
      <c r="O1446" s="4" t="s">
        <v>900</v>
      </c>
      <c r="P1446" s="4" t="s">
        <v>900</v>
      </c>
      <c r="Q1446" s="8" t="s">
        <v>1378</v>
      </c>
      <c r="R1446" s="9">
        <f t="shared" si="23"/>
        <v>1.537275709533769E-5</v>
      </c>
      <c r="S1446" s="55">
        <f>Tabla3[[#This Row],[Subtotal]]/12</f>
        <v>73021.166666666672</v>
      </c>
    </row>
    <row r="1447" spans="1:19" x14ac:dyDescent="0.2">
      <c r="A1447" s="4">
        <v>1438</v>
      </c>
      <c r="B1447" s="2">
        <v>874072</v>
      </c>
      <c r="C1447" s="2">
        <v>0</v>
      </c>
      <c r="D1447" s="4" t="s">
        <v>4428</v>
      </c>
      <c r="E1447" s="2">
        <v>874072</v>
      </c>
      <c r="F1447" s="2">
        <v>166073.68</v>
      </c>
      <c r="G1447" s="2">
        <v>0</v>
      </c>
      <c r="H1447" s="4">
        <v>0</v>
      </c>
      <c r="I1447" s="4">
        <v>0</v>
      </c>
      <c r="J1447" s="4">
        <v>0</v>
      </c>
      <c r="K1447" s="4">
        <v>1040145.68</v>
      </c>
      <c r="L1447" s="4" t="s">
        <v>4426</v>
      </c>
      <c r="M1447" s="4" t="s">
        <v>4427</v>
      </c>
      <c r="N1447" s="4" t="s">
        <v>2167</v>
      </c>
      <c r="O1447" s="4" t="s">
        <v>105</v>
      </c>
      <c r="P1447" s="4" t="s">
        <v>105</v>
      </c>
      <c r="Q1447" s="8" t="s">
        <v>100</v>
      </c>
      <c r="R1447" s="9">
        <f t="shared" si="23"/>
        <v>1.5334476692643921E-5</v>
      </c>
      <c r="S1447" s="55">
        <f>Tabla3[[#This Row],[Subtotal]]/12</f>
        <v>72839.333333333328</v>
      </c>
    </row>
    <row r="1448" spans="1:19" x14ac:dyDescent="0.2">
      <c r="A1448" s="4">
        <v>1549</v>
      </c>
      <c r="B1448" s="2">
        <v>874072</v>
      </c>
      <c r="C1448" s="2">
        <v>0</v>
      </c>
      <c r="D1448" s="4" t="s">
        <v>4431</v>
      </c>
      <c r="E1448" s="2">
        <v>874072</v>
      </c>
      <c r="F1448" s="2">
        <v>166073.68</v>
      </c>
      <c r="G1448" s="2">
        <v>0</v>
      </c>
      <c r="H1448" s="4">
        <v>0</v>
      </c>
      <c r="I1448" s="4">
        <v>0</v>
      </c>
      <c r="J1448" s="4">
        <v>0</v>
      </c>
      <c r="K1448" s="4">
        <v>1040145.68</v>
      </c>
      <c r="L1448" s="4" t="s">
        <v>4429</v>
      </c>
      <c r="M1448" s="4" t="s">
        <v>4430</v>
      </c>
      <c r="N1448" s="4" t="s">
        <v>20</v>
      </c>
      <c r="O1448" s="4" t="s">
        <v>2863</v>
      </c>
      <c r="P1448" s="4" t="s">
        <v>2863</v>
      </c>
      <c r="Q1448" s="8" t="s">
        <v>100</v>
      </c>
      <c r="R1448" s="9">
        <f t="shared" si="23"/>
        <v>1.5334476692643921E-5</v>
      </c>
      <c r="S1448" s="55">
        <f>Tabla3[[#This Row],[Subtotal]]/12</f>
        <v>72839.333333333328</v>
      </c>
    </row>
    <row r="1449" spans="1:19" x14ac:dyDescent="0.2">
      <c r="A1449" s="4">
        <v>836</v>
      </c>
      <c r="B1449" s="2">
        <v>872381.58</v>
      </c>
      <c r="C1449" s="2">
        <v>0</v>
      </c>
      <c r="D1449" s="4" t="s">
        <v>4434</v>
      </c>
      <c r="E1449" s="2">
        <v>872381.58</v>
      </c>
      <c r="F1449" s="2">
        <v>165752.5</v>
      </c>
      <c r="G1449" s="2">
        <v>0</v>
      </c>
      <c r="H1449" s="4">
        <v>0</v>
      </c>
      <c r="I1449" s="4">
        <v>0</v>
      </c>
      <c r="J1449" s="4">
        <v>0</v>
      </c>
      <c r="K1449" s="4">
        <v>1038134.08</v>
      </c>
      <c r="L1449" s="4" t="s">
        <v>4432</v>
      </c>
      <c r="M1449" s="4" t="s">
        <v>4433</v>
      </c>
      <c r="N1449" s="4" t="s">
        <v>368</v>
      </c>
      <c r="O1449" s="4" t="s">
        <v>900</v>
      </c>
      <c r="P1449" s="4" t="s">
        <v>900</v>
      </c>
      <c r="Q1449" s="8" t="s">
        <v>144</v>
      </c>
      <c r="R1449" s="9">
        <f t="shared" si="23"/>
        <v>1.5304820433101479E-5</v>
      </c>
      <c r="S1449" s="55">
        <f>Tabla3[[#This Row],[Subtotal]]/12</f>
        <v>72698.464999999997</v>
      </c>
    </row>
    <row r="1450" spans="1:19" x14ac:dyDescent="0.2">
      <c r="A1450" s="4">
        <v>767</v>
      </c>
      <c r="B1450" s="2">
        <v>870417</v>
      </c>
      <c r="C1450" s="2">
        <v>0</v>
      </c>
      <c r="D1450" s="4" t="s">
        <v>4437</v>
      </c>
      <c r="E1450" s="2">
        <v>870417</v>
      </c>
      <c r="F1450" s="2">
        <v>165379.23000000001</v>
      </c>
      <c r="G1450" s="2">
        <v>0</v>
      </c>
      <c r="H1450" s="4">
        <v>0</v>
      </c>
      <c r="I1450" s="4">
        <v>0</v>
      </c>
      <c r="J1450" s="4">
        <v>0</v>
      </c>
      <c r="K1450" s="4">
        <v>1035796.23</v>
      </c>
      <c r="L1450" s="4" t="s">
        <v>4435</v>
      </c>
      <c r="M1450" s="4" t="s">
        <v>4436</v>
      </c>
      <c r="N1450" s="4" t="s">
        <v>1421</v>
      </c>
      <c r="O1450" s="4" t="s">
        <v>340</v>
      </c>
      <c r="P1450" s="4" t="s">
        <v>340</v>
      </c>
      <c r="Q1450" s="8" t="s">
        <v>100</v>
      </c>
      <c r="R1450" s="9">
        <f t="shared" si="23"/>
        <v>1.5270354386573467E-5</v>
      </c>
      <c r="S1450" s="55">
        <f>Tabla3[[#This Row],[Subtotal]]/12</f>
        <v>72534.75</v>
      </c>
    </row>
    <row r="1451" spans="1:19" x14ac:dyDescent="0.2">
      <c r="A1451" s="4">
        <v>114</v>
      </c>
      <c r="B1451" s="2">
        <v>866764</v>
      </c>
      <c r="C1451" s="2">
        <v>0</v>
      </c>
      <c r="D1451" s="4" t="s">
        <v>4440</v>
      </c>
      <c r="E1451" s="2">
        <v>866764</v>
      </c>
      <c r="F1451" s="2">
        <v>163735.16</v>
      </c>
      <c r="G1451" s="2">
        <v>0</v>
      </c>
      <c r="H1451" s="4">
        <v>0</v>
      </c>
      <c r="I1451" s="4">
        <v>0</v>
      </c>
      <c r="J1451" s="4">
        <v>0</v>
      </c>
      <c r="K1451" s="4">
        <v>1030499.16</v>
      </c>
      <c r="L1451" s="4" t="s">
        <v>4438</v>
      </c>
      <c r="M1451" s="4" t="s">
        <v>4439</v>
      </c>
      <c r="N1451" s="4" t="s">
        <v>2060</v>
      </c>
      <c r="O1451" s="4" t="s">
        <v>1677</v>
      </c>
      <c r="P1451" s="4" t="s">
        <v>1677</v>
      </c>
      <c r="Q1451" s="8" t="s">
        <v>144</v>
      </c>
      <c r="R1451" s="9">
        <f t="shared" si="23"/>
        <v>1.5206267167948195E-5</v>
      </c>
      <c r="S1451" s="55">
        <f>Tabla3[[#This Row],[Subtotal]]/12</f>
        <v>72230.333333333328</v>
      </c>
    </row>
    <row r="1452" spans="1:19" x14ac:dyDescent="0.2">
      <c r="A1452" s="4">
        <v>1633</v>
      </c>
      <c r="B1452" s="2">
        <v>863304</v>
      </c>
      <c r="C1452" s="2">
        <v>0</v>
      </c>
      <c r="D1452" s="4" t="s">
        <v>4443</v>
      </c>
      <c r="E1452" s="2">
        <v>863304</v>
      </c>
      <c r="F1452" s="2">
        <v>164027.76</v>
      </c>
      <c r="G1452" s="2">
        <v>0</v>
      </c>
      <c r="H1452" s="4">
        <v>0</v>
      </c>
      <c r="I1452" s="4">
        <v>0</v>
      </c>
      <c r="J1452" s="4">
        <v>0</v>
      </c>
      <c r="K1452" s="4">
        <v>1027331.76</v>
      </c>
      <c r="L1452" s="4" t="s">
        <v>4441</v>
      </c>
      <c r="M1452" s="4" t="s">
        <v>4442</v>
      </c>
      <c r="N1452" s="4" t="s">
        <v>20</v>
      </c>
      <c r="O1452" s="4" t="s">
        <v>316</v>
      </c>
      <c r="P1452" s="4" t="s">
        <v>316</v>
      </c>
      <c r="Q1452" s="8" t="s">
        <v>100</v>
      </c>
      <c r="R1452" s="9">
        <f t="shared" si="23"/>
        <v>1.5145565887783005E-5</v>
      </c>
      <c r="S1452" s="55">
        <f>Tabla3[[#This Row],[Subtotal]]/12</f>
        <v>71942</v>
      </c>
    </row>
    <row r="1453" spans="1:19" x14ac:dyDescent="0.2">
      <c r="A1453" s="4">
        <v>99</v>
      </c>
      <c r="B1453" s="2">
        <v>862953</v>
      </c>
      <c r="C1453" s="2">
        <v>0</v>
      </c>
      <c r="D1453" s="4" t="s">
        <v>4446</v>
      </c>
      <c r="E1453" s="2">
        <v>862953</v>
      </c>
      <c r="F1453" s="2">
        <v>163961.07</v>
      </c>
      <c r="G1453" s="2">
        <v>0</v>
      </c>
      <c r="H1453" s="4">
        <v>0</v>
      </c>
      <c r="I1453" s="4">
        <v>0</v>
      </c>
      <c r="J1453" s="4">
        <v>0</v>
      </c>
      <c r="K1453" s="4">
        <v>1026914.07</v>
      </c>
      <c r="L1453" s="4" t="s">
        <v>4444</v>
      </c>
      <c r="M1453" s="4" t="s">
        <v>4445</v>
      </c>
      <c r="N1453" s="4" t="s">
        <v>627</v>
      </c>
      <c r="O1453" s="4" t="s">
        <v>2025</v>
      </c>
      <c r="P1453" s="4" t="s">
        <v>2025</v>
      </c>
      <c r="Q1453" s="8" t="s">
        <v>100</v>
      </c>
      <c r="R1453" s="9">
        <f t="shared" si="23"/>
        <v>1.5139408041153531E-5</v>
      </c>
      <c r="S1453" s="55">
        <f>Tabla3[[#This Row],[Subtotal]]/12</f>
        <v>71912.75</v>
      </c>
    </row>
    <row r="1454" spans="1:19" x14ac:dyDescent="0.2">
      <c r="A1454" s="4">
        <v>54</v>
      </c>
      <c r="B1454" s="2">
        <v>854045</v>
      </c>
      <c r="C1454" s="2">
        <v>0</v>
      </c>
      <c r="D1454" s="4" t="s">
        <v>4449</v>
      </c>
      <c r="E1454" s="2">
        <v>854045</v>
      </c>
      <c r="F1454" s="2">
        <v>162268.54999999999</v>
      </c>
      <c r="G1454" s="2">
        <v>0</v>
      </c>
      <c r="H1454" s="4">
        <v>0</v>
      </c>
      <c r="I1454" s="4">
        <v>0</v>
      </c>
      <c r="J1454" s="4">
        <v>0</v>
      </c>
      <c r="K1454" s="4">
        <v>1016313.55</v>
      </c>
      <c r="L1454" s="4" t="s">
        <v>4447</v>
      </c>
      <c r="M1454" s="4" t="s">
        <v>4448</v>
      </c>
      <c r="N1454" s="4" t="s">
        <v>1143</v>
      </c>
      <c r="O1454" s="4" t="s">
        <v>340</v>
      </c>
      <c r="P1454" s="4" t="s">
        <v>340</v>
      </c>
      <c r="Q1454" s="8" t="s">
        <v>100</v>
      </c>
      <c r="R1454" s="9">
        <f t="shared" si="23"/>
        <v>1.4983128560312053E-5</v>
      </c>
      <c r="S1454" s="55">
        <f>Tabla3[[#This Row],[Subtotal]]/12</f>
        <v>71170.416666666672</v>
      </c>
    </row>
    <row r="1455" spans="1:19" x14ac:dyDescent="0.2">
      <c r="A1455" s="4">
        <v>1624</v>
      </c>
      <c r="B1455" s="2">
        <v>842732</v>
      </c>
      <c r="C1455" s="2">
        <v>0</v>
      </c>
      <c r="D1455" s="4" t="s">
        <v>4452</v>
      </c>
      <c r="E1455" s="2">
        <v>842732</v>
      </c>
      <c r="F1455" s="2">
        <v>160119.07999999999</v>
      </c>
      <c r="G1455" s="2">
        <v>21068.3</v>
      </c>
      <c r="H1455" s="4">
        <v>0</v>
      </c>
      <c r="I1455" s="4">
        <v>0</v>
      </c>
      <c r="J1455" s="4">
        <v>21068.3</v>
      </c>
      <c r="K1455" s="4">
        <v>981782.78</v>
      </c>
      <c r="L1455" s="4" t="s">
        <v>4450</v>
      </c>
      <c r="M1455" s="4" t="s">
        <v>4451</v>
      </c>
      <c r="N1455" s="4" t="s">
        <v>221</v>
      </c>
      <c r="O1455" s="4" t="s">
        <v>33</v>
      </c>
      <c r="P1455" s="4" t="s">
        <v>33</v>
      </c>
      <c r="Q1455" s="8" t="s">
        <v>100</v>
      </c>
      <c r="R1455" s="9">
        <f t="shared" si="23"/>
        <v>1.4784656426638992E-5</v>
      </c>
      <c r="S1455" s="55">
        <f>Tabla3[[#This Row],[Subtotal]]/12</f>
        <v>70227.666666666672</v>
      </c>
    </row>
    <row r="1456" spans="1:19" x14ac:dyDescent="0.2">
      <c r="A1456" s="4">
        <v>448</v>
      </c>
      <c r="B1456" s="2">
        <v>838907.56</v>
      </c>
      <c r="C1456" s="2">
        <v>0</v>
      </c>
      <c r="D1456" s="4" t="s">
        <v>4455</v>
      </c>
      <c r="E1456" s="2">
        <v>838907.56</v>
      </c>
      <c r="F1456" s="2">
        <v>159392.44</v>
      </c>
      <c r="G1456" s="2">
        <v>0</v>
      </c>
      <c r="H1456" s="4">
        <v>0</v>
      </c>
      <c r="I1456" s="4">
        <v>0</v>
      </c>
      <c r="J1456" s="4">
        <v>0</v>
      </c>
      <c r="K1456" s="4">
        <v>998300</v>
      </c>
      <c r="L1456" s="4" t="s">
        <v>4453</v>
      </c>
      <c r="M1456" s="4" t="s">
        <v>4454</v>
      </c>
      <c r="N1456" s="4" t="s">
        <v>20</v>
      </c>
      <c r="O1456" s="4" t="s">
        <v>1677</v>
      </c>
      <c r="P1456" s="4" t="s">
        <v>1677</v>
      </c>
      <c r="Q1456" s="8" t="s">
        <v>144</v>
      </c>
      <c r="R1456" s="9">
        <f t="shared" si="23"/>
        <v>1.4717561512212703E-5</v>
      </c>
      <c r="S1456" s="55">
        <f>Tabla3[[#This Row],[Subtotal]]/12</f>
        <v>69908.963333333333</v>
      </c>
    </row>
    <row r="1457" spans="1:19" x14ac:dyDescent="0.2">
      <c r="A1457" s="4">
        <v>1350</v>
      </c>
      <c r="B1457" s="2">
        <v>836152</v>
      </c>
      <c r="C1457" s="2">
        <v>0</v>
      </c>
      <c r="D1457" s="4" t="s">
        <v>4458</v>
      </c>
      <c r="E1457" s="2">
        <v>836152</v>
      </c>
      <c r="F1457" s="2">
        <v>158868.88</v>
      </c>
      <c r="G1457" s="2">
        <v>0</v>
      </c>
      <c r="H1457" s="4">
        <v>0</v>
      </c>
      <c r="I1457" s="4">
        <v>0</v>
      </c>
      <c r="J1457" s="4">
        <v>0</v>
      </c>
      <c r="K1457" s="4">
        <v>995020.88</v>
      </c>
      <c r="L1457" s="4" t="s">
        <v>4456</v>
      </c>
      <c r="M1457" s="4" t="s">
        <v>4457</v>
      </c>
      <c r="N1457" s="4" t="s">
        <v>20</v>
      </c>
      <c r="O1457" s="4" t="s">
        <v>540</v>
      </c>
      <c r="P1457" s="4" t="s">
        <v>540</v>
      </c>
      <c r="Q1457" s="8" t="s">
        <v>100</v>
      </c>
      <c r="R1457" s="9">
        <f t="shared" si="23"/>
        <v>1.4669218731989584E-5</v>
      </c>
      <c r="S1457" s="55">
        <f>Tabla3[[#This Row],[Subtotal]]/12</f>
        <v>69679.333333333328</v>
      </c>
    </row>
    <row r="1458" spans="1:19" x14ac:dyDescent="0.2">
      <c r="A1458" s="4">
        <v>1160</v>
      </c>
      <c r="B1458" s="2">
        <v>836123</v>
      </c>
      <c r="C1458" s="2">
        <v>0</v>
      </c>
      <c r="D1458" s="4" t="s">
        <v>4461</v>
      </c>
      <c r="E1458" s="2">
        <v>836123</v>
      </c>
      <c r="F1458" s="2">
        <v>158863.37</v>
      </c>
      <c r="G1458" s="2">
        <v>0</v>
      </c>
      <c r="H1458" s="4">
        <v>0</v>
      </c>
      <c r="I1458" s="4">
        <v>0</v>
      </c>
      <c r="J1458" s="4">
        <v>0</v>
      </c>
      <c r="K1458" s="4">
        <v>994986.37</v>
      </c>
      <c r="L1458" s="4" t="s">
        <v>4459</v>
      </c>
      <c r="M1458" s="4" t="s">
        <v>4460</v>
      </c>
      <c r="N1458" s="4" t="s">
        <v>142</v>
      </c>
      <c r="O1458" s="4" t="s">
        <v>900</v>
      </c>
      <c r="P1458" s="4" t="s">
        <v>900</v>
      </c>
      <c r="Q1458" s="8" t="s">
        <v>100</v>
      </c>
      <c r="R1458" s="9">
        <f t="shared" si="23"/>
        <v>1.4668709964034442E-5</v>
      </c>
      <c r="S1458" s="55">
        <f>Tabla3[[#This Row],[Subtotal]]/12</f>
        <v>69676.916666666672</v>
      </c>
    </row>
    <row r="1459" spans="1:19" x14ac:dyDescent="0.2">
      <c r="A1459" s="4">
        <v>810</v>
      </c>
      <c r="B1459" s="2">
        <v>835853</v>
      </c>
      <c r="C1459" s="2">
        <v>0</v>
      </c>
      <c r="D1459" s="4" t="s">
        <v>4464</v>
      </c>
      <c r="E1459" s="2">
        <v>835853</v>
      </c>
      <c r="F1459" s="2">
        <v>158812.07</v>
      </c>
      <c r="G1459" s="2">
        <v>0</v>
      </c>
      <c r="H1459" s="4">
        <v>0</v>
      </c>
      <c r="I1459" s="4">
        <v>0</v>
      </c>
      <c r="J1459" s="4">
        <v>0</v>
      </c>
      <c r="K1459" s="4">
        <v>994665.07</v>
      </c>
      <c r="L1459" s="4" t="s">
        <v>4462</v>
      </c>
      <c r="M1459" s="4" t="s">
        <v>4463</v>
      </c>
      <c r="N1459" s="4" t="s">
        <v>20</v>
      </c>
      <c r="O1459" s="4" t="s">
        <v>540</v>
      </c>
      <c r="P1459" s="4" t="s">
        <v>540</v>
      </c>
      <c r="Q1459" s="8" t="s">
        <v>100</v>
      </c>
      <c r="R1459" s="9">
        <f t="shared" si="23"/>
        <v>1.4663973158934846E-5</v>
      </c>
      <c r="S1459" s="55">
        <f>Tabla3[[#This Row],[Subtotal]]/12</f>
        <v>69654.416666666672</v>
      </c>
    </row>
    <row r="1460" spans="1:19" x14ac:dyDescent="0.2">
      <c r="A1460" s="4">
        <v>317</v>
      </c>
      <c r="B1460" s="2">
        <v>826449</v>
      </c>
      <c r="C1460" s="2">
        <v>0</v>
      </c>
      <c r="D1460" s="4" t="s">
        <v>4467</v>
      </c>
      <c r="E1460" s="2">
        <v>826449</v>
      </c>
      <c r="F1460" s="2">
        <v>157025.31</v>
      </c>
      <c r="G1460" s="2">
        <v>20661.23</v>
      </c>
      <c r="H1460" s="4">
        <v>0</v>
      </c>
      <c r="I1460" s="4">
        <v>0</v>
      </c>
      <c r="J1460" s="4">
        <v>20661.23</v>
      </c>
      <c r="K1460" s="4">
        <v>962813.08</v>
      </c>
      <c r="L1460" s="4" t="s">
        <v>4465</v>
      </c>
      <c r="M1460" s="4" t="s">
        <v>4466</v>
      </c>
      <c r="N1460" s="4" t="s">
        <v>20</v>
      </c>
      <c r="O1460" s="4" t="s">
        <v>71</v>
      </c>
      <c r="P1460" s="4" t="s">
        <v>71</v>
      </c>
      <c r="Q1460" s="8" t="s">
        <v>100</v>
      </c>
      <c r="R1460" s="9">
        <f t="shared" si="23"/>
        <v>1.4498991991688185E-5</v>
      </c>
      <c r="S1460" s="55">
        <f>Tabla3[[#This Row],[Subtotal]]/12</f>
        <v>68870.75</v>
      </c>
    </row>
    <row r="1461" spans="1:19" x14ac:dyDescent="0.2">
      <c r="A1461" s="4">
        <v>589</v>
      </c>
      <c r="B1461" s="2">
        <v>821836</v>
      </c>
      <c r="C1461" s="2">
        <v>0</v>
      </c>
      <c r="D1461" s="4" t="s">
        <v>4470</v>
      </c>
      <c r="E1461" s="2">
        <v>821836</v>
      </c>
      <c r="F1461" s="2">
        <v>156148.84</v>
      </c>
      <c r="G1461" s="2">
        <v>0</v>
      </c>
      <c r="H1461" s="4">
        <v>0</v>
      </c>
      <c r="I1461" s="4">
        <v>0</v>
      </c>
      <c r="J1461" s="4">
        <v>0</v>
      </c>
      <c r="K1461" s="4">
        <v>977984.84</v>
      </c>
      <c r="L1461" s="4" t="s">
        <v>4468</v>
      </c>
      <c r="M1461" s="4" t="s">
        <v>4469</v>
      </c>
      <c r="N1461" s="4" t="s">
        <v>20</v>
      </c>
      <c r="O1461" s="4" t="s">
        <v>1517</v>
      </c>
      <c r="P1461" s="4" t="s">
        <v>1517</v>
      </c>
      <c r="Q1461" s="8" t="s">
        <v>100</v>
      </c>
      <c r="R1461" s="9">
        <f t="shared" si="23"/>
        <v>1.4418062799375463E-5</v>
      </c>
      <c r="S1461" s="55">
        <f>Tabla3[[#This Row],[Subtotal]]/12</f>
        <v>68486.333333333328</v>
      </c>
    </row>
    <row r="1462" spans="1:19" x14ac:dyDescent="0.2">
      <c r="A1462" s="4">
        <v>486</v>
      </c>
      <c r="B1462" s="2">
        <v>819858</v>
      </c>
      <c r="C1462" s="2">
        <v>0</v>
      </c>
      <c r="D1462" s="4" t="s">
        <v>2249</v>
      </c>
      <c r="E1462" s="2">
        <v>819858</v>
      </c>
      <c r="F1462" s="2">
        <v>155773.01999999999</v>
      </c>
      <c r="G1462" s="2">
        <v>20496.439999999999</v>
      </c>
      <c r="H1462" s="4">
        <v>0</v>
      </c>
      <c r="I1462" s="4">
        <v>0</v>
      </c>
      <c r="J1462" s="4">
        <v>20496.439999999999</v>
      </c>
      <c r="K1462" s="4">
        <v>955134.58</v>
      </c>
      <c r="L1462" s="4" t="s">
        <v>2247</v>
      </c>
      <c r="M1462" s="4" t="s">
        <v>2248</v>
      </c>
      <c r="N1462" s="4" t="s">
        <v>20</v>
      </c>
      <c r="O1462" s="4" t="s">
        <v>1891</v>
      </c>
      <c r="P1462" s="4" t="s">
        <v>21</v>
      </c>
      <c r="Q1462" s="8" t="s">
        <v>28</v>
      </c>
      <c r="R1462" s="9">
        <f t="shared" si="23"/>
        <v>1.4383361316090275E-5</v>
      </c>
      <c r="S1462" s="55">
        <f>Tabla3[[#This Row],[Subtotal]]/12</f>
        <v>68321.5</v>
      </c>
    </row>
    <row r="1463" spans="1:19" x14ac:dyDescent="0.2">
      <c r="A1463" s="4">
        <v>870</v>
      </c>
      <c r="B1463" s="2">
        <v>811488</v>
      </c>
      <c r="C1463" s="2">
        <v>0</v>
      </c>
      <c r="D1463" s="4" t="s">
        <v>4473</v>
      </c>
      <c r="E1463" s="2">
        <v>811488</v>
      </c>
      <c r="F1463" s="2">
        <v>154182.72</v>
      </c>
      <c r="G1463" s="2">
        <v>0</v>
      </c>
      <c r="H1463" s="4">
        <v>0</v>
      </c>
      <c r="I1463" s="4">
        <v>0</v>
      </c>
      <c r="J1463" s="4">
        <v>0</v>
      </c>
      <c r="K1463" s="4">
        <v>965670.72</v>
      </c>
      <c r="L1463" s="4" t="s">
        <v>4471</v>
      </c>
      <c r="M1463" s="4" t="s">
        <v>4472</v>
      </c>
      <c r="N1463" s="4" t="s">
        <v>1421</v>
      </c>
      <c r="O1463" s="4" t="s">
        <v>340</v>
      </c>
      <c r="P1463" s="4" t="s">
        <v>340</v>
      </c>
      <c r="Q1463" s="8" t="s">
        <v>100</v>
      </c>
      <c r="R1463" s="9">
        <f t="shared" si="23"/>
        <v>1.4236520358002807E-5</v>
      </c>
      <c r="S1463" s="55">
        <f>Tabla3[[#This Row],[Subtotal]]/12</f>
        <v>67624</v>
      </c>
    </row>
    <row r="1464" spans="1:19" x14ac:dyDescent="0.2">
      <c r="A1464" s="4">
        <v>1317</v>
      </c>
      <c r="B1464" s="2">
        <v>801553</v>
      </c>
      <c r="C1464" s="2">
        <v>0</v>
      </c>
      <c r="D1464" s="4" t="s">
        <v>4476</v>
      </c>
      <c r="E1464" s="2">
        <v>801553</v>
      </c>
      <c r="F1464" s="2">
        <v>152295.07</v>
      </c>
      <c r="G1464" s="2">
        <v>0</v>
      </c>
      <c r="H1464" s="4">
        <v>0</v>
      </c>
      <c r="I1464" s="4">
        <v>0</v>
      </c>
      <c r="J1464" s="4">
        <v>0</v>
      </c>
      <c r="K1464" s="4">
        <v>953848.07</v>
      </c>
      <c r="L1464" s="4" t="s">
        <v>4474</v>
      </c>
      <c r="M1464" s="4" t="s">
        <v>4475</v>
      </c>
      <c r="N1464" s="4" t="s">
        <v>20</v>
      </c>
      <c r="O1464" s="4" t="s">
        <v>768</v>
      </c>
      <c r="P1464" s="4" t="s">
        <v>768</v>
      </c>
      <c r="Q1464" s="8" t="s">
        <v>100</v>
      </c>
      <c r="R1464" s="9">
        <f t="shared" si="23"/>
        <v>1.4062223474060275E-5</v>
      </c>
      <c r="S1464" s="55">
        <f>Tabla3[[#This Row],[Subtotal]]/12</f>
        <v>66796.083333333328</v>
      </c>
    </row>
    <row r="1465" spans="1:19" x14ac:dyDescent="0.2">
      <c r="A1465" s="4">
        <v>812</v>
      </c>
      <c r="B1465" s="2">
        <v>788276</v>
      </c>
      <c r="C1465" s="2">
        <v>0</v>
      </c>
      <c r="D1465" s="4" t="s">
        <v>4479</v>
      </c>
      <c r="E1465" s="2">
        <v>788276</v>
      </c>
      <c r="F1465" s="2">
        <v>149772.44</v>
      </c>
      <c r="G1465" s="2">
        <v>0</v>
      </c>
      <c r="H1465" s="4">
        <v>0</v>
      </c>
      <c r="I1465" s="4">
        <v>0</v>
      </c>
      <c r="J1465" s="4">
        <v>0</v>
      </c>
      <c r="K1465" s="4">
        <v>938048.44</v>
      </c>
      <c r="L1465" s="4" t="s">
        <v>4477</v>
      </c>
      <c r="M1465" s="4" t="s">
        <v>4478</v>
      </c>
      <c r="N1465" s="4" t="s">
        <v>3291</v>
      </c>
      <c r="O1465" s="4" t="s">
        <v>33</v>
      </c>
      <c r="P1465" s="4" t="s">
        <v>33</v>
      </c>
      <c r="Q1465" s="8" t="s">
        <v>100</v>
      </c>
      <c r="R1465" s="9">
        <f t="shared" si="23"/>
        <v>1.3829295469218302E-5</v>
      </c>
      <c r="S1465" s="55">
        <f>Tabla3[[#This Row],[Subtotal]]/12</f>
        <v>65689.666666666672</v>
      </c>
    </row>
    <row r="1466" spans="1:19" x14ac:dyDescent="0.2">
      <c r="A1466" s="4">
        <v>87</v>
      </c>
      <c r="B1466" s="2">
        <v>784059</v>
      </c>
      <c r="C1466" s="2">
        <v>0</v>
      </c>
      <c r="D1466" s="4" t="s">
        <v>2994</v>
      </c>
      <c r="E1466" s="2">
        <v>784059</v>
      </c>
      <c r="F1466" s="2">
        <v>148971.21</v>
      </c>
      <c r="G1466" s="2">
        <v>0</v>
      </c>
      <c r="H1466" s="4">
        <v>0</v>
      </c>
      <c r="I1466" s="4">
        <v>0</v>
      </c>
      <c r="J1466" s="4">
        <v>0</v>
      </c>
      <c r="K1466" s="4">
        <v>933030.21</v>
      </c>
      <c r="L1466" s="4" t="s">
        <v>2992</v>
      </c>
      <c r="M1466" s="4" t="s">
        <v>2993</v>
      </c>
      <c r="N1466" s="4" t="s">
        <v>20</v>
      </c>
      <c r="O1466" s="4" t="s">
        <v>900</v>
      </c>
      <c r="P1466" s="4" t="s">
        <v>143</v>
      </c>
      <c r="Q1466" s="8" t="s">
        <v>1378</v>
      </c>
      <c r="R1466" s="9">
        <f t="shared" si="23"/>
        <v>1.3755313591051651E-5</v>
      </c>
      <c r="S1466" s="55">
        <f>Tabla3[[#This Row],[Subtotal]]/12</f>
        <v>65338.25</v>
      </c>
    </row>
    <row r="1467" spans="1:19" x14ac:dyDescent="0.2">
      <c r="A1467" s="4">
        <v>102</v>
      </c>
      <c r="B1467" s="2">
        <v>780846</v>
      </c>
      <c r="C1467" s="2">
        <v>0</v>
      </c>
      <c r="D1467" s="4" t="s">
        <v>4482</v>
      </c>
      <c r="E1467" s="2">
        <v>780846</v>
      </c>
      <c r="F1467" s="2">
        <v>148360.74</v>
      </c>
      <c r="G1467" s="2">
        <v>0</v>
      </c>
      <c r="H1467" s="4">
        <v>0</v>
      </c>
      <c r="I1467" s="4">
        <v>0</v>
      </c>
      <c r="J1467" s="4">
        <v>0</v>
      </c>
      <c r="K1467" s="4">
        <v>929206.74</v>
      </c>
      <c r="L1467" s="4" t="s">
        <v>4480</v>
      </c>
      <c r="M1467" s="4" t="s">
        <v>4481</v>
      </c>
      <c r="N1467" s="4" t="s">
        <v>142</v>
      </c>
      <c r="O1467" s="4" t="s">
        <v>340</v>
      </c>
      <c r="P1467" s="4" t="s">
        <v>340</v>
      </c>
      <c r="Q1467" s="8" t="s">
        <v>100</v>
      </c>
      <c r="R1467" s="9">
        <f t="shared" si="23"/>
        <v>1.3698945610366463E-5</v>
      </c>
      <c r="S1467" s="55">
        <f>Tabla3[[#This Row],[Subtotal]]/12</f>
        <v>65070.5</v>
      </c>
    </row>
    <row r="1468" spans="1:19" x14ac:dyDescent="0.2">
      <c r="A1468" s="4">
        <v>652</v>
      </c>
      <c r="B1468" s="2">
        <v>767376</v>
      </c>
      <c r="C1468" s="2">
        <v>0</v>
      </c>
      <c r="D1468" s="4" t="s">
        <v>4485</v>
      </c>
      <c r="E1468" s="2">
        <v>767376</v>
      </c>
      <c r="F1468" s="2">
        <v>145801.44</v>
      </c>
      <c r="G1468" s="2">
        <v>0</v>
      </c>
      <c r="H1468" s="4">
        <v>0</v>
      </c>
      <c r="I1468" s="4">
        <v>0</v>
      </c>
      <c r="J1468" s="4">
        <v>0</v>
      </c>
      <c r="K1468" s="4">
        <v>913177.44</v>
      </c>
      <c r="L1468" s="4" t="s">
        <v>4483</v>
      </c>
      <c r="M1468" s="4" t="s">
        <v>4484</v>
      </c>
      <c r="N1468" s="4" t="s">
        <v>20</v>
      </c>
      <c r="O1468" s="4" t="s">
        <v>71</v>
      </c>
      <c r="P1468" s="4" t="s">
        <v>71</v>
      </c>
      <c r="Q1468" s="8" t="s">
        <v>100</v>
      </c>
      <c r="R1468" s="9">
        <f t="shared" si="23"/>
        <v>1.3462631667064408E-5</v>
      </c>
      <c r="S1468" s="55">
        <f>Tabla3[[#This Row],[Subtotal]]/12</f>
        <v>63948</v>
      </c>
    </row>
    <row r="1469" spans="1:19" x14ac:dyDescent="0.2">
      <c r="A1469" s="4">
        <v>1721</v>
      </c>
      <c r="B1469" s="2">
        <v>752830</v>
      </c>
      <c r="C1469" s="2">
        <v>0</v>
      </c>
      <c r="D1469" s="4" t="s">
        <v>4488</v>
      </c>
      <c r="E1469" s="2">
        <v>752830</v>
      </c>
      <c r="F1469" s="2">
        <v>143037.70000000001</v>
      </c>
      <c r="G1469" s="2">
        <v>0</v>
      </c>
      <c r="H1469" s="4">
        <v>0</v>
      </c>
      <c r="I1469" s="4">
        <v>0</v>
      </c>
      <c r="J1469" s="4">
        <v>0</v>
      </c>
      <c r="K1469" s="4">
        <v>895867.7</v>
      </c>
      <c r="L1469" s="4" t="s">
        <v>4486</v>
      </c>
      <c r="M1469" s="4" t="s">
        <v>4487</v>
      </c>
      <c r="N1469" s="4" t="s">
        <v>20</v>
      </c>
      <c r="O1469" s="4" t="s">
        <v>372</v>
      </c>
      <c r="P1469" s="4" t="s">
        <v>372</v>
      </c>
      <c r="Q1469" s="8" t="s">
        <v>100</v>
      </c>
      <c r="R1469" s="9">
        <f t="shared" si="23"/>
        <v>1.3207440678254334E-5</v>
      </c>
      <c r="S1469" s="55">
        <f>Tabla3[[#This Row],[Subtotal]]/12</f>
        <v>62735.833333333336</v>
      </c>
    </row>
    <row r="1470" spans="1:19" x14ac:dyDescent="0.2">
      <c r="A1470" s="4">
        <v>533</v>
      </c>
      <c r="B1470" s="2">
        <v>739185</v>
      </c>
      <c r="C1470" s="2">
        <v>0</v>
      </c>
      <c r="D1470" s="4" t="s">
        <v>4491</v>
      </c>
      <c r="E1470" s="2">
        <v>739185</v>
      </c>
      <c r="F1470" s="2">
        <v>140445.15</v>
      </c>
      <c r="G1470" s="2">
        <v>0</v>
      </c>
      <c r="H1470" s="4">
        <v>0</v>
      </c>
      <c r="I1470" s="4">
        <v>0</v>
      </c>
      <c r="J1470" s="4">
        <v>0</v>
      </c>
      <c r="K1470" s="4">
        <v>879630.15</v>
      </c>
      <c r="L1470" s="4" t="s">
        <v>4489</v>
      </c>
      <c r="M1470" s="4" t="s">
        <v>4490</v>
      </c>
      <c r="N1470" s="4" t="s">
        <v>20</v>
      </c>
      <c r="O1470" s="4" t="s">
        <v>692</v>
      </c>
      <c r="P1470" s="4" t="s">
        <v>692</v>
      </c>
      <c r="Q1470" s="8" t="s">
        <v>100</v>
      </c>
      <c r="R1470" s="9">
        <f t="shared" si="23"/>
        <v>1.2968056583498837E-5</v>
      </c>
      <c r="S1470" s="55">
        <f>Tabla3[[#This Row],[Subtotal]]/12</f>
        <v>61598.75</v>
      </c>
    </row>
    <row r="1471" spans="1:19" x14ac:dyDescent="0.2">
      <c r="A1471" s="4">
        <v>1148</v>
      </c>
      <c r="B1471" s="2">
        <v>737300</v>
      </c>
      <c r="C1471" s="2">
        <v>0</v>
      </c>
      <c r="D1471" s="4" t="s">
        <v>4494</v>
      </c>
      <c r="E1471" s="2">
        <v>737300</v>
      </c>
      <c r="F1471" s="2">
        <v>140087</v>
      </c>
      <c r="G1471" s="2">
        <v>0</v>
      </c>
      <c r="H1471" s="4">
        <v>0</v>
      </c>
      <c r="I1471" s="4">
        <v>0</v>
      </c>
      <c r="J1471" s="4">
        <v>0</v>
      </c>
      <c r="K1471" s="4">
        <v>877387</v>
      </c>
      <c r="L1471" s="4" t="s">
        <v>4492</v>
      </c>
      <c r="M1471" s="4" t="s">
        <v>4493</v>
      </c>
      <c r="N1471" s="4" t="s">
        <v>20</v>
      </c>
      <c r="O1471" s="4" t="s">
        <v>900</v>
      </c>
      <c r="P1471" s="4" t="s">
        <v>900</v>
      </c>
      <c r="Q1471" s="8" t="s">
        <v>585</v>
      </c>
      <c r="R1471" s="9">
        <f t="shared" si="23"/>
        <v>1.2934986666414624E-5</v>
      </c>
      <c r="S1471" s="55">
        <f>Tabla3[[#This Row],[Subtotal]]/12</f>
        <v>61441.666666666664</v>
      </c>
    </row>
    <row r="1472" spans="1:19" x14ac:dyDescent="0.2">
      <c r="A1472" s="4">
        <v>865</v>
      </c>
      <c r="B1472" s="2">
        <v>736182</v>
      </c>
      <c r="C1472" s="2">
        <v>0</v>
      </c>
      <c r="D1472" s="4" t="s">
        <v>4497</v>
      </c>
      <c r="E1472" s="2">
        <v>736182</v>
      </c>
      <c r="F1472" s="2">
        <v>139874.57999999999</v>
      </c>
      <c r="G1472" s="2">
        <v>0</v>
      </c>
      <c r="H1472" s="4">
        <v>0</v>
      </c>
      <c r="I1472" s="4">
        <v>0</v>
      </c>
      <c r="J1472" s="4">
        <v>0</v>
      </c>
      <c r="K1472" s="4">
        <v>876056.58</v>
      </c>
      <c r="L1472" s="4" t="s">
        <v>4495</v>
      </c>
      <c r="M1472" s="4" t="s">
        <v>4496</v>
      </c>
      <c r="N1472" s="4" t="s">
        <v>20</v>
      </c>
      <c r="O1472" s="4" t="s">
        <v>316</v>
      </c>
      <c r="P1472" s="4" t="s">
        <v>1039</v>
      </c>
      <c r="Q1472" s="8" t="s">
        <v>100</v>
      </c>
      <c r="R1472" s="9">
        <f t="shared" si="23"/>
        <v>1.2915372784557779E-5</v>
      </c>
      <c r="S1472" s="55">
        <f>Tabla3[[#This Row],[Subtotal]]/12</f>
        <v>61348.5</v>
      </c>
    </row>
    <row r="1473" spans="1:19" x14ac:dyDescent="0.2">
      <c r="A1473" s="4">
        <v>864</v>
      </c>
      <c r="B1473" s="2">
        <v>735168</v>
      </c>
      <c r="C1473" s="2">
        <v>0</v>
      </c>
      <c r="D1473" s="4" t="s">
        <v>4500</v>
      </c>
      <c r="E1473" s="2">
        <v>735168</v>
      </c>
      <c r="F1473" s="2">
        <v>139681.92000000001</v>
      </c>
      <c r="G1473" s="2">
        <v>0</v>
      </c>
      <c r="H1473" s="4">
        <v>0</v>
      </c>
      <c r="I1473" s="4">
        <v>0</v>
      </c>
      <c r="J1473" s="4">
        <v>0</v>
      </c>
      <c r="K1473" s="4">
        <v>874849.92</v>
      </c>
      <c r="L1473" s="4" t="s">
        <v>4498</v>
      </c>
      <c r="M1473" s="4" t="s">
        <v>4499</v>
      </c>
      <c r="N1473" s="4" t="s">
        <v>20</v>
      </c>
      <c r="O1473" s="4" t="s">
        <v>631</v>
      </c>
      <c r="P1473" s="4" t="s">
        <v>631</v>
      </c>
      <c r="Q1473" s="8" t="s">
        <v>100</v>
      </c>
      <c r="R1473" s="9">
        <f t="shared" si="23"/>
        <v>1.2897583449850408E-5</v>
      </c>
      <c r="S1473" s="55">
        <f>Tabla3[[#This Row],[Subtotal]]/12</f>
        <v>61264</v>
      </c>
    </row>
    <row r="1474" spans="1:19" x14ac:dyDescent="0.2">
      <c r="A1474" s="4">
        <v>273</v>
      </c>
      <c r="B1474" s="2">
        <v>729212</v>
      </c>
      <c r="C1474" s="2">
        <v>0</v>
      </c>
      <c r="D1474" s="4" t="s">
        <v>4503</v>
      </c>
      <c r="E1474" s="2">
        <v>729212</v>
      </c>
      <c r="F1474" s="2">
        <v>138550.28</v>
      </c>
      <c r="G1474" s="2">
        <v>0</v>
      </c>
      <c r="H1474" s="4">
        <v>0</v>
      </c>
      <c r="I1474" s="4">
        <v>0</v>
      </c>
      <c r="J1474" s="4">
        <v>0</v>
      </c>
      <c r="K1474" s="4">
        <v>867762.28</v>
      </c>
      <c r="L1474" s="4" t="s">
        <v>4501</v>
      </c>
      <c r="M1474" s="4" t="s">
        <v>4502</v>
      </c>
      <c r="N1474" s="4" t="s">
        <v>368</v>
      </c>
      <c r="O1474" s="4" t="s">
        <v>1891</v>
      </c>
      <c r="P1474" s="4" t="s">
        <v>1891</v>
      </c>
      <c r="Q1474" s="8" t="s">
        <v>1378</v>
      </c>
      <c r="R1474" s="9">
        <f t="shared" si="23"/>
        <v>1.2793093038097843E-5</v>
      </c>
      <c r="S1474" s="55">
        <f>Tabla3[[#This Row],[Subtotal]]/12</f>
        <v>60767.666666666664</v>
      </c>
    </row>
    <row r="1475" spans="1:19" x14ac:dyDescent="0.2">
      <c r="A1475" s="4">
        <v>1636</v>
      </c>
      <c r="B1475" s="2">
        <v>720973</v>
      </c>
      <c r="C1475" s="2">
        <v>0</v>
      </c>
      <c r="D1475" s="4" t="s">
        <v>4506</v>
      </c>
      <c r="E1475" s="2">
        <v>720973</v>
      </c>
      <c r="F1475" s="2">
        <v>136984.87</v>
      </c>
      <c r="G1475" s="2">
        <v>0</v>
      </c>
      <c r="H1475" s="4">
        <v>0</v>
      </c>
      <c r="I1475" s="4">
        <v>0</v>
      </c>
      <c r="J1475" s="4">
        <v>0</v>
      </c>
      <c r="K1475" s="4">
        <v>857957.87</v>
      </c>
      <c r="L1475" s="4" t="s">
        <v>4504</v>
      </c>
      <c r="M1475" s="4" t="s">
        <v>4505</v>
      </c>
      <c r="N1475" s="4" t="s">
        <v>20</v>
      </c>
      <c r="O1475" s="4" t="s">
        <v>1549</v>
      </c>
      <c r="P1475" s="4" t="s">
        <v>1549</v>
      </c>
      <c r="Q1475" s="8" t="s">
        <v>100</v>
      </c>
      <c r="R1475" s="9">
        <f t="shared" ref="R1475:R1538" si="24">E1475/$E$1757</f>
        <v>1.264855030766981E-5</v>
      </c>
      <c r="S1475" s="55">
        <f>Tabla3[[#This Row],[Subtotal]]/12</f>
        <v>60081.083333333336</v>
      </c>
    </row>
    <row r="1476" spans="1:19" x14ac:dyDescent="0.2">
      <c r="A1476" s="4">
        <v>1012</v>
      </c>
      <c r="B1476" s="2">
        <v>712903</v>
      </c>
      <c r="C1476" s="2">
        <v>0</v>
      </c>
      <c r="D1476" s="4" t="s">
        <v>4509</v>
      </c>
      <c r="E1476" s="2">
        <v>712903</v>
      </c>
      <c r="F1476" s="2">
        <v>135451.57</v>
      </c>
      <c r="G1476" s="2">
        <v>0</v>
      </c>
      <c r="H1476" s="4">
        <v>0</v>
      </c>
      <c r="I1476" s="4">
        <v>0</v>
      </c>
      <c r="J1476" s="4">
        <v>0</v>
      </c>
      <c r="K1476" s="4">
        <v>848354.57</v>
      </c>
      <c r="L1476" s="4" t="s">
        <v>4507</v>
      </c>
      <c r="M1476" s="4" t="s">
        <v>4508</v>
      </c>
      <c r="N1476" s="4" t="s">
        <v>20</v>
      </c>
      <c r="O1476" s="4" t="s">
        <v>3938</v>
      </c>
      <c r="P1476" s="4" t="s">
        <v>3938</v>
      </c>
      <c r="Q1476" s="8" t="s">
        <v>1378</v>
      </c>
      <c r="R1476" s="9">
        <f t="shared" si="24"/>
        <v>1.2506972466359669E-5</v>
      </c>
      <c r="S1476" s="55">
        <f>Tabla3[[#This Row],[Subtotal]]/12</f>
        <v>59408.583333333336</v>
      </c>
    </row>
    <row r="1477" spans="1:19" x14ac:dyDescent="0.2">
      <c r="A1477" s="4">
        <v>1299</v>
      </c>
      <c r="B1477" s="2">
        <v>706857</v>
      </c>
      <c r="C1477" s="2">
        <v>0</v>
      </c>
      <c r="D1477" s="4" t="s">
        <v>4512</v>
      </c>
      <c r="E1477" s="2">
        <v>706857</v>
      </c>
      <c r="F1477" s="2">
        <v>134302.82999999999</v>
      </c>
      <c r="G1477" s="2">
        <v>0</v>
      </c>
      <c r="H1477" s="4">
        <v>0</v>
      </c>
      <c r="I1477" s="4">
        <v>0</v>
      </c>
      <c r="J1477" s="4">
        <v>0</v>
      </c>
      <c r="K1477" s="4">
        <v>841159.83</v>
      </c>
      <c r="L1477" s="4" t="s">
        <v>4510</v>
      </c>
      <c r="M1477" s="4" t="s">
        <v>4511</v>
      </c>
      <c r="N1477" s="4" t="s">
        <v>368</v>
      </c>
      <c r="O1477" s="4" t="s">
        <v>900</v>
      </c>
      <c r="P1477" s="4" t="s">
        <v>900</v>
      </c>
      <c r="Q1477" s="8" t="s">
        <v>1378</v>
      </c>
      <c r="R1477" s="9">
        <f t="shared" si="24"/>
        <v>1.2400903119573906E-5</v>
      </c>
      <c r="S1477" s="55">
        <f>Tabla3[[#This Row],[Subtotal]]/12</f>
        <v>58904.75</v>
      </c>
    </row>
    <row r="1478" spans="1:19" x14ac:dyDescent="0.2">
      <c r="A1478" s="4">
        <v>1411</v>
      </c>
      <c r="B1478" s="2">
        <v>705751</v>
      </c>
      <c r="C1478" s="2">
        <v>0</v>
      </c>
      <c r="D1478" s="4" t="s">
        <v>4515</v>
      </c>
      <c r="E1478" s="2">
        <v>705751</v>
      </c>
      <c r="F1478" s="2">
        <v>134092.69</v>
      </c>
      <c r="G1478" s="2">
        <v>9530</v>
      </c>
      <c r="H1478" s="4">
        <v>20113.900000000001</v>
      </c>
      <c r="I1478" s="4">
        <v>0</v>
      </c>
      <c r="J1478" s="4">
        <v>29643.9</v>
      </c>
      <c r="K1478" s="4">
        <v>810199.79</v>
      </c>
      <c r="L1478" s="4" t="s">
        <v>4513</v>
      </c>
      <c r="M1478" s="4" t="s">
        <v>4514</v>
      </c>
      <c r="N1478" s="4" t="s">
        <v>88</v>
      </c>
      <c r="O1478" s="4" t="s">
        <v>76</v>
      </c>
      <c r="P1478" s="4" t="s">
        <v>76</v>
      </c>
      <c r="Q1478" s="8" t="s">
        <v>408</v>
      </c>
      <c r="R1478" s="9">
        <f t="shared" si="24"/>
        <v>1.2381499762388156E-5</v>
      </c>
      <c r="S1478" s="55">
        <f>Tabla3[[#This Row],[Subtotal]]/12</f>
        <v>58812.583333333336</v>
      </c>
    </row>
    <row r="1479" spans="1:19" x14ac:dyDescent="0.2">
      <c r="A1479" s="4">
        <v>862</v>
      </c>
      <c r="B1479" s="2">
        <v>703266</v>
      </c>
      <c r="C1479" s="2">
        <v>0</v>
      </c>
      <c r="D1479" s="4" t="s">
        <v>4518</v>
      </c>
      <c r="E1479" s="2">
        <v>703266</v>
      </c>
      <c r="F1479" s="2">
        <v>133620.54</v>
      </c>
      <c r="G1479" s="2">
        <v>0</v>
      </c>
      <c r="H1479" s="4">
        <v>0</v>
      </c>
      <c r="I1479" s="4">
        <v>0</v>
      </c>
      <c r="J1479" s="4">
        <v>0</v>
      </c>
      <c r="K1479" s="4">
        <v>836886.54</v>
      </c>
      <c r="L1479" s="4" t="s">
        <v>4516</v>
      </c>
      <c r="M1479" s="4" t="s">
        <v>4517</v>
      </c>
      <c r="N1479" s="4" t="s">
        <v>4519</v>
      </c>
      <c r="O1479" s="4" t="s">
        <v>382</v>
      </c>
      <c r="P1479" s="4" t="s">
        <v>382</v>
      </c>
      <c r="Q1479" s="8" t="s">
        <v>100</v>
      </c>
      <c r="R1479" s="9">
        <f t="shared" si="24"/>
        <v>1.2337903611749283E-5</v>
      </c>
      <c r="S1479" s="55">
        <f>Tabla3[[#This Row],[Subtotal]]/12</f>
        <v>58605.5</v>
      </c>
    </row>
    <row r="1480" spans="1:19" x14ac:dyDescent="0.2">
      <c r="A1480" s="4">
        <v>1666</v>
      </c>
      <c r="B1480" s="2">
        <v>702480</v>
      </c>
      <c r="C1480" s="2">
        <v>0</v>
      </c>
      <c r="D1480" s="4" t="s">
        <v>4522</v>
      </c>
      <c r="E1480" s="2">
        <v>702480</v>
      </c>
      <c r="F1480" s="2">
        <v>133471.20000000001</v>
      </c>
      <c r="G1480" s="2">
        <v>0</v>
      </c>
      <c r="H1480" s="4">
        <v>0</v>
      </c>
      <c r="I1480" s="4">
        <v>0</v>
      </c>
      <c r="J1480" s="4">
        <v>0</v>
      </c>
      <c r="K1480" s="4">
        <v>835951.2</v>
      </c>
      <c r="L1480" s="4" t="s">
        <v>4520</v>
      </c>
      <c r="M1480" s="4" t="s">
        <v>4521</v>
      </c>
      <c r="N1480" s="4" t="s">
        <v>695</v>
      </c>
      <c r="O1480" s="4" t="s">
        <v>67</v>
      </c>
      <c r="P1480" s="4" t="s">
        <v>67</v>
      </c>
      <c r="Q1480" s="8" t="s">
        <v>100</v>
      </c>
      <c r="R1480" s="9">
        <f t="shared" si="24"/>
        <v>1.2324114245792682E-5</v>
      </c>
      <c r="S1480" s="55">
        <f>Tabla3[[#This Row],[Subtotal]]/12</f>
        <v>58540</v>
      </c>
    </row>
    <row r="1481" spans="1:19" x14ac:dyDescent="0.2">
      <c r="A1481" s="4">
        <v>1335</v>
      </c>
      <c r="B1481" s="2">
        <v>694200</v>
      </c>
      <c r="C1481" s="2">
        <v>0</v>
      </c>
      <c r="D1481" s="4" t="s">
        <v>4525</v>
      </c>
      <c r="E1481" s="2">
        <v>694200</v>
      </c>
      <c r="F1481" s="2">
        <v>131898</v>
      </c>
      <c r="G1481" s="2">
        <v>0</v>
      </c>
      <c r="H1481" s="4">
        <v>0</v>
      </c>
      <c r="I1481" s="4">
        <v>0</v>
      </c>
      <c r="J1481" s="4">
        <v>0</v>
      </c>
      <c r="K1481" s="4">
        <v>826098</v>
      </c>
      <c r="L1481" s="4" t="s">
        <v>4523</v>
      </c>
      <c r="M1481" s="4" t="s">
        <v>4524</v>
      </c>
      <c r="N1481" s="4" t="s">
        <v>482</v>
      </c>
      <c r="O1481" s="4" t="s">
        <v>89</v>
      </c>
      <c r="P1481" s="4" t="s">
        <v>89</v>
      </c>
      <c r="Q1481" s="8" t="s">
        <v>100</v>
      </c>
      <c r="R1481" s="9">
        <f t="shared" si="24"/>
        <v>1.2178852222738413E-5</v>
      </c>
      <c r="S1481" s="55">
        <f>Tabla3[[#This Row],[Subtotal]]/12</f>
        <v>57850</v>
      </c>
    </row>
    <row r="1482" spans="1:19" x14ac:dyDescent="0.2">
      <c r="A1482" s="4">
        <v>62</v>
      </c>
      <c r="B1482" s="2">
        <v>693826</v>
      </c>
      <c r="C1482" s="2">
        <v>0</v>
      </c>
      <c r="D1482" s="4" t="s">
        <v>4528</v>
      </c>
      <c r="E1482" s="2">
        <v>693826</v>
      </c>
      <c r="F1482" s="2">
        <v>131826.94</v>
      </c>
      <c r="G1482" s="2">
        <v>0</v>
      </c>
      <c r="H1482" s="4">
        <v>0</v>
      </c>
      <c r="I1482" s="4">
        <v>0</v>
      </c>
      <c r="J1482" s="4">
        <v>0</v>
      </c>
      <c r="K1482" s="4">
        <v>825652.94</v>
      </c>
      <c r="L1482" s="4" t="s">
        <v>4526</v>
      </c>
      <c r="M1482" s="4" t="s">
        <v>4527</v>
      </c>
      <c r="N1482" s="4" t="s">
        <v>20</v>
      </c>
      <c r="O1482" s="4" t="s">
        <v>3938</v>
      </c>
      <c r="P1482" s="4" t="s">
        <v>3938</v>
      </c>
      <c r="Q1482" s="8" t="s">
        <v>1378</v>
      </c>
      <c r="R1482" s="9">
        <f t="shared" si="24"/>
        <v>1.2172290870489342E-5</v>
      </c>
      <c r="S1482" s="55">
        <f>Tabla3[[#This Row],[Subtotal]]/12</f>
        <v>57818.833333333336</v>
      </c>
    </row>
    <row r="1483" spans="1:19" x14ac:dyDescent="0.2">
      <c r="A1483" s="4">
        <v>444</v>
      </c>
      <c r="B1483" s="2">
        <v>693701</v>
      </c>
      <c r="C1483" s="2">
        <v>0</v>
      </c>
      <c r="D1483" s="4" t="s">
        <v>4531</v>
      </c>
      <c r="E1483" s="2">
        <v>693701</v>
      </c>
      <c r="F1483" s="2">
        <v>131803.19</v>
      </c>
      <c r="G1483" s="2">
        <v>0</v>
      </c>
      <c r="H1483" s="4">
        <v>0</v>
      </c>
      <c r="I1483" s="4">
        <v>0</v>
      </c>
      <c r="J1483" s="4">
        <v>0</v>
      </c>
      <c r="K1483" s="4">
        <v>825504.19</v>
      </c>
      <c r="L1483" s="4" t="s">
        <v>4529</v>
      </c>
      <c r="M1483" s="4" t="s">
        <v>4530</v>
      </c>
      <c r="N1483" s="4" t="s">
        <v>104</v>
      </c>
      <c r="O1483" s="4" t="s">
        <v>105</v>
      </c>
      <c r="P1483" s="4" t="s">
        <v>105</v>
      </c>
      <c r="Q1483" s="8" t="s">
        <v>100</v>
      </c>
      <c r="R1483" s="9">
        <f t="shared" si="24"/>
        <v>1.2170097905165456E-5</v>
      </c>
      <c r="S1483" s="55">
        <f>Tabla3[[#This Row],[Subtotal]]/12</f>
        <v>57808.416666666664</v>
      </c>
    </row>
    <row r="1484" spans="1:19" x14ac:dyDescent="0.2">
      <c r="A1484" s="4">
        <v>526</v>
      </c>
      <c r="B1484" s="2">
        <v>687395</v>
      </c>
      <c r="C1484" s="2">
        <v>0</v>
      </c>
      <c r="D1484" s="4" t="s">
        <v>4534</v>
      </c>
      <c r="E1484" s="2">
        <v>687395</v>
      </c>
      <c r="F1484" s="2">
        <v>129655.05</v>
      </c>
      <c r="G1484" s="2">
        <v>0</v>
      </c>
      <c r="H1484" s="4">
        <v>0</v>
      </c>
      <c r="I1484" s="4">
        <v>0</v>
      </c>
      <c r="J1484" s="4">
        <v>0</v>
      </c>
      <c r="K1484" s="4">
        <v>817050.05</v>
      </c>
      <c r="L1484" s="4" t="s">
        <v>4532</v>
      </c>
      <c r="M1484" s="4" t="s">
        <v>4533</v>
      </c>
      <c r="N1484" s="4" t="s">
        <v>20</v>
      </c>
      <c r="O1484" s="4" t="s">
        <v>1677</v>
      </c>
      <c r="P1484" s="4" t="s">
        <v>1677</v>
      </c>
      <c r="Q1484" s="8" t="s">
        <v>144</v>
      </c>
      <c r="R1484" s="9">
        <f t="shared" si="24"/>
        <v>1.2059467190506009E-5</v>
      </c>
      <c r="S1484" s="55">
        <f>Tabla3[[#This Row],[Subtotal]]/12</f>
        <v>57282.916666666664</v>
      </c>
    </row>
    <row r="1485" spans="1:19" x14ac:dyDescent="0.2">
      <c r="A1485" s="4">
        <v>1497</v>
      </c>
      <c r="B1485" s="2">
        <v>686690</v>
      </c>
      <c r="C1485" s="2">
        <v>0</v>
      </c>
      <c r="D1485" s="4" t="s">
        <v>4537</v>
      </c>
      <c r="E1485" s="2">
        <v>686690</v>
      </c>
      <c r="F1485" s="2">
        <v>130471.1</v>
      </c>
      <c r="G1485" s="2">
        <v>0</v>
      </c>
      <c r="H1485" s="4">
        <v>0</v>
      </c>
      <c r="I1485" s="4">
        <v>0</v>
      </c>
      <c r="J1485" s="4">
        <v>0</v>
      </c>
      <c r="K1485" s="4">
        <v>817161.1</v>
      </c>
      <c r="L1485" s="4" t="s">
        <v>4535</v>
      </c>
      <c r="M1485" s="4" t="s">
        <v>4536</v>
      </c>
      <c r="N1485" s="4" t="s">
        <v>4269</v>
      </c>
      <c r="O1485" s="4" t="s">
        <v>105</v>
      </c>
      <c r="P1485" s="4" t="s">
        <v>105</v>
      </c>
      <c r="Q1485" s="8" t="s">
        <v>100</v>
      </c>
      <c r="R1485" s="9">
        <f t="shared" si="24"/>
        <v>1.2047098866079286E-5</v>
      </c>
      <c r="S1485" s="55">
        <f>Tabla3[[#This Row],[Subtotal]]/12</f>
        <v>57224.166666666664</v>
      </c>
    </row>
    <row r="1486" spans="1:19" x14ac:dyDescent="0.2">
      <c r="A1486" s="4">
        <v>220</v>
      </c>
      <c r="B1486" s="2">
        <v>686281</v>
      </c>
      <c r="C1486" s="2">
        <v>0</v>
      </c>
      <c r="D1486" s="4" t="s">
        <v>4540</v>
      </c>
      <c r="E1486" s="2">
        <v>686281</v>
      </c>
      <c r="F1486" s="2">
        <v>130393.39</v>
      </c>
      <c r="G1486" s="2">
        <v>0</v>
      </c>
      <c r="H1486" s="4">
        <v>0</v>
      </c>
      <c r="I1486" s="4">
        <v>0</v>
      </c>
      <c r="J1486" s="4">
        <v>0</v>
      </c>
      <c r="K1486" s="4">
        <v>816674.39</v>
      </c>
      <c r="L1486" s="4" t="s">
        <v>4538</v>
      </c>
      <c r="M1486" s="4" t="s">
        <v>4539</v>
      </c>
      <c r="N1486" s="4" t="s">
        <v>20</v>
      </c>
      <c r="O1486" s="4" t="s">
        <v>1356</v>
      </c>
      <c r="P1486" s="4" t="s">
        <v>1356</v>
      </c>
      <c r="Q1486" s="8" t="s">
        <v>100</v>
      </c>
      <c r="R1486" s="9">
        <f t="shared" si="24"/>
        <v>1.2039923483539528E-5</v>
      </c>
      <c r="S1486" s="55">
        <f>Tabla3[[#This Row],[Subtotal]]/12</f>
        <v>57190.083333333336</v>
      </c>
    </row>
    <row r="1487" spans="1:19" x14ac:dyDescent="0.2">
      <c r="A1487" s="4">
        <v>587</v>
      </c>
      <c r="B1487" s="2">
        <v>685334</v>
      </c>
      <c r="C1487" s="2">
        <v>0</v>
      </c>
      <c r="D1487" s="4" t="s">
        <v>4543</v>
      </c>
      <c r="E1487" s="2">
        <v>685334</v>
      </c>
      <c r="F1487" s="2">
        <v>130213.46</v>
      </c>
      <c r="G1487" s="2">
        <v>0</v>
      </c>
      <c r="H1487" s="4">
        <v>0</v>
      </c>
      <c r="I1487" s="4">
        <v>0</v>
      </c>
      <c r="J1487" s="4">
        <v>0</v>
      </c>
      <c r="K1487" s="4">
        <v>815547.46</v>
      </c>
      <c r="L1487" s="4" t="s">
        <v>4541</v>
      </c>
      <c r="M1487" s="4" t="s">
        <v>4542</v>
      </c>
      <c r="N1487" s="4" t="s">
        <v>1143</v>
      </c>
      <c r="O1487" s="4" t="s">
        <v>340</v>
      </c>
      <c r="P1487" s="4" t="s">
        <v>340</v>
      </c>
      <c r="Q1487" s="8" t="s">
        <v>100</v>
      </c>
      <c r="R1487" s="9">
        <f t="shared" si="24"/>
        <v>1.2023309578245761E-5</v>
      </c>
      <c r="S1487" s="55">
        <f>Tabla3[[#This Row],[Subtotal]]/12</f>
        <v>57111.166666666664</v>
      </c>
    </row>
    <row r="1488" spans="1:19" x14ac:dyDescent="0.2">
      <c r="A1488" s="4">
        <v>1194</v>
      </c>
      <c r="B1488" s="2">
        <v>684541</v>
      </c>
      <c r="C1488" s="2">
        <v>0</v>
      </c>
      <c r="D1488" s="4" t="s">
        <v>4546</v>
      </c>
      <c r="E1488" s="2">
        <v>684541</v>
      </c>
      <c r="F1488" s="2">
        <v>130062.79</v>
      </c>
      <c r="G1488" s="2">
        <v>0</v>
      </c>
      <c r="H1488" s="4">
        <v>0</v>
      </c>
      <c r="I1488" s="4">
        <v>0</v>
      </c>
      <c r="J1488" s="4">
        <v>0</v>
      </c>
      <c r="K1488" s="4">
        <v>814603.79</v>
      </c>
      <c r="L1488" s="4" t="s">
        <v>4544</v>
      </c>
      <c r="M1488" s="4" t="s">
        <v>4545</v>
      </c>
      <c r="N1488" s="4" t="s">
        <v>20</v>
      </c>
      <c r="O1488" s="4" t="s">
        <v>3938</v>
      </c>
      <c r="P1488" s="4" t="s">
        <v>3938</v>
      </c>
      <c r="Q1488" s="8" t="s">
        <v>1378</v>
      </c>
      <c r="R1488" s="9">
        <f t="shared" si="24"/>
        <v>1.2009397406231022E-5</v>
      </c>
      <c r="S1488" s="55">
        <f>Tabla3[[#This Row],[Subtotal]]/12</f>
        <v>57045.083333333336</v>
      </c>
    </row>
    <row r="1489" spans="1:19" x14ac:dyDescent="0.2">
      <c r="A1489" s="4">
        <v>1516</v>
      </c>
      <c r="B1489" s="2">
        <v>684142</v>
      </c>
      <c r="C1489" s="2">
        <v>0</v>
      </c>
      <c r="D1489" s="4" t="s">
        <v>4549</v>
      </c>
      <c r="E1489" s="2">
        <v>684142</v>
      </c>
      <c r="F1489" s="2">
        <v>129986.98</v>
      </c>
      <c r="G1489" s="2">
        <v>0</v>
      </c>
      <c r="H1489" s="4">
        <v>0</v>
      </c>
      <c r="I1489" s="4">
        <v>0</v>
      </c>
      <c r="J1489" s="4">
        <v>0</v>
      </c>
      <c r="K1489" s="4">
        <v>814128.98</v>
      </c>
      <c r="L1489" s="4" t="s">
        <v>4547</v>
      </c>
      <c r="M1489" s="4" t="s">
        <v>4548</v>
      </c>
      <c r="N1489" s="4" t="s">
        <v>20</v>
      </c>
      <c r="O1489" s="4" t="s">
        <v>1562</v>
      </c>
      <c r="P1489" s="4" t="s">
        <v>1562</v>
      </c>
      <c r="Q1489" s="8" t="s">
        <v>100</v>
      </c>
      <c r="R1489" s="9">
        <f t="shared" si="24"/>
        <v>1.2002397460917175E-5</v>
      </c>
      <c r="S1489" s="55">
        <f>Tabla3[[#This Row],[Subtotal]]/12</f>
        <v>57011.833333333336</v>
      </c>
    </row>
    <row r="1490" spans="1:19" x14ac:dyDescent="0.2">
      <c r="A1490" s="4">
        <v>1534</v>
      </c>
      <c r="B1490" s="2">
        <v>671911</v>
      </c>
      <c r="C1490" s="2">
        <v>0</v>
      </c>
      <c r="D1490" s="4" t="s">
        <v>4552</v>
      </c>
      <c r="E1490" s="2">
        <v>671911</v>
      </c>
      <c r="F1490" s="2">
        <v>127663.09</v>
      </c>
      <c r="G1490" s="2">
        <v>0</v>
      </c>
      <c r="H1490" s="4">
        <v>0</v>
      </c>
      <c r="I1490" s="4">
        <v>0</v>
      </c>
      <c r="J1490" s="4">
        <v>0</v>
      </c>
      <c r="K1490" s="4">
        <v>799574.09</v>
      </c>
      <c r="L1490" s="4" t="s">
        <v>4550</v>
      </c>
      <c r="M1490" s="4" t="s">
        <v>4551</v>
      </c>
      <c r="N1490" s="4" t="s">
        <v>20</v>
      </c>
      <c r="O1490" s="4" t="s">
        <v>372</v>
      </c>
      <c r="P1490" s="4" t="s">
        <v>372</v>
      </c>
      <c r="Q1490" s="8" t="s">
        <v>100</v>
      </c>
      <c r="R1490" s="9">
        <f t="shared" si="24"/>
        <v>1.1787820189905487E-5</v>
      </c>
      <c r="S1490" s="55">
        <f>Tabla3[[#This Row],[Subtotal]]/12</f>
        <v>55992.583333333336</v>
      </c>
    </row>
    <row r="1491" spans="1:19" x14ac:dyDescent="0.2">
      <c r="A1491" s="4">
        <v>1351</v>
      </c>
      <c r="B1491" s="2">
        <v>667627.47</v>
      </c>
      <c r="C1491" s="2">
        <v>0</v>
      </c>
      <c r="D1491" s="4" t="s">
        <v>4555</v>
      </c>
      <c r="E1491" s="2">
        <v>667627.47</v>
      </c>
      <c r="F1491" s="2">
        <v>126849.22</v>
      </c>
      <c r="G1491" s="2">
        <v>0</v>
      </c>
      <c r="H1491" s="4">
        <v>0</v>
      </c>
      <c r="I1491" s="4">
        <v>3338.14</v>
      </c>
      <c r="J1491" s="4">
        <v>3338.14</v>
      </c>
      <c r="K1491" s="4">
        <v>791138.55</v>
      </c>
      <c r="L1491" s="4" t="s">
        <v>4553</v>
      </c>
      <c r="M1491" s="4" t="s">
        <v>4554</v>
      </c>
      <c r="N1491" s="4" t="s">
        <v>368</v>
      </c>
      <c r="O1491" s="4" t="s">
        <v>900</v>
      </c>
      <c r="P1491" s="4" t="s">
        <v>900</v>
      </c>
      <c r="Q1491" s="8" t="s">
        <v>144</v>
      </c>
      <c r="R1491" s="9">
        <f t="shared" si="24"/>
        <v>1.1712671127874853E-5</v>
      </c>
      <c r="S1491" s="55">
        <f>Tabla3[[#This Row],[Subtotal]]/12</f>
        <v>55635.622499999998</v>
      </c>
    </row>
    <row r="1492" spans="1:19" x14ac:dyDescent="0.2">
      <c r="A1492" s="4">
        <v>1710</v>
      </c>
      <c r="B1492" s="2">
        <v>667487</v>
      </c>
      <c r="C1492" s="2">
        <v>0</v>
      </c>
      <c r="D1492" s="4" t="s">
        <v>4558</v>
      </c>
      <c r="E1492" s="2">
        <v>667487</v>
      </c>
      <c r="F1492" s="2">
        <v>126822.53</v>
      </c>
      <c r="G1492" s="2">
        <v>0</v>
      </c>
      <c r="H1492" s="4">
        <v>0</v>
      </c>
      <c r="I1492" s="4">
        <v>0</v>
      </c>
      <c r="J1492" s="4">
        <v>0</v>
      </c>
      <c r="K1492" s="4">
        <v>794309.53</v>
      </c>
      <c r="L1492" s="4" t="s">
        <v>4556</v>
      </c>
      <c r="M1492" s="4" t="s">
        <v>4557</v>
      </c>
      <c r="N1492" s="4" t="s">
        <v>20</v>
      </c>
      <c r="O1492" s="4" t="s">
        <v>257</v>
      </c>
      <c r="P1492" s="4" t="s">
        <v>257</v>
      </c>
      <c r="Q1492" s="8" t="s">
        <v>100</v>
      </c>
      <c r="R1492" s="9">
        <f t="shared" si="24"/>
        <v>1.1710206761162482E-5</v>
      </c>
      <c r="S1492" s="55">
        <f>Tabla3[[#This Row],[Subtotal]]/12</f>
        <v>55623.916666666664</v>
      </c>
    </row>
    <row r="1493" spans="1:19" x14ac:dyDescent="0.2">
      <c r="A1493" s="4">
        <v>1357</v>
      </c>
      <c r="B1493" s="2">
        <v>665745</v>
      </c>
      <c r="C1493" s="2">
        <v>0</v>
      </c>
      <c r="D1493" s="4" t="s">
        <v>4561</v>
      </c>
      <c r="E1493" s="2">
        <v>665745</v>
      </c>
      <c r="F1493" s="2">
        <v>126491.55</v>
      </c>
      <c r="G1493" s="2">
        <v>0</v>
      </c>
      <c r="H1493" s="4">
        <v>0</v>
      </c>
      <c r="I1493" s="4">
        <v>0</v>
      </c>
      <c r="J1493" s="4">
        <v>0</v>
      </c>
      <c r="K1493" s="4">
        <v>792236.55</v>
      </c>
      <c r="L1493" s="4" t="s">
        <v>4559</v>
      </c>
      <c r="M1493" s="4" t="s">
        <v>4560</v>
      </c>
      <c r="N1493" s="4" t="s">
        <v>427</v>
      </c>
      <c r="O1493" s="4" t="s">
        <v>89</v>
      </c>
      <c r="P1493" s="4" t="s">
        <v>89</v>
      </c>
      <c r="Q1493" s="8" t="s">
        <v>100</v>
      </c>
      <c r="R1493" s="9">
        <f t="shared" si="24"/>
        <v>1.1679645596408794E-5</v>
      </c>
      <c r="S1493" s="55">
        <f>Tabla3[[#This Row],[Subtotal]]/12</f>
        <v>55478.75</v>
      </c>
    </row>
    <row r="1494" spans="1:19" x14ac:dyDescent="0.2">
      <c r="A1494" s="4">
        <v>1533</v>
      </c>
      <c r="B1494" s="2">
        <v>663502</v>
      </c>
      <c r="C1494" s="2">
        <v>0</v>
      </c>
      <c r="D1494" s="4" t="s">
        <v>4564</v>
      </c>
      <c r="E1494" s="2">
        <v>663502</v>
      </c>
      <c r="F1494" s="2">
        <v>126065.38</v>
      </c>
      <c r="G1494" s="2">
        <v>0</v>
      </c>
      <c r="H1494" s="4">
        <v>0</v>
      </c>
      <c r="I1494" s="4">
        <v>0</v>
      </c>
      <c r="J1494" s="4">
        <v>0</v>
      </c>
      <c r="K1494" s="4">
        <v>789567.38</v>
      </c>
      <c r="L1494" s="4" t="s">
        <v>4562</v>
      </c>
      <c r="M1494" s="4" t="s">
        <v>4563</v>
      </c>
      <c r="N1494" s="4" t="s">
        <v>20</v>
      </c>
      <c r="O1494" s="4" t="s">
        <v>631</v>
      </c>
      <c r="P1494" s="4" t="s">
        <v>631</v>
      </c>
      <c r="Q1494" s="8" t="s">
        <v>100</v>
      </c>
      <c r="R1494" s="9">
        <f t="shared" si="24"/>
        <v>1.1640295026636966E-5</v>
      </c>
      <c r="S1494" s="55">
        <f>Tabla3[[#This Row],[Subtotal]]/12</f>
        <v>55291.833333333336</v>
      </c>
    </row>
    <row r="1495" spans="1:19" x14ac:dyDescent="0.2">
      <c r="A1495" s="4">
        <v>312</v>
      </c>
      <c r="B1495" s="2">
        <v>662591</v>
      </c>
      <c r="C1495" s="2">
        <v>0</v>
      </c>
      <c r="D1495" s="4" t="s">
        <v>4567</v>
      </c>
      <c r="E1495" s="2">
        <v>662591</v>
      </c>
      <c r="F1495" s="2">
        <v>125892.29</v>
      </c>
      <c r="G1495" s="2">
        <v>0</v>
      </c>
      <c r="H1495" s="4">
        <v>0</v>
      </c>
      <c r="I1495" s="4">
        <v>0</v>
      </c>
      <c r="J1495" s="4">
        <v>0</v>
      </c>
      <c r="K1495" s="4">
        <v>788483.29</v>
      </c>
      <c r="L1495" s="4" t="s">
        <v>4565</v>
      </c>
      <c r="M1495" s="4" t="s">
        <v>4566</v>
      </c>
      <c r="N1495" s="4" t="s">
        <v>20</v>
      </c>
      <c r="O1495" s="4" t="s">
        <v>603</v>
      </c>
      <c r="P1495" s="4" t="s">
        <v>603</v>
      </c>
      <c r="Q1495" s="8" t="s">
        <v>100</v>
      </c>
      <c r="R1495" s="9">
        <f t="shared" si="24"/>
        <v>1.1624312695356478E-5</v>
      </c>
      <c r="S1495" s="55">
        <f>Tabla3[[#This Row],[Subtotal]]/12</f>
        <v>55215.916666666664</v>
      </c>
    </row>
    <row r="1496" spans="1:19" x14ac:dyDescent="0.2">
      <c r="A1496" s="4">
        <v>696</v>
      </c>
      <c r="B1496" s="2">
        <v>660031</v>
      </c>
      <c r="C1496" s="2">
        <v>0</v>
      </c>
      <c r="D1496" s="4" t="s">
        <v>4569</v>
      </c>
      <c r="E1496" s="2">
        <v>660031</v>
      </c>
      <c r="F1496" s="2">
        <v>125405.89</v>
      </c>
      <c r="G1496" s="2">
        <v>0</v>
      </c>
      <c r="H1496" s="4">
        <v>0</v>
      </c>
      <c r="I1496" s="4">
        <v>0</v>
      </c>
      <c r="J1496" s="4">
        <v>0</v>
      </c>
      <c r="K1496" s="4">
        <v>785436.89</v>
      </c>
      <c r="L1496" s="4" t="s">
        <v>4568</v>
      </c>
      <c r="M1496" s="4" t="s">
        <v>1155</v>
      </c>
      <c r="N1496" s="4" t="s">
        <v>20</v>
      </c>
      <c r="O1496" s="4" t="s">
        <v>1157</v>
      </c>
      <c r="P1496" s="4" t="s">
        <v>1157</v>
      </c>
      <c r="Q1496" s="8" t="s">
        <v>28</v>
      </c>
      <c r="R1496" s="9">
        <f t="shared" si="24"/>
        <v>1.1579400765523275E-5</v>
      </c>
      <c r="S1496" s="55">
        <f>Tabla3[[#This Row],[Subtotal]]/12</f>
        <v>55002.583333333336</v>
      </c>
    </row>
    <row r="1497" spans="1:19" x14ac:dyDescent="0.2">
      <c r="A1497" s="4">
        <v>306</v>
      </c>
      <c r="B1497" s="2">
        <v>658859</v>
      </c>
      <c r="C1497" s="2">
        <v>0</v>
      </c>
      <c r="D1497" s="4" t="s">
        <v>4572</v>
      </c>
      <c r="E1497" s="2">
        <v>658859</v>
      </c>
      <c r="F1497" s="2">
        <v>125183.21</v>
      </c>
      <c r="G1497" s="2">
        <v>13062.7</v>
      </c>
      <c r="H1497" s="4">
        <v>0</v>
      </c>
      <c r="I1497" s="4">
        <v>0</v>
      </c>
      <c r="J1497" s="4">
        <v>13062.7</v>
      </c>
      <c r="K1497" s="4">
        <v>770979.51</v>
      </c>
      <c r="L1497" s="4" t="s">
        <v>4570</v>
      </c>
      <c r="M1497" s="4" t="s">
        <v>4571</v>
      </c>
      <c r="N1497" s="4" t="s">
        <v>1831</v>
      </c>
      <c r="O1497" s="4" t="s">
        <v>33</v>
      </c>
      <c r="P1497" s="4" t="s">
        <v>33</v>
      </c>
      <c r="Q1497" s="8" t="s">
        <v>100</v>
      </c>
      <c r="R1497" s="9">
        <f t="shared" si="24"/>
        <v>1.155883952264651E-5</v>
      </c>
      <c r="S1497" s="55">
        <f>Tabla3[[#This Row],[Subtotal]]/12</f>
        <v>54904.916666666664</v>
      </c>
    </row>
    <row r="1498" spans="1:19" x14ac:dyDescent="0.2">
      <c r="A1498" s="4">
        <v>1081</v>
      </c>
      <c r="B1498" s="2">
        <v>658804</v>
      </c>
      <c r="C1498" s="2">
        <v>0</v>
      </c>
      <c r="D1498" s="4" t="s">
        <v>4575</v>
      </c>
      <c r="E1498" s="2">
        <v>658804</v>
      </c>
      <c r="F1498" s="2">
        <v>125172.76</v>
      </c>
      <c r="G1498" s="2">
        <v>0</v>
      </c>
      <c r="H1498" s="4">
        <v>0</v>
      </c>
      <c r="I1498" s="4">
        <v>0</v>
      </c>
      <c r="J1498" s="4">
        <v>0</v>
      </c>
      <c r="K1498" s="4">
        <v>783976.76</v>
      </c>
      <c r="L1498" s="4" t="s">
        <v>4573</v>
      </c>
      <c r="M1498" s="4" t="s">
        <v>4574</v>
      </c>
      <c r="N1498" s="4" t="s">
        <v>20</v>
      </c>
      <c r="O1498" s="4" t="s">
        <v>372</v>
      </c>
      <c r="P1498" s="4" t="s">
        <v>372</v>
      </c>
      <c r="Q1498" s="8" t="s">
        <v>100</v>
      </c>
      <c r="R1498" s="9">
        <f t="shared" si="24"/>
        <v>1.1557874617904E-5</v>
      </c>
      <c r="S1498" s="55">
        <f>Tabla3[[#This Row],[Subtotal]]/12</f>
        <v>54900.333333333336</v>
      </c>
    </row>
    <row r="1499" spans="1:19" x14ac:dyDescent="0.2">
      <c r="A1499" s="4">
        <v>1612</v>
      </c>
      <c r="B1499" s="2">
        <v>657874</v>
      </c>
      <c r="C1499" s="2">
        <v>0</v>
      </c>
      <c r="D1499" s="4" t="s">
        <v>4578</v>
      </c>
      <c r="E1499" s="2">
        <v>657874</v>
      </c>
      <c r="F1499" s="2">
        <v>124996.06</v>
      </c>
      <c r="G1499" s="2">
        <v>0</v>
      </c>
      <c r="H1499" s="4">
        <v>0</v>
      </c>
      <c r="I1499" s="4">
        <v>0</v>
      </c>
      <c r="J1499" s="4">
        <v>0</v>
      </c>
      <c r="K1499" s="4">
        <v>782870.06</v>
      </c>
      <c r="L1499" s="4" t="s">
        <v>4576</v>
      </c>
      <c r="M1499" s="4" t="s">
        <v>4577</v>
      </c>
      <c r="N1499" s="4" t="s">
        <v>20</v>
      </c>
      <c r="O1499" s="4" t="s">
        <v>316</v>
      </c>
      <c r="P1499" s="4" t="s">
        <v>316</v>
      </c>
      <c r="Q1499" s="8" t="s">
        <v>100</v>
      </c>
      <c r="R1499" s="9">
        <f t="shared" si="24"/>
        <v>1.1541558955894282E-5</v>
      </c>
      <c r="S1499" s="55">
        <f>Tabla3[[#This Row],[Subtotal]]/12</f>
        <v>54822.833333333336</v>
      </c>
    </row>
    <row r="1500" spans="1:19" x14ac:dyDescent="0.2">
      <c r="A1500" s="4">
        <v>1517</v>
      </c>
      <c r="B1500" s="2">
        <v>647356</v>
      </c>
      <c r="C1500" s="2">
        <v>0</v>
      </c>
      <c r="D1500" s="4" t="s">
        <v>4581</v>
      </c>
      <c r="E1500" s="2">
        <v>647356</v>
      </c>
      <c r="F1500" s="2">
        <v>122997.64</v>
      </c>
      <c r="G1500" s="2">
        <v>0</v>
      </c>
      <c r="H1500" s="4">
        <v>0</v>
      </c>
      <c r="I1500" s="4">
        <v>0</v>
      </c>
      <c r="J1500" s="4">
        <v>0</v>
      </c>
      <c r="K1500" s="4">
        <v>770353.64</v>
      </c>
      <c r="L1500" s="4" t="s">
        <v>4579</v>
      </c>
      <c r="M1500" s="4" t="s">
        <v>4580</v>
      </c>
      <c r="N1500" s="4" t="s">
        <v>20</v>
      </c>
      <c r="O1500" s="4" t="s">
        <v>1356</v>
      </c>
      <c r="P1500" s="4" t="s">
        <v>1356</v>
      </c>
      <c r="Q1500" s="8" t="s">
        <v>100</v>
      </c>
      <c r="R1500" s="9">
        <f t="shared" si="24"/>
        <v>1.135703408168114E-5</v>
      </c>
      <c r="S1500" s="55">
        <f>Tabla3[[#This Row],[Subtotal]]/12</f>
        <v>53946.333333333336</v>
      </c>
    </row>
    <row r="1501" spans="1:19" x14ac:dyDescent="0.2">
      <c r="A1501" s="4">
        <v>873</v>
      </c>
      <c r="B1501" s="2">
        <v>644249</v>
      </c>
      <c r="C1501" s="2">
        <v>0</v>
      </c>
      <c r="D1501" s="4" t="s">
        <v>4584</v>
      </c>
      <c r="E1501" s="2">
        <v>644249</v>
      </c>
      <c r="F1501" s="2">
        <v>122407.31</v>
      </c>
      <c r="G1501" s="2">
        <v>0</v>
      </c>
      <c r="H1501" s="4">
        <v>0</v>
      </c>
      <c r="I1501" s="4">
        <v>0</v>
      </c>
      <c r="J1501" s="4">
        <v>0</v>
      </c>
      <c r="K1501" s="4">
        <v>766656.31</v>
      </c>
      <c r="L1501" s="4" t="s">
        <v>4582</v>
      </c>
      <c r="M1501" s="4" t="s">
        <v>4583</v>
      </c>
      <c r="N1501" s="4" t="s">
        <v>20</v>
      </c>
      <c r="O1501" s="4" t="s">
        <v>3938</v>
      </c>
      <c r="P1501" s="4" t="s">
        <v>3938</v>
      </c>
      <c r="Q1501" s="8" t="s">
        <v>1378</v>
      </c>
      <c r="R1501" s="9">
        <f t="shared" si="24"/>
        <v>1.1302525735590607E-5</v>
      </c>
      <c r="S1501" s="55">
        <f>Tabla3[[#This Row],[Subtotal]]/12</f>
        <v>53687.416666666664</v>
      </c>
    </row>
    <row r="1502" spans="1:19" x14ac:dyDescent="0.2">
      <c r="A1502" s="4">
        <v>941</v>
      </c>
      <c r="B1502" s="2">
        <v>642857.19999999995</v>
      </c>
      <c r="C1502" s="2">
        <v>0</v>
      </c>
      <c r="D1502" s="4" t="s">
        <v>4587</v>
      </c>
      <c r="E1502" s="2">
        <v>642857.19999999995</v>
      </c>
      <c r="F1502" s="2">
        <v>122142.87</v>
      </c>
      <c r="G1502" s="2">
        <v>0</v>
      </c>
      <c r="H1502" s="4">
        <v>0</v>
      </c>
      <c r="I1502" s="4">
        <v>0</v>
      </c>
      <c r="J1502" s="4">
        <v>0</v>
      </c>
      <c r="K1502" s="4">
        <v>765000.07</v>
      </c>
      <c r="L1502" s="4" t="s">
        <v>4585</v>
      </c>
      <c r="M1502" s="4" t="s">
        <v>4586</v>
      </c>
      <c r="N1502" s="4" t="s">
        <v>20</v>
      </c>
      <c r="O1502" s="4" t="s">
        <v>1677</v>
      </c>
      <c r="P1502" s="4" t="s">
        <v>1677</v>
      </c>
      <c r="Q1502" s="8" t="s">
        <v>144</v>
      </c>
      <c r="R1502" s="9">
        <f t="shared" si="24"/>
        <v>1.127810838248832E-5</v>
      </c>
      <c r="S1502" s="55">
        <f>Tabla3[[#This Row],[Subtotal]]/12</f>
        <v>53571.433333333327</v>
      </c>
    </row>
    <row r="1503" spans="1:19" x14ac:dyDescent="0.2">
      <c r="A1503" s="4">
        <v>313</v>
      </c>
      <c r="B1503" s="2">
        <v>635985</v>
      </c>
      <c r="C1503" s="2">
        <v>0</v>
      </c>
      <c r="D1503" s="4" t="s">
        <v>4590</v>
      </c>
      <c r="E1503" s="2">
        <v>635985</v>
      </c>
      <c r="F1503" s="2">
        <v>120837.15</v>
      </c>
      <c r="G1503" s="2">
        <v>15899.63</v>
      </c>
      <c r="H1503" s="4">
        <v>0</v>
      </c>
      <c r="I1503" s="4">
        <v>0</v>
      </c>
      <c r="J1503" s="4">
        <v>15899.63</v>
      </c>
      <c r="K1503" s="4">
        <v>740922.52</v>
      </c>
      <c r="L1503" s="4" t="s">
        <v>4588</v>
      </c>
      <c r="M1503" s="4" t="s">
        <v>4589</v>
      </c>
      <c r="N1503" s="4" t="s">
        <v>46</v>
      </c>
      <c r="O1503" s="4" t="s">
        <v>2025</v>
      </c>
      <c r="P1503" s="4" t="s">
        <v>2025</v>
      </c>
      <c r="Q1503" s="8" t="s">
        <v>100</v>
      </c>
      <c r="R1503" s="9">
        <f t="shared" si="24"/>
        <v>1.1157544412097795E-5</v>
      </c>
      <c r="S1503" s="55">
        <f>Tabla3[[#This Row],[Subtotal]]/12</f>
        <v>52998.75</v>
      </c>
    </row>
    <row r="1504" spans="1:19" x14ac:dyDescent="0.2">
      <c r="A1504" s="4">
        <v>1750</v>
      </c>
      <c r="B1504" s="2">
        <v>649345</v>
      </c>
      <c r="C1504" s="2">
        <v>13427.6</v>
      </c>
      <c r="D1504" s="4" t="s">
        <v>4593</v>
      </c>
      <c r="E1504" s="2">
        <v>635917.4</v>
      </c>
      <c r="F1504" s="2">
        <v>120824.31</v>
      </c>
      <c r="G1504" s="2">
        <v>0</v>
      </c>
      <c r="H1504" s="4">
        <v>0</v>
      </c>
      <c r="I1504" s="4">
        <v>0</v>
      </c>
      <c r="J1504" s="4">
        <v>0</v>
      </c>
      <c r="K1504" s="4">
        <v>756741.71</v>
      </c>
      <c r="L1504" s="4" t="s">
        <v>4591</v>
      </c>
      <c r="M1504" s="4" t="s">
        <v>4592</v>
      </c>
      <c r="N1504" s="4" t="s">
        <v>20</v>
      </c>
      <c r="O1504" s="4" t="s">
        <v>3938</v>
      </c>
      <c r="P1504" s="4" t="s">
        <v>3938</v>
      </c>
      <c r="Q1504" s="8" t="s">
        <v>1378</v>
      </c>
      <c r="R1504" s="9">
        <f t="shared" si="24"/>
        <v>1.1156358456450638E-5</v>
      </c>
      <c r="S1504" s="55">
        <f>Tabla3[[#This Row],[Subtotal]]/12</f>
        <v>52993.116666666669</v>
      </c>
    </row>
    <row r="1505" spans="1:19" x14ac:dyDescent="0.2">
      <c r="A1505" s="4">
        <v>820</v>
      </c>
      <c r="B1505" s="2">
        <v>634162</v>
      </c>
      <c r="C1505" s="2">
        <v>0</v>
      </c>
      <c r="D1505" s="4" t="s">
        <v>4596</v>
      </c>
      <c r="E1505" s="2">
        <v>634162</v>
      </c>
      <c r="F1505" s="2">
        <v>120490.78</v>
      </c>
      <c r="G1505" s="2">
        <v>0</v>
      </c>
      <c r="H1505" s="4">
        <v>0</v>
      </c>
      <c r="I1505" s="4">
        <v>0</v>
      </c>
      <c r="J1505" s="4">
        <v>0</v>
      </c>
      <c r="K1505" s="4">
        <v>754652.78</v>
      </c>
      <c r="L1505" s="4" t="s">
        <v>4594</v>
      </c>
      <c r="M1505" s="4" t="s">
        <v>4595</v>
      </c>
      <c r="N1505" s="4" t="s">
        <v>1421</v>
      </c>
      <c r="O1505" s="4" t="s">
        <v>340</v>
      </c>
      <c r="P1505" s="4" t="s">
        <v>340</v>
      </c>
      <c r="Q1505" s="8" t="s">
        <v>100</v>
      </c>
      <c r="R1505" s="9">
        <f t="shared" si="24"/>
        <v>1.1125562205814229E-5</v>
      </c>
      <c r="S1505" s="55">
        <f>Tabla3[[#This Row],[Subtotal]]/12</f>
        <v>52846.833333333336</v>
      </c>
    </row>
    <row r="1506" spans="1:19" x14ac:dyDescent="0.2">
      <c r="A1506" s="4">
        <v>1570</v>
      </c>
      <c r="B1506" s="2">
        <v>630151</v>
      </c>
      <c r="C1506" s="2">
        <v>0</v>
      </c>
      <c r="D1506" s="4" t="s">
        <v>4599</v>
      </c>
      <c r="E1506" s="2">
        <v>630151</v>
      </c>
      <c r="F1506" s="2">
        <v>119728.69</v>
      </c>
      <c r="G1506" s="2">
        <v>0</v>
      </c>
      <c r="H1506" s="4">
        <v>0</v>
      </c>
      <c r="I1506" s="4">
        <v>0</v>
      </c>
      <c r="J1506" s="4">
        <v>0</v>
      </c>
      <c r="K1506" s="4">
        <v>749879.69</v>
      </c>
      <c r="L1506" s="4" t="s">
        <v>4597</v>
      </c>
      <c r="M1506" s="4" t="s">
        <v>4598</v>
      </c>
      <c r="N1506" s="4" t="s">
        <v>20</v>
      </c>
      <c r="O1506" s="4" t="s">
        <v>603</v>
      </c>
      <c r="P1506" s="4" t="s">
        <v>603</v>
      </c>
      <c r="Q1506" s="8" t="s">
        <v>100</v>
      </c>
      <c r="R1506" s="9">
        <f t="shared" si="24"/>
        <v>1.1055194334501345E-5</v>
      </c>
      <c r="S1506" s="55">
        <f>Tabla3[[#This Row],[Subtotal]]/12</f>
        <v>52512.583333333336</v>
      </c>
    </row>
    <row r="1507" spans="1:19" x14ac:dyDescent="0.2">
      <c r="A1507" s="4">
        <v>956</v>
      </c>
      <c r="B1507" s="2">
        <v>629873.94999999995</v>
      </c>
      <c r="C1507" s="2">
        <v>0</v>
      </c>
      <c r="D1507" s="4" t="s">
        <v>4602</v>
      </c>
      <c r="E1507" s="2">
        <v>629873.94999999995</v>
      </c>
      <c r="F1507" s="2">
        <v>118726.05</v>
      </c>
      <c r="G1507" s="2">
        <v>0</v>
      </c>
      <c r="H1507" s="4">
        <v>0</v>
      </c>
      <c r="I1507" s="4">
        <v>0</v>
      </c>
      <c r="J1507" s="4">
        <v>0</v>
      </c>
      <c r="K1507" s="4">
        <v>748600</v>
      </c>
      <c r="L1507" s="4" t="s">
        <v>4600</v>
      </c>
      <c r="M1507" s="4" t="s">
        <v>4601</v>
      </c>
      <c r="N1507" s="4" t="s">
        <v>20</v>
      </c>
      <c r="O1507" s="4" t="s">
        <v>1677</v>
      </c>
      <c r="P1507" s="4" t="s">
        <v>1677</v>
      </c>
      <c r="Q1507" s="8" t="s">
        <v>144</v>
      </c>
      <c r="R1507" s="9">
        <f t="shared" si="24"/>
        <v>1.1050333846157481E-5</v>
      </c>
      <c r="S1507" s="55">
        <f>Tabla3[[#This Row],[Subtotal]]/12</f>
        <v>52489.495833333327</v>
      </c>
    </row>
    <row r="1508" spans="1:19" x14ac:dyDescent="0.2">
      <c r="A1508" s="4">
        <v>657</v>
      </c>
      <c r="B1508" s="2">
        <v>621529</v>
      </c>
      <c r="C1508" s="2">
        <v>0</v>
      </c>
      <c r="D1508" s="4" t="s">
        <v>4605</v>
      </c>
      <c r="E1508" s="2">
        <v>621529</v>
      </c>
      <c r="F1508" s="2">
        <v>118090.51</v>
      </c>
      <c r="G1508" s="2">
        <v>0</v>
      </c>
      <c r="H1508" s="4">
        <v>0</v>
      </c>
      <c r="I1508" s="4">
        <v>0</v>
      </c>
      <c r="J1508" s="4">
        <v>0</v>
      </c>
      <c r="K1508" s="4">
        <v>739619.51</v>
      </c>
      <c r="L1508" s="4" t="s">
        <v>4603</v>
      </c>
      <c r="M1508" s="4" t="s">
        <v>4604</v>
      </c>
      <c r="N1508" s="4" t="s">
        <v>468</v>
      </c>
      <c r="O1508" s="4" t="s">
        <v>89</v>
      </c>
      <c r="P1508" s="4" t="s">
        <v>89</v>
      </c>
      <c r="Q1508" s="8" t="s">
        <v>100</v>
      </c>
      <c r="R1508" s="9">
        <f t="shared" si="24"/>
        <v>1.090393235832092E-5</v>
      </c>
      <c r="S1508" s="55">
        <f>Tabla3[[#This Row],[Subtotal]]/12</f>
        <v>51794.083333333336</v>
      </c>
    </row>
    <row r="1509" spans="1:19" x14ac:dyDescent="0.2">
      <c r="A1509" s="4">
        <v>1486</v>
      </c>
      <c r="B1509" s="2">
        <v>619778</v>
      </c>
      <c r="C1509" s="2">
        <v>0</v>
      </c>
      <c r="D1509" s="4" t="s">
        <v>4608</v>
      </c>
      <c r="E1509" s="2">
        <v>619778</v>
      </c>
      <c r="F1509" s="2">
        <v>117757.82</v>
      </c>
      <c r="G1509" s="2">
        <v>0</v>
      </c>
      <c r="H1509" s="4">
        <v>0</v>
      </c>
      <c r="I1509" s="4">
        <v>0</v>
      </c>
      <c r="J1509" s="4">
        <v>0</v>
      </c>
      <c r="K1509" s="4">
        <v>737535.82</v>
      </c>
      <c r="L1509" s="4" t="s">
        <v>4606</v>
      </c>
      <c r="M1509" s="4" t="s">
        <v>4607</v>
      </c>
      <c r="N1509" s="4" t="s">
        <v>674</v>
      </c>
      <c r="O1509" s="4" t="s">
        <v>89</v>
      </c>
      <c r="P1509" s="4" t="s">
        <v>89</v>
      </c>
      <c r="Q1509" s="8" t="s">
        <v>100</v>
      </c>
      <c r="R1509" s="9">
        <f t="shared" si="24"/>
        <v>1.0873213300063912E-5</v>
      </c>
      <c r="S1509" s="55">
        <f>Tabla3[[#This Row],[Subtotal]]/12</f>
        <v>51648.166666666664</v>
      </c>
    </row>
    <row r="1510" spans="1:19" x14ac:dyDescent="0.2">
      <c r="A1510" s="4">
        <v>42</v>
      </c>
      <c r="B1510" s="2">
        <v>616680.86</v>
      </c>
      <c r="C1510" s="2">
        <v>0</v>
      </c>
      <c r="D1510" s="4" t="s">
        <v>4611</v>
      </c>
      <c r="E1510" s="2">
        <v>616680.86</v>
      </c>
      <c r="F1510" s="2">
        <v>116219.36</v>
      </c>
      <c r="G1510" s="2">
        <v>0</v>
      </c>
      <c r="H1510" s="4">
        <v>0</v>
      </c>
      <c r="I1510" s="4">
        <v>0</v>
      </c>
      <c r="J1510" s="4">
        <v>0</v>
      </c>
      <c r="K1510" s="4">
        <v>732900.22</v>
      </c>
      <c r="L1510" s="4" t="s">
        <v>4609</v>
      </c>
      <c r="M1510" s="4" t="s">
        <v>4610</v>
      </c>
      <c r="N1510" s="4" t="s">
        <v>20</v>
      </c>
      <c r="O1510" s="4" t="s">
        <v>1677</v>
      </c>
      <c r="P1510" s="4" t="s">
        <v>1677</v>
      </c>
      <c r="Q1510" s="8" t="s">
        <v>144</v>
      </c>
      <c r="R1510" s="9">
        <f t="shared" si="24"/>
        <v>1.0818877935078127E-5</v>
      </c>
      <c r="S1510" s="55">
        <f>Tabla3[[#This Row],[Subtotal]]/12</f>
        <v>51390.071666666663</v>
      </c>
    </row>
    <row r="1511" spans="1:19" x14ac:dyDescent="0.2">
      <c r="A1511" s="4">
        <v>1589</v>
      </c>
      <c r="B1511" s="2">
        <v>615876.79</v>
      </c>
      <c r="C1511" s="2">
        <v>0</v>
      </c>
      <c r="D1511" s="4" t="s">
        <v>4614</v>
      </c>
      <c r="E1511" s="2">
        <v>615876.79</v>
      </c>
      <c r="F1511" s="2">
        <v>116066.59</v>
      </c>
      <c r="G1511" s="2">
        <v>15396.92</v>
      </c>
      <c r="H1511" s="4">
        <v>0</v>
      </c>
      <c r="I1511" s="4">
        <v>0</v>
      </c>
      <c r="J1511" s="4">
        <v>15396.92</v>
      </c>
      <c r="K1511" s="4">
        <v>716546.46</v>
      </c>
      <c r="L1511" s="4" t="s">
        <v>4612</v>
      </c>
      <c r="M1511" s="4" t="s">
        <v>4613</v>
      </c>
      <c r="N1511" s="4" t="s">
        <v>20</v>
      </c>
      <c r="O1511" s="4" t="s">
        <v>1677</v>
      </c>
      <c r="P1511" s="4" t="s">
        <v>1677</v>
      </c>
      <c r="Q1511" s="8" t="s">
        <v>144</v>
      </c>
      <c r="R1511" s="9">
        <f t="shared" si="24"/>
        <v>1.0804771554054306E-5</v>
      </c>
      <c r="S1511" s="55">
        <f>Tabla3[[#This Row],[Subtotal]]/12</f>
        <v>51323.065833333334</v>
      </c>
    </row>
    <row r="1512" spans="1:19" x14ac:dyDescent="0.2">
      <c r="A1512" s="4">
        <v>51</v>
      </c>
      <c r="B1512" s="2">
        <v>614960</v>
      </c>
      <c r="C1512" s="2">
        <v>0</v>
      </c>
      <c r="D1512" s="4" t="s">
        <v>2573</v>
      </c>
      <c r="E1512" s="2">
        <v>614960</v>
      </c>
      <c r="F1512" s="2">
        <v>116842.4</v>
      </c>
      <c r="G1512" s="2">
        <v>0</v>
      </c>
      <c r="H1512" s="4">
        <v>0</v>
      </c>
      <c r="I1512" s="4">
        <v>0</v>
      </c>
      <c r="J1512" s="4">
        <v>0</v>
      </c>
      <c r="K1512" s="4">
        <v>731802.4</v>
      </c>
      <c r="L1512" s="4" t="s">
        <v>4615</v>
      </c>
      <c r="M1512" s="4" t="s">
        <v>2572</v>
      </c>
      <c r="N1512" s="4" t="s">
        <v>20</v>
      </c>
      <c r="O1512" s="4" t="s">
        <v>2863</v>
      </c>
      <c r="P1512" s="4" t="s">
        <v>2863</v>
      </c>
      <c r="Q1512" s="8" t="s">
        <v>100</v>
      </c>
      <c r="R1512" s="9">
        <f t="shared" si="24"/>
        <v>1.0788687644620015E-5</v>
      </c>
      <c r="S1512" s="55">
        <f>Tabla3[[#This Row],[Subtotal]]/12</f>
        <v>51246.666666666664</v>
      </c>
    </row>
    <row r="1513" spans="1:19" x14ac:dyDescent="0.2">
      <c r="A1513" s="4">
        <v>1158</v>
      </c>
      <c r="B1513" s="2">
        <v>610490</v>
      </c>
      <c r="C1513" s="2">
        <v>0</v>
      </c>
      <c r="D1513" s="4" t="s">
        <v>4618</v>
      </c>
      <c r="E1513" s="2">
        <v>610490</v>
      </c>
      <c r="F1513" s="2">
        <v>115993.1</v>
      </c>
      <c r="G1513" s="2">
        <v>15262.25</v>
      </c>
      <c r="H1513" s="4">
        <v>0</v>
      </c>
      <c r="I1513" s="4">
        <v>0</v>
      </c>
      <c r="J1513" s="4">
        <v>15262.25</v>
      </c>
      <c r="K1513" s="4">
        <v>711220.85</v>
      </c>
      <c r="L1513" s="4" t="s">
        <v>4616</v>
      </c>
      <c r="M1513" s="4" t="s">
        <v>4617</v>
      </c>
      <c r="N1513" s="4" t="s">
        <v>272</v>
      </c>
      <c r="O1513" s="4" t="s">
        <v>386</v>
      </c>
      <c r="P1513" s="4" t="s">
        <v>386</v>
      </c>
      <c r="Q1513" s="8" t="s">
        <v>1378</v>
      </c>
      <c r="R1513" s="9">
        <f t="shared" si="24"/>
        <v>1.0710267204637818E-5</v>
      </c>
      <c r="S1513" s="55">
        <f>Tabla3[[#This Row],[Subtotal]]/12</f>
        <v>50874.166666666664</v>
      </c>
    </row>
    <row r="1514" spans="1:19" x14ac:dyDescent="0.2">
      <c r="A1514" s="4">
        <v>142</v>
      </c>
      <c r="B1514" s="2">
        <v>607557</v>
      </c>
      <c r="C1514" s="2">
        <v>0</v>
      </c>
      <c r="D1514" s="4" t="s">
        <v>4621</v>
      </c>
      <c r="E1514" s="2">
        <v>607557</v>
      </c>
      <c r="F1514" s="2">
        <v>115435.83</v>
      </c>
      <c r="G1514" s="2">
        <v>0</v>
      </c>
      <c r="H1514" s="4">
        <v>0</v>
      </c>
      <c r="I1514" s="4">
        <v>0</v>
      </c>
      <c r="J1514" s="4">
        <v>0</v>
      </c>
      <c r="K1514" s="4">
        <v>722992.83</v>
      </c>
      <c r="L1514" s="4" t="s">
        <v>4619</v>
      </c>
      <c r="M1514" s="4" t="s">
        <v>4620</v>
      </c>
      <c r="N1514" s="4" t="s">
        <v>1058</v>
      </c>
      <c r="O1514" s="4" t="s">
        <v>196</v>
      </c>
      <c r="P1514" s="4" t="s">
        <v>196</v>
      </c>
      <c r="Q1514" s="8" t="s">
        <v>100</v>
      </c>
      <c r="R1514" s="9">
        <f t="shared" si="24"/>
        <v>1.0658811466278136E-5</v>
      </c>
      <c r="S1514" s="55">
        <f>Tabla3[[#This Row],[Subtotal]]/12</f>
        <v>50629.75</v>
      </c>
    </row>
    <row r="1515" spans="1:19" x14ac:dyDescent="0.2">
      <c r="A1515" s="4">
        <v>855</v>
      </c>
      <c r="B1515" s="2">
        <v>606286</v>
      </c>
      <c r="C1515" s="2">
        <v>0</v>
      </c>
      <c r="D1515" s="4" t="s">
        <v>4624</v>
      </c>
      <c r="E1515" s="2">
        <v>606286</v>
      </c>
      <c r="F1515" s="2">
        <v>115194.34</v>
      </c>
      <c r="G1515" s="2">
        <v>0</v>
      </c>
      <c r="H1515" s="4">
        <v>0</v>
      </c>
      <c r="I1515" s="4">
        <v>0</v>
      </c>
      <c r="J1515" s="4">
        <v>0</v>
      </c>
      <c r="K1515" s="4">
        <v>721480.34</v>
      </c>
      <c r="L1515" s="4" t="s">
        <v>4622</v>
      </c>
      <c r="M1515" s="4" t="s">
        <v>4623</v>
      </c>
      <c r="N1515" s="4" t="s">
        <v>20</v>
      </c>
      <c r="O1515" s="4" t="s">
        <v>316</v>
      </c>
      <c r="P1515" s="4" t="s">
        <v>316</v>
      </c>
      <c r="Q1515" s="8" t="s">
        <v>100</v>
      </c>
      <c r="R1515" s="9">
        <f t="shared" si="24"/>
        <v>1.0636513394864853E-5</v>
      </c>
      <c r="S1515" s="55">
        <f>Tabla3[[#This Row],[Subtotal]]/12</f>
        <v>50523.833333333336</v>
      </c>
    </row>
    <row r="1516" spans="1:19" x14ac:dyDescent="0.2">
      <c r="A1516" s="4">
        <v>333</v>
      </c>
      <c r="B1516" s="2">
        <v>604737</v>
      </c>
      <c r="C1516" s="2">
        <v>0</v>
      </c>
      <c r="D1516" s="4" t="s">
        <v>4627</v>
      </c>
      <c r="E1516" s="2">
        <v>604737</v>
      </c>
      <c r="F1516" s="2">
        <v>114900.03</v>
      </c>
      <c r="G1516" s="2">
        <v>0</v>
      </c>
      <c r="H1516" s="4">
        <v>0</v>
      </c>
      <c r="I1516" s="4">
        <v>0</v>
      </c>
      <c r="J1516" s="4">
        <v>0</v>
      </c>
      <c r="K1516" s="4">
        <v>719637.03</v>
      </c>
      <c r="L1516" s="4" t="s">
        <v>4625</v>
      </c>
      <c r="M1516" s="4" t="s">
        <v>4626</v>
      </c>
      <c r="N1516" s="4" t="s">
        <v>20</v>
      </c>
      <c r="O1516" s="4" t="s">
        <v>900</v>
      </c>
      <c r="P1516" s="4" t="s">
        <v>900</v>
      </c>
      <c r="Q1516" s="8" t="s">
        <v>585</v>
      </c>
      <c r="R1516" s="9">
        <f t="shared" si="24"/>
        <v>1.0609338168571246E-5</v>
      </c>
      <c r="S1516" s="55">
        <f>Tabla3[[#This Row],[Subtotal]]/12</f>
        <v>50394.75</v>
      </c>
    </row>
    <row r="1517" spans="1:19" x14ac:dyDescent="0.2">
      <c r="A1517" s="4">
        <v>1386</v>
      </c>
      <c r="B1517" s="2">
        <v>604288</v>
      </c>
      <c r="C1517" s="2">
        <v>0</v>
      </c>
      <c r="D1517" s="4" t="s">
        <v>4630</v>
      </c>
      <c r="E1517" s="2">
        <v>604288</v>
      </c>
      <c r="F1517" s="2">
        <v>114814.72</v>
      </c>
      <c r="G1517" s="2">
        <v>0</v>
      </c>
      <c r="H1517" s="4">
        <v>0</v>
      </c>
      <c r="I1517" s="4">
        <v>0</v>
      </c>
      <c r="J1517" s="4">
        <v>0</v>
      </c>
      <c r="K1517" s="4">
        <v>719102.72</v>
      </c>
      <c r="L1517" s="4" t="s">
        <v>4628</v>
      </c>
      <c r="M1517" s="4" t="s">
        <v>4629</v>
      </c>
      <c r="N1517" s="4" t="s">
        <v>124</v>
      </c>
      <c r="O1517" s="4" t="s">
        <v>1188</v>
      </c>
      <c r="P1517" s="4" t="s">
        <v>1188</v>
      </c>
      <c r="Q1517" s="8" t="s">
        <v>100</v>
      </c>
      <c r="R1517" s="9">
        <f t="shared" si="24"/>
        <v>1.0601461037127844E-5</v>
      </c>
      <c r="S1517" s="55">
        <f>Tabla3[[#This Row],[Subtotal]]/12</f>
        <v>50357.333333333336</v>
      </c>
    </row>
    <row r="1518" spans="1:19" x14ac:dyDescent="0.2">
      <c r="A1518" s="4">
        <v>1223</v>
      </c>
      <c r="B1518" s="2">
        <v>602622</v>
      </c>
      <c r="C1518" s="2">
        <v>0</v>
      </c>
      <c r="D1518" s="4" t="s">
        <v>4633</v>
      </c>
      <c r="E1518" s="2">
        <v>602622</v>
      </c>
      <c r="F1518" s="2">
        <v>114498.18</v>
      </c>
      <c r="G1518" s="2">
        <v>0</v>
      </c>
      <c r="H1518" s="4">
        <v>0</v>
      </c>
      <c r="I1518" s="4">
        <v>0</v>
      </c>
      <c r="J1518" s="4">
        <v>0</v>
      </c>
      <c r="K1518" s="4">
        <v>717120.18</v>
      </c>
      <c r="L1518" s="4" t="s">
        <v>4631</v>
      </c>
      <c r="M1518" s="4" t="s">
        <v>4632</v>
      </c>
      <c r="N1518" s="4" t="s">
        <v>20</v>
      </c>
      <c r="O1518" s="4" t="s">
        <v>1157</v>
      </c>
      <c r="P1518" s="4" t="s">
        <v>1039</v>
      </c>
      <c r="Q1518" s="8" t="s">
        <v>100</v>
      </c>
      <c r="R1518" s="9">
        <f t="shared" si="24"/>
        <v>1.057223319529108E-5</v>
      </c>
      <c r="S1518" s="55">
        <f>Tabla3[[#This Row],[Subtotal]]/12</f>
        <v>50218.5</v>
      </c>
    </row>
    <row r="1519" spans="1:19" x14ac:dyDescent="0.2">
      <c r="A1519" s="4">
        <v>441</v>
      </c>
      <c r="B1519" s="2">
        <v>602024</v>
      </c>
      <c r="C1519" s="2">
        <v>0</v>
      </c>
      <c r="D1519" s="4" t="s">
        <v>4636</v>
      </c>
      <c r="E1519" s="2">
        <v>602024</v>
      </c>
      <c r="F1519" s="2">
        <v>114384.56</v>
      </c>
      <c r="G1519" s="2">
        <v>0</v>
      </c>
      <c r="H1519" s="4">
        <v>0</v>
      </c>
      <c r="I1519" s="4">
        <v>0</v>
      </c>
      <c r="J1519" s="4">
        <v>0</v>
      </c>
      <c r="K1519" s="4">
        <v>716408.56</v>
      </c>
      <c r="L1519" s="4" t="s">
        <v>4634</v>
      </c>
      <c r="M1519" s="4" t="s">
        <v>4635</v>
      </c>
      <c r="N1519" s="4" t="s">
        <v>20</v>
      </c>
      <c r="O1519" s="4" t="s">
        <v>900</v>
      </c>
      <c r="P1519" s="4" t="s">
        <v>900</v>
      </c>
      <c r="Q1519" s="8" t="s">
        <v>585</v>
      </c>
      <c r="R1519" s="9">
        <f t="shared" si="24"/>
        <v>1.0561742049181605E-5</v>
      </c>
      <c r="S1519" s="55">
        <f>Tabla3[[#This Row],[Subtotal]]/12</f>
        <v>50168.666666666664</v>
      </c>
    </row>
    <row r="1520" spans="1:19" x14ac:dyDescent="0.2">
      <c r="A1520" s="4">
        <v>111</v>
      </c>
      <c r="B1520" s="2">
        <v>594106</v>
      </c>
      <c r="C1520" s="2">
        <v>0</v>
      </c>
      <c r="D1520" s="4" t="s">
        <v>4639</v>
      </c>
      <c r="E1520" s="2">
        <v>594106</v>
      </c>
      <c r="F1520" s="2">
        <v>112880.14</v>
      </c>
      <c r="G1520" s="2">
        <v>0</v>
      </c>
      <c r="H1520" s="4">
        <v>0</v>
      </c>
      <c r="I1520" s="4">
        <v>0</v>
      </c>
      <c r="J1520" s="4">
        <v>0</v>
      </c>
      <c r="K1520" s="4">
        <v>706986.14</v>
      </c>
      <c r="L1520" s="4" t="s">
        <v>4637</v>
      </c>
      <c r="M1520" s="4" t="s">
        <v>4638</v>
      </c>
      <c r="N1520" s="4" t="s">
        <v>368</v>
      </c>
      <c r="O1520" s="4" t="s">
        <v>386</v>
      </c>
      <c r="P1520" s="4" t="s">
        <v>386</v>
      </c>
      <c r="Q1520" s="8" t="s">
        <v>1378</v>
      </c>
      <c r="R1520" s="9">
        <f t="shared" si="24"/>
        <v>1.0422830853705312E-5</v>
      </c>
      <c r="S1520" s="55">
        <f>Tabla3[[#This Row],[Subtotal]]/12</f>
        <v>49508.833333333336</v>
      </c>
    </row>
    <row r="1521" spans="1:19" x14ac:dyDescent="0.2">
      <c r="A1521" s="4">
        <v>719</v>
      </c>
      <c r="B1521" s="2">
        <v>590475</v>
      </c>
      <c r="C1521" s="2">
        <v>0</v>
      </c>
      <c r="D1521" s="4" t="s">
        <v>4642</v>
      </c>
      <c r="E1521" s="2">
        <v>590475</v>
      </c>
      <c r="F1521" s="2">
        <v>112190.25</v>
      </c>
      <c r="G1521" s="2">
        <v>0</v>
      </c>
      <c r="H1521" s="4">
        <v>0</v>
      </c>
      <c r="I1521" s="4">
        <v>0</v>
      </c>
      <c r="J1521" s="4">
        <v>0</v>
      </c>
      <c r="K1521" s="4">
        <v>702665.25</v>
      </c>
      <c r="L1521" s="4" t="s">
        <v>4640</v>
      </c>
      <c r="M1521" s="4" t="s">
        <v>4641</v>
      </c>
      <c r="N1521" s="4" t="s">
        <v>20</v>
      </c>
      <c r="O1521" s="4" t="s">
        <v>1562</v>
      </c>
      <c r="P1521" s="4" t="s">
        <v>1562</v>
      </c>
      <c r="Q1521" s="8" t="s">
        <v>100</v>
      </c>
      <c r="R1521" s="9">
        <f t="shared" si="24"/>
        <v>1.0359129596977044E-5</v>
      </c>
      <c r="S1521" s="55">
        <f>Tabla3[[#This Row],[Subtotal]]/12</f>
        <v>49206.25</v>
      </c>
    </row>
    <row r="1522" spans="1:19" x14ac:dyDescent="0.2">
      <c r="A1522" s="4">
        <v>134</v>
      </c>
      <c r="B1522" s="2">
        <v>588487</v>
      </c>
      <c r="C1522" s="2">
        <v>0</v>
      </c>
      <c r="D1522" s="4" t="s">
        <v>4645</v>
      </c>
      <c r="E1522" s="2">
        <v>588487</v>
      </c>
      <c r="F1522" s="2">
        <v>109532.53</v>
      </c>
      <c r="G1522" s="2">
        <v>0</v>
      </c>
      <c r="H1522" s="4">
        <v>0</v>
      </c>
      <c r="I1522" s="4">
        <v>0</v>
      </c>
      <c r="J1522" s="4">
        <v>0</v>
      </c>
      <c r="K1522" s="4">
        <v>698019.53</v>
      </c>
      <c r="L1522" s="4" t="s">
        <v>4643</v>
      </c>
      <c r="M1522" s="4" t="s">
        <v>4644</v>
      </c>
      <c r="N1522" s="4" t="s">
        <v>20</v>
      </c>
      <c r="O1522" s="4" t="s">
        <v>2863</v>
      </c>
      <c r="P1522" s="4" t="s">
        <v>2863</v>
      </c>
      <c r="Q1522" s="8" t="s">
        <v>100</v>
      </c>
      <c r="R1522" s="9">
        <f t="shared" si="24"/>
        <v>1.0324252676465947E-5</v>
      </c>
      <c r="S1522" s="55">
        <f>Tabla3[[#This Row],[Subtotal]]/12</f>
        <v>49040.583333333336</v>
      </c>
    </row>
    <row r="1523" spans="1:19" x14ac:dyDescent="0.2">
      <c r="A1523" s="4">
        <v>450</v>
      </c>
      <c r="B1523" s="2">
        <v>585630.27</v>
      </c>
      <c r="C1523" s="2">
        <v>0</v>
      </c>
      <c r="D1523" s="4" t="s">
        <v>4648</v>
      </c>
      <c r="E1523" s="2">
        <v>585630.27</v>
      </c>
      <c r="F1523" s="2">
        <v>111269.75</v>
      </c>
      <c r="G1523" s="2">
        <v>0</v>
      </c>
      <c r="H1523" s="4">
        <v>0</v>
      </c>
      <c r="I1523" s="4">
        <v>0</v>
      </c>
      <c r="J1523" s="4">
        <v>0</v>
      </c>
      <c r="K1523" s="4">
        <v>696900.02</v>
      </c>
      <c r="L1523" s="4" t="s">
        <v>4646</v>
      </c>
      <c r="M1523" s="4" t="s">
        <v>4647</v>
      </c>
      <c r="N1523" s="4" t="s">
        <v>368</v>
      </c>
      <c r="O1523" s="4" t="s">
        <v>1677</v>
      </c>
      <c r="P1523" s="4" t="s">
        <v>1677</v>
      </c>
      <c r="Q1523" s="8" t="s">
        <v>144</v>
      </c>
      <c r="R1523" s="9">
        <f t="shared" si="24"/>
        <v>1.0274134997828287E-5</v>
      </c>
      <c r="S1523" s="55">
        <f>Tabla3[[#This Row],[Subtotal]]/12</f>
        <v>48802.522499999999</v>
      </c>
    </row>
    <row r="1524" spans="1:19" x14ac:dyDescent="0.2">
      <c r="A1524" s="4">
        <v>1118</v>
      </c>
      <c r="B1524" s="2">
        <v>576302.53</v>
      </c>
      <c r="C1524" s="2">
        <v>0</v>
      </c>
      <c r="D1524" s="4" t="s">
        <v>4651</v>
      </c>
      <c r="E1524" s="2">
        <v>576302.53</v>
      </c>
      <c r="F1524" s="2">
        <v>109497.48</v>
      </c>
      <c r="G1524" s="2">
        <v>0</v>
      </c>
      <c r="H1524" s="4">
        <v>0</v>
      </c>
      <c r="I1524" s="4">
        <v>0</v>
      </c>
      <c r="J1524" s="4">
        <v>0</v>
      </c>
      <c r="K1524" s="4">
        <v>685800.01</v>
      </c>
      <c r="L1524" s="4" t="s">
        <v>4649</v>
      </c>
      <c r="M1524" s="4" t="s">
        <v>4650</v>
      </c>
      <c r="N1524" s="4" t="s">
        <v>20</v>
      </c>
      <c r="O1524" s="4" t="s">
        <v>1677</v>
      </c>
      <c r="P1524" s="4" t="s">
        <v>1677</v>
      </c>
      <c r="Q1524" s="8" t="s">
        <v>4652</v>
      </c>
      <c r="R1524" s="9">
        <f t="shared" si="24"/>
        <v>1.0110491714866423E-5</v>
      </c>
      <c r="S1524" s="55">
        <f>Tabla3[[#This Row],[Subtotal]]/12</f>
        <v>48025.210833333338</v>
      </c>
    </row>
    <row r="1525" spans="1:19" x14ac:dyDescent="0.2">
      <c r="A1525" s="4">
        <v>688</v>
      </c>
      <c r="B1525" s="2">
        <v>572560</v>
      </c>
      <c r="C1525" s="2">
        <v>0</v>
      </c>
      <c r="D1525" s="4" t="s">
        <v>4655</v>
      </c>
      <c r="E1525" s="2">
        <v>572560</v>
      </c>
      <c r="F1525" s="2">
        <v>108786.4</v>
      </c>
      <c r="G1525" s="2">
        <v>0</v>
      </c>
      <c r="H1525" s="4">
        <v>0</v>
      </c>
      <c r="I1525" s="4">
        <v>0</v>
      </c>
      <c r="J1525" s="4">
        <v>0</v>
      </c>
      <c r="K1525" s="4">
        <v>681346.4</v>
      </c>
      <c r="L1525" s="4" t="s">
        <v>4653</v>
      </c>
      <c r="M1525" s="4" t="s">
        <v>4654</v>
      </c>
      <c r="N1525" s="4" t="s">
        <v>20</v>
      </c>
      <c r="O1525" s="4" t="s">
        <v>71</v>
      </c>
      <c r="P1525" s="4" t="s">
        <v>71</v>
      </c>
      <c r="Q1525" s="8" t="s">
        <v>100</v>
      </c>
      <c r="R1525" s="9">
        <f t="shared" si="24"/>
        <v>1.004483380675757E-5</v>
      </c>
      <c r="S1525" s="55">
        <f>Tabla3[[#This Row],[Subtotal]]/12</f>
        <v>47713.333333333336</v>
      </c>
    </row>
    <row r="1526" spans="1:19" x14ac:dyDescent="0.2">
      <c r="A1526" s="4">
        <v>75</v>
      </c>
      <c r="B1526" s="2">
        <v>570540</v>
      </c>
      <c r="C1526" s="2">
        <v>0</v>
      </c>
      <c r="D1526" s="4" t="s">
        <v>4658</v>
      </c>
      <c r="E1526" s="2">
        <v>570540</v>
      </c>
      <c r="F1526" s="2">
        <v>108402.6</v>
      </c>
      <c r="G1526" s="2">
        <v>0</v>
      </c>
      <c r="H1526" s="4">
        <v>0</v>
      </c>
      <c r="I1526" s="4">
        <v>0</v>
      </c>
      <c r="J1526" s="4">
        <v>0</v>
      </c>
      <c r="K1526" s="4">
        <v>678942.6</v>
      </c>
      <c r="L1526" s="4" t="s">
        <v>4656</v>
      </c>
      <c r="M1526" s="4" t="s">
        <v>4657</v>
      </c>
      <c r="N1526" s="4" t="s">
        <v>20</v>
      </c>
      <c r="O1526" s="4" t="s">
        <v>316</v>
      </c>
      <c r="P1526" s="4" t="s">
        <v>316</v>
      </c>
      <c r="Q1526" s="8" t="s">
        <v>100</v>
      </c>
      <c r="R1526" s="9">
        <f t="shared" si="24"/>
        <v>1.0009395487123558E-5</v>
      </c>
      <c r="S1526" s="55">
        <f>Tabla3[[#This Row],[Subtotal]]/12</f>
        <v>47545</v>
      </c>
    </row>
    <row r="1527" spans="1:19" x14ac:dyDescent="0.2">
      <c r="A1527" s="4">
        <v>1707</v>
      </c>
      <c r="B1527" s="2">
        <v>567539</v>
      </c>
      <c r="C1527" s="2">
        <v>0</v>
      </c>
      <c r="D1527" s="4" t="s">
        <v>4661</v>
      </c>
      <c r="E1527" s="2">
        <v>567539</v>
      </c>
      <c r="F1527" s="2">
        <v>107832.41</v>
      </c>
      <c r="G1527" s="2">
        <v>0</v>
      </c>
      <c r="H1527" s="4">
        <v>0</v>
      </c>
      <c r="I1527" s="4">
        <v>0</v>
      </c>
      <c r="J1527" s="4">
        <v>0</v>
      </c>
      <c r="K1527" s="4">
        <v>675371.41</v>
      </c>
      <c r="L1527" s="4" t="s">
        <v>4659</v>
      </c>
      <c r="M1527" s="4" t="s">
        <v>4660</v>
      </c>
      <c r="N1527" s="4" t="s">
        <v>20</v>
      </c>
      <c r="O1527" s="4" t="s">
        <v>3938</v>
      </c>
      <c r="P1527" s="4" t="s">
        <v>3938</v>
      </c>
      <c r="Q1527" s="8" t="s">
        <v>1378</v>
      </c>
      <c r="R1527" s="9">
        <f t="shared" si="24"/>
        <v>9.9567467756276801E-6</v>
      </c>
      <c r="S1527" s="55">
        <f>Tabla3[[#This Row],[Subtotal]]/12</f>
        <v>47294.916666666664</v>
      </c>
    </row>
    <row r="1528" spans="1:19" x14ac:dyDescent="0.2">
      <c r="A1528" s="4">
        <v>237</v>
      </c>
      <c r="B1528" s="2">
        <v>564846</v>
      </c>
      <c r="C1528" s="2">
        <v>0</v>
      </c>
      <c r="D1528" s="4" t="s">
        <v>4664</v>
      </c>
      <c r="E1528" s="2">
        <v>564846</v>
      </c>
      <c r="F1528" s="2">
        <v>107320.74</v>
      </c>
      <c r="G1528" s="2">
        <v>0</v>
      </c>
      <c r="H1528" s="4">
        <v>0</v>
      </c>
      <c r="I1528" s="4">
        <v>0</v>
      </c>
      <c r="J1528" s="4">
        <v>0</v>
      </c>
      <c r="K1528" s="4">
        <v>672166.74</v>
      </c>
      <c r="L1528" s="4" t="s">
        <v>4662</v>
      </c>
      <c r="M1528" s="4" t="s">
        <v>4663</v>
      </c>
      <c r="N1528" s="4" t="s">
        <v>975</v>
      </c>
      <c r="O1528" s="4" t="s">
        <v>89</v>
      </c>
      <c r="P1528" s="4" t="s">
        <v>89</v>
      </c>
      <c r="Q1528" s="8" t="s">
        <v>100</v>
      </c>
      <c r="R1528" s="9">
        <f t="shared" si="24"/>
        <v>9.90950153068986E-6</v>
      </c>
      <c r="S1528" s="55">
        <f>Tabla3[[#This Row],[Subtotal]]/12</f>
        <v>47070.5</v>
      </c>
    </row>
    <row r="1529" spans="1:19" x14ac:dyDescent="0.2">
      <c r="A1529" s="4">
        <v>1262</v>
      </c>
      <c r="B1529" s="2">
        <v>557232</v>
      </c>
      <c r="C1529" s="2">
        <v>0</v>
      </c>
      <c r="D1529" s="4" t="s">
        <v>4667</v>
      </c>
      <c r="E1529" s="2">
        <v>557232</v>
      </c>
      <c r="F1529" s="2">
        <v>105874.08</v>
      </c>
      <c r="G1529" s="2">
        <v>0</v>
      </c>
      <c r="H1529" s="4">
        <v>0</v>
      </c>
      <c r="I1529" s="4">
        <v>0</v>
      </c>
      <c r="J1529" s="4">
        <v>0</v>
      </c>
      <c r="K1529" s="4">
        <v>663106.07999999996</v>
      </c>
      <c r="L1529" s="4" t="s">
        <v>4665</v>
      </c>
      <c r="M1529" s="4" t="s">
        <v>4666</v>
      </c>
      <c r="N1529" s="4" t="s">
        <v>20</v>
      </c>
      <c r="O1529" s="4" t="s">
        <v>386</v>
      </c>
      <c r="P1529" s="4" t="s">
        <v>386</v>
      </c>
      <c r="Q1529" s="8" t="s">
        <v>585</v>
      </c>
      <c r="R1529" s="9">
        <f t="shared" si="24"/>
        <v>9.7759236268812614E-6</v>
      </c>
      <c r="S1529" s="55">
        <f>Tabla3[[#This Row],[Subtotal]]/12</f>
        <v>46436</v>
      </c>
    </row>
    <row r="1530" spans="1:19" x14ac:dyDescent="0.2">
      <c r="A1530" s="4">
        <v>833</v>
      </c>
      <c r="B1530" s="2">
        <v>551781</v>
      </c>
      <c r="C1530" s="2">
        <v>0</v>
      </c>
      <c r="D1530" s="4" t="s">
        <v>4670</v>
      </c>
      <c r="E1530" s="2">
        <v>551781</v>
      </c>
      <c r="F1530" s="2">
        <v>104838.39</v>
      </c>
      <c r="G1530" s="2">
        <v>0</v>
      </c>
      <c r="H1530" s="4">
        <v>0</v>
      </c>
      <c r="I1530" s="4">
        <v>0</v>
      </c>
      <c r="J1530" s="4">
        <v>0</v>
      </c>
      <c r="K1530" s="4">
        <v>656619.39</v>
      </c>
      <c r="L1530" s="4" t="s">
        <v>4668</v>
      </c>
      <c r="M1530" s="4" t="s">
        <v>4669</v>
      </c>
      <c r="N1530" s="4" t="s">
        <v>20</v>
      </c>
      <c r="O1530" s="4" t="s">
        <v>316</v>
      </c>
      <c r="P1530" s="4" t="s">
        <v>316</v>
      </c>
      <c r="Q1530" s="8" t="s">
        <v>100</v>
      </c>
      <c r="R1530" s="9">
        <f t="shared" si="24"/>
        <v>9.6802927950371988E-6</v>
      </c>
      <c r="S1530" s="55">
        <f>Tabla3[[#This Row],[Subtotal]]/12</f>
        <v>45981.75</v>
      </c>
    </row>
    <row r="1531" spans="1:19" x14ac:dyDescent="0.2">
      <c r="A1531" s="4">
        <v>1544</v>
      </c>
      <c r="B1531" s="2">
        <v>549500</v>
      </c>
      <c r="C1531" s="2">
        <v>0</v>
      </c>
      <c r="D1531" s="4" t="s">
        <v>4673</v>
      </c>
      <c r="E1531" s="2">
        <v>549500</v>
      </c>
      <c r="F1531" s="2">
        <v>104405</v>
      </c>
      <c r="G1531" s="2">
        <v>13737.5</v>
      </c>
      <c r="H1531" s="4">
        <v>0</v>
      </c>
      <c r="I1531" s="4">
        <v>0</v>
      </c>
      <c r="J1531" s="4">
        <v>13737.5</v>
      </c>
      <c r="K1531" s="4">
        <v>640167.5</v>
      </c>
      <c r="L1531" s="4" t="s">
        <v>4671</v>
      </c>
      <c r="M1531" s="4" t="s">
        <v>4672</v>
      </c>
      <c r="N1531" s="4" t="s">
        <v>20</v>
      </c>
      <c r="O1531" s="4" t="s">
        <v>76</v>
      </c>
      <c r="P1531" s="4" t="s">
        <v>76</v>
      </c>
      <c r="Q1531" s="8" t="s">
        <v>408</v>
      </c>
      <c r="R1531" s="9">
        <f t="shared" si="24"/>
        <v>9.6402755638069118E-6</v>
      </c>
      <c r="S1531" s="55">
        <f>Tabla3[[#This Row],[Subtotal]]/12</f>
        <v>45791.666666666664</v>
      </c>
    </row>
    <row r="1532" spans="1:19" x14ac:dyDescent="0.2">
      <c r="A1532" s="4">
        <v>216</v>
      </c>
      <c r="B1532" s="2">
        <v>549498</v>
      </c>
      <c r="C1532" s="2">
        <v>0</v>
      </c>
      <c r="D1532" s="4" t="s">
        <v>4676</v>
      </c>
      <c r="E1532" s="2">
        <v>549498</v>
      </c>
      <c r="F1532" s="2">
        <v>104404.62</v>
      </c>
      <c r="G1532" s="2">
        <v>0</v>
      </c>
      <c r="H1532" s="4">
        <v>0</v>
      </c>
      <c r="I1532" s="4">
        <v>0</v>
      </c>
      <c r="J1532" s="4">
        <v>0</v>
      </c>
      <c r="K1532" s="4">
        <v>653902.62</v>
      </c>
      <c r="L1532" s="4" t="s">
        <v>4674</v>
      </c>
      <c r="M1532" s="4" t="s">
        <v>4675</v>
      </c>
      <c r="N1532" s="4" t="s">
        <v>20</v>
      </c>
      <c r="O1532" s="4" t="s">
        <v>1562</v>
      </c>
      <c r="P1532" s="4" t="s">
        <v>1562</v>
      </c>
      <c r="Q1532" s="8" t="s">
        <v>100</v>
      </c>
      <c r="R1532" s="9">
        <f t="shared" si="24"/>
        <v>9.6402404763617283E-6</v>
      </c>
      <c r="S1532" s="55">
        <f>Tabla3[[#This Row],[Subtotal]]/12</f>
        <v>45791.5</v>
      </c>
    </row>
    <row r="1533" spans="1:19" x14ac:dyDescent="0.2">
      <c r="A1533" s="4">
        <v>830</v>
      </c>
      <c r="B1533" s="2">
        <v>545330</v>
      </c>
      <c r="C1533" s="2">
        <v>0</v>
      </c>
      <c r="D1533" s="4" t="s">
        <v>4679</v>
      </c>
      <c r="E1533" s="2">
        <v>545330</v>
      </c>
      <c r="F1533" s="2">
        <v>103612.7</v>
      </c>
      <c r="G1533" s="2">
        <v>0</v>
      </c>
      <c r="H1533" s="4">
        <v>0</v>
      </c>
      <c r="I1533" s="4">
        <v>0</v>
      </c>
      <c r="J1533" s="4">
        <v>0</v>
      </c>
      <c r="K1533" s="4">
        <v>648942.69999999995</v>
      </c>
      <c r="L1533" s="4" t="s">
        <v>4677</v>
      </c>
      <c r="M1533" s="4" t="s">
        <v>4678</v>
      </c>
      <c r="N1533" s="4" t="s">
        <v>20</v>
      </c>
      <c r="O1533" s="4" t="s">
        <v>257</v>
      </c>
      <c r="P1533" s="4" t="s">
        <v>257</v>
      </c>
      <c r="Q1533" s="8" t="s">
        <v>100</v>
      </c>
      <c r="R1533" s="9">
        <f t="shared" si="24"/>
        <v>9.5671182406020426E-6</v>
      </c>
      <c r="S1533" s="55">
        <f>Tabla3[[#This Row],[Subtotal]]/12</f>
        <v>45444.166666666664</v>
      </c>
    </row>
    <row r="1534" spans="1:19" x14ac:dyDescent="0.2">
      <c r="A1534" s="4">
        <v>1667</v>
      </c>
      <c r="B1534" s="2">
        <v>536815</v>
      </c>
      <c r="C1534" s="2">
        <v>0</v>
      </c>
      <c r="D1534" s="4" t="s">
        <v>4682</v>
      </c>
      <c r="E1534" s="2">
        <v>536815</v>
      </c>
      <c r="F1534" s="2">
        <v>101994.85</v>
      </c>
      <c r="G1534" s="2">
        <v>0</v>
      </c>
      <c r="H1534" s="4">
        <v>0</v>
      </c>
      <c r="I1534" s="4">
        <v>0</v>
      </c>
      <c r="J1534" s="4">
        <v>0</v>
      </c>
      <c r="K1534" s="4">
        <v>638809.85</v>
      </c>
      <c r="L1534" s="4" t="s">
        <v>4680</v>
      </c>
      <c r="M1534" s="4" t="s">
        <v>4681</v>
      </c>
      <c r="N1534" s="4" t="s">
        <v>20</v>
      </c>
      <c r="O1534" s="4" t="s">
        <v>3938</v>
      </c>
      <c r="P1534" s="4" t="s">
        <v>3938</v>
      </c>
      <c r="Q1534" s="8" t="s">
        <v>1378</v>
      </c>
      <c r="R1534" s="9">
        <f t="shared" si="24"/>
        <v>9.4177334427388664E-6</v>
      </c>
      <c r="S1534" s="55">
        <f>Tabla3[[#This Row],[Subtotal]]/12</f>
        <v>44734.583333333336</v>
      </c>
    </row>
    <row r="1535" spans="1:19" x14ac:dyDescent="0.2">
      <c r="A1535" s="4">
        <v>502</v>
      </c>
      <c r="B1535" s="2">
        <v>535999.02</v>
      </c>
      <c r="C1535" s="2">
        <v>0</v>
      </c>
      <c r="D1535" s="4" t="s">
        <v>4684</v>
      </c>
      <c r="E1535" s="2">
        <v>535999.02</v>
      </c>
      <c r="F1535" s="2">
        <v>0</v>
      </c>
      <c r="G1535" s="2">
        <v>0</v>
      </c>
      <c r="H1535" s="4">
        <v>0</v>
      </c>
      <c r="I1535" s="4">
        <v>0</v>
      </c>
      <c r="J1535" s="4">
        <v>0</v>
      </c>
      <c r="K1535" s="4">
        <v>535999.02</v>
      </c>
      <c r="L1535" s="4" t="s">
        <v>4683</v>
      </c>
      <c r="M1535" s="4" t="s">
        <v>4683</v>
      </c>
      <c r="N1535" s="4" t="s">
        <v>4685</v>
      </c>
      <c r="O1535" s="4" t="s">
        <v>160</v>
      </c>
      <c r="P1535" s="4" t="s">
        <v>160</v>
      </c>
      <c r="Q1535" s="8" t="s">
        <v>100</v>
      </c>
      <c r="R1535" s="9">
        <f t="shared" si="24"/>
        <v>9.4034181159789848E-6</v>
      </c>
      <c r="S1535" s="55">
        <f>Tabla3[[#This Row],[Subtotal]]/12</f>
        <v>44666.584999999999</v>
      </c>
    </row>
    <row r="1536" spans="1:19" x14ac:dyDescent="0.2">
      <c r="A1536" s="4">
        <v>1197</v>
      </c>
      <c r="B1536" s="2">
        <v>529683</v>
      </c>
      <c r="C1536" s="2">
        <v>0</v>
      </c>
      <c r="D1536" s="4" t="s">
        <v>4688</v>
      </c>
      <c r="E1536" s="2">
        <v>529683</v>
      </c>
      <c r="F1536" s="2">
        <v>100639.77</v>
      </c>
      <c r="G1536" s="2">
        <v>0</v>
      </c>
      <c r="H1536" s="4">
        <v>0</v>
      </c>
      <c r="I1536" s="4">
        <v>0</v>
      </c>
      <c r="J1536" s="4">
        <v>0</v>
      </c>
      <c r="K1536" s="4">
        <v>630322.77</v>
      </c>
      <c r="L1536" s="4" t="s">
        <v>4686</v>
      </c>
      <c r="M1536" s="4" t="s">
        <v>4687</v>
      </c>
      <c r="N1536" s="4" t="s">
        <v>104</v>
      </c>
      <c r="O1536" s="4" t="s">
        <v>105</v>
      </c>
      <c r="P1536" s="4" t="s">
        <v>105</v>
      </c>
      <c r="Q1536" s="8" t="s">
        <v>100</v>
      </c>
      <c r="R1536" s="9">
        <f t="shared" si="24"/>
        <v>9.2926116132191734E-6</v>
      </c>
      <c r="S1536" s="55">
        <f>Tabla3[[#This Row],[Subtotal]]/12</f>
        <v>44140.25</v>
      </c>
    </row>
    <row r="1537" spans="1:19" x14ac:dyDescent="0.2">
      <c r="A1537" s="4">
        <v>1374</v>
      </c>
      <c r="B1537" s="2">
        <v>526872</v>
      </c>
      <c r="C1537" s="2">
        <v>0</v>
      </c>
      <c r="D1537" s="4" t="s">
        <v>4691</v>
      </c>
      <c r="E1537" s="2">
        <v>526872</v>
      </c>
      <c r="F1537" s="2">
        <v>100105.68</v>
      </c>
      <c r="G1537" s="2">
        <v>0</v>
      </c>
      <c r="H1537" s="4">
        <v>0</v>
      </c>
      <c r="I1537" s="4">
        <v>0</v>
      </c>
      <c r="J1537" s="4">
        <v>0</v>
      </c>
      <c r="K1537" s="4">
        <v>626977.68000000005</v>
      </c>
      <c r="L1537" s="4" t="s">
        <v>4689</v>
      </c>
      <c r="M1537" s="4" t="s">
        <v>4690</v>
      </c>
      <c r="N1537" s="4" t="s">
        <v>975</v>
      </c>
      <c r="O1537" s="4" t="s">
        <v>89</v>
      </c>
      <c r="P1537" s="4" t="s">
        <v>89</v>
      </c>
      <c r="Q1537" s="8" t="s">
        <v>100</v>
      </c>
      <c r="R1537" s="9">
        <f t="shared" si="24"/>
        <v>9.2432962090156042E-6</v>
      </c>
      <c r="S1537" s="55">
        <f>Tabla3[[#This Row],[Subtotal]]/12</f>
        <v>43906</v>
      </c>
    </row>
    <row r="1538" spans="1:19" x14ac:dyDescent="0.2">
      <c r="A1538" s="4">
        <v>1110</v>
      </c>
      <c r="B1538" s="2">
        <v>523596.86</v>
      </c>
      <c r="C1538" s="2">
        <v>0</v>
      </c>
      <c r="D1538" s="4" t="s">
        <v>4694</v>
      </c>
      <c r="E1538" s="2">
        <v>523596.86</v>
      </c>
      <c r="F1538" s="2">
        <v>99483.4</v>
      </c>
      <c r="G1538" s="2">
        <v>0</v>
      </c>
      <c r="H1538" s="4">
        <v>0</v>
      </c>
      <c r="I1538" s="4">
        <v>0</v>
      </c>
      <c r="J1538" s="4">
        <v>0</v>
      </c>
      <c r="K1538" s="4">
        <v>623080.26</v>
      </c>
      <c r="L1538" s="4" t="s">
        <v>4692</v>
      </c>
      <c r="M1538" s="4" t="s">
        <v>4693</v>
      </c>
      <c r="N1538" s="4" t="s">
        <v>20</v>
      </c>
      <c r="O1538" s="4" t="s">
        <v>900</v>
      </c>
      <c r="P1538" s="4" t="s">
        <v>900</v>
      </c>
      <c r="Q1538" s="8" t="s">
        <v>144</v>
      </c>
      <c r="R1538" s="9">
        <f t="shared" si="24"/>
        <v>9.1858380614086046E-6</v>
      </c>
      <c r="S1538" s="55">
        <f>Tabla3[[#This Row],[Subtotal]]/12</f>
        <v>43633.071666666663</v>
      </c>
    </row>
    <row r="1539" spans="1:19" x14ac:dyDescent="0.2">
      <c r="A1539" s="4">
        <v>223</v>
      </c>
      <c r="B1539" s="2">
        <v>522424</v>
      </c>
      <c r="C1539" s="2">
        <v>0</v>
      </c>
      <c r="D1539" s="4" t="s">
        <v>4697</v>
      </c>
      <c r="E1539" s="2">
        <v>522424</v>
      </c>
      <c r="F1539" s="2">
        <v>99260.56</v>
      </c>
      <c r="G1539" s="2">
        <v>0</v>
      </c>
      <c r="H1539" s="4">
        <v>0</v>
      </c>
      <c r="I1539" s="4">
        <v>0</v>
      </c>
      <c r="J1539" s="4">
        <v>0</v>
      </c>
      <c r="K1539" s="4">
        <v>621684.56000000006</v>
      </c>
      <c r="L1539" s="4" t="s">
        <v>4695</v>
      </c>
      <c r="M1539" s="4" t="s">
        <v>4696</v>
      </c>
      <c r="N1539" s="4" t="s">
        <v>20</v>
      </c>
      <c r="O1539" s="4" t="s">
        <v>359</v>
      </c>
      <c r="P1539" s="4" t="s">
        <v>359</v>
      </c>
      <c r="Q1539" s="8" t="s">
        <v>100</v>
      </c>
      <c r="R1539" s="9">
        <f t="shared" ref="R1539:R1602" si="25">E1539/$E$1757</f>
        <v>9.1652617309304124E-6</v>
      </c>
      <c r="S1539" s="55">
        <f>Tabla3[[#This Row],[Subtotal]]/12</f>
        <v>43535.333333333336</v>
      </c>
    </row>
    <row r="1540" spans="1:19" x14ac:dyDescent="0.2">
      <c r="A1540" s="4">
        <v>553</v>
      </c>
      <c r="B1540" s="2">
        <v>514234</v>
      </c>
      <c r="C1540" s="2">
        <v>0</v>
      </c>
      <c r="D1540" s="4" t="s">
        <v>4700</v>
      </c>
      <c r="E1540" s="2">
        <v>514234</v>
      </c>
      <c r="F1540" s="2">
        <v>97704.46</v>
      </c>
      <c r="G1540" s="2">
        <v>0</v>
      </c>
      <c r="H1540" s="4">
        <v>0</v>
      </c>
      <c r="I1540" s="4">
        <v>0</v>
      </c>
      <c r="J1540" s="4">
        <v>0</v>
      </c>
      <c r="K1540" s="4">
        <v>611938.46</v>
      </c>
      <c r="L1540" s="4" t="s">
        <v>4698</v>
      </c>
      <c r="M1540" s="4" t="s">
        <v>4699</v>
      </c>
      <c r="N1540" s="4" t="s">
        <v>20</v>
      </c>
      <c r="O1540" s="4" t="s">
        <v>2863</v>
      </c>
      <c r="P1540" s="4" t="s">
        <v>2863</v>
      </c>
      <c r="Q1540" s="8" t="s">
        <v>100</v>
      </c>
      <c r="R1540" s="9">
        <f t="shared" si="25"/>
        <v>9.0215786429093419E-6</v>
      </c>
      <c r="S1540" s="55">
        <f>Tabla3[[#This Row],[Subtotal]]/12</f>
        <v>42852.833333333336</v>
      </c>
    </row>
    <row r="1541" spans="1:19" x14ac:dyDescent="0.2">
      <c r="A1541" s="4">
        <v>788</v>
      </c>
      <c r="B1541" s="2">
        <v>512592</v>
      </c>
      <c r="C1541" s="2">
        <v>0</v>
      </c>
      <c r="D1541" s="4" t="s">
        <v>4703</v>
      </c>
      <c r="E1541" s="2">
        <v>512592</v>
      </c>
      <c r="F1541" s="2">
        <v>97392.48</v>
      </c>
      <c r="G1541" s="2">
        <v>0</v>
      </c>
      <c r="H1541" s="4">
        <v>0</v>
      </c>
      <c r="I1541" s="4">
        <v>0</v>
      </c>
      <c r="J1541" s="4">
        <v>0</v>
      </c>
      <c r="K1541" s="4">
        <v>609984.48</v>
      </c>
      <c r="L1541" s="4" t="s">
        <v>4701</v>
      </c>
      <c r="M1541" s="4" t="s">
        <v>4702</v>
      </c>
      <c r="N1541" s="4" t="s">
        <v>674</v>
      </c>
      <c r="O1541" s="4" t="s">
        <v>89</v>
      </c>
      <c r="P1541" s="4" t="s">
        <v>89</v>
      </c>
      <c r="Q1541" s="8" t="s">
        <v>100</v>
      </c>
      <c r="R1541" s="9">
        <f t="shared" si="25"/>
        <v>8.9927718504147622E-6</v>
      </c>
      <c r="S1541" s="55">
        <f>Tabla3[[#This Row],[Subtotal]]/12</f>
        <v>42716</v>
      </c>
    </row>
    <row r="1542" spans="1:19" x14ac:dyDescent="0.2">
      <c r="A1542" s="4">
        <v>233</v>
      </c>
      <c r="B1542" s="2">
        <v>504179</v>
      </c>
      <c r="C1542" s="2">
        <v>0</v>
      </c>
      <c r="D1542" s="4" t="s">
        <v>4706</v>
      </c>
      <c r="E1542" s="2">
        <v>504179</v>
      </c>
      <c r="F1542" s="2">
        <v>95794.01</v>
      </c>
      <c r="G1542" s="2">
        <v>0</v>
      </c>
      <c r="H1542" s="4">
        <v>0</v>
      </c>
      <c r="I1542" s="4">
        <v>0</v>
      </c>
      <c r="J1542" s="4">
        <v>0</v>
      </c>
      <c r="K1542" s="4">
        <v>599973.01</v>
      </c>
      <c r="L1542" s="4" t="s">
        <v>4704</v>
      </c>
      <c r="M1542" s="4" t="s">
        <v>4705</v>
      </c>
      <c r="N1542" s="4" t="s">
        <v>1421</v>
      </c>
      <c r="O1542" s="4" t="s">
        <v>340</v>
      </c>
      <c r="P1542" s="4" t="s">
        <v>340</v>
      </c>
      <c r="Q1542" s="8" t="s">
        <v>100</v>
      </c>
      <c r="R1542" s="9">
        <f t="shared" si="25"/>
        <v>8.8451765122558776E-6</v>
      </c>
      <c r="S1542" s="55">
        <f>Tabla3[[#This Row],[Subtotal]]/12</f>
        <v>42014.916666666664</v>
      </c>
    </row>
    <row r="1543" spans="1:19" x14ac:dyDescent="0.2">
      <c r="A1543" s="4">
        <v>1711</v>
      </c>
      <c r="B1543" s="2">
        <v>501581.35</v>
      </c>
      <c r="C1543" s="2">
        <v>0</v>
      </c>
      <c r="D1543" s="4" t="s">
        <v>4709</v>
      </c>
      <c r="E1543" s="2">
        <v>501581.35</v>
      </c>
      <c r="F1543" s="2">
        <v>95300.46</v>
      </c>
      <c r="G1543" s="2">
        <v>0</v>
      </c>
      <c r="H1543" s="4">
        <v>0</v>
      </c>
      <c r="I1543" s="4">
        <v>0</v>
      </c>
      <c r="J1543" s="4">
        <v>0</v>
      </c>
      <c r="K1543" s="4">
        <v>596881.81000000006</v>
      </c>
      <c r="L1543" s="4" t="s">
        <v>4707</v>
      </c>
      <c r="M1543" s="4" t="s">
        <v>4708</v>
      </c>
      <c r="N1543" s="4" t="s">
        <v>20</v>
      </c>
      <c r="O1543" s="4" t="s">
        <v>900</v>
      </c>
      <c r="P1543" s="4" t="s">
        <v>900</v>
      </c>
      <c r="Q1543" s="8" t="s">
        <v>144</v>
      </c>
      <c r="R1543" s="9">
        <f t="shared" si="25"/>
        <v>8.7996040612671184E-6</v>
      </c>
      <c r="S1543" s="55">
        <f>Tabla3[[#This Row],[Subtotal]]/12</f>
        <v>41798.445833333331</v>
      </c>
    </row>
    <row r="1544" spans="1:19" x14ac:dyDescent="0.2">
      <c r="A1544" s="4">
        <v>213</v>
      </c>
      <c r="B1544" s="2">
        <v>501441</v>
      </c>
      <c r="C1544" s="2">
        <v>0</v>
      </c>
      <c r="D1544" s="4" t="s">
        <v>4712</v>
      </c>
      <c r="E1544" s="2">
        <v>501441</v>
      </c>
      <c r="F1544" s="2">
        <v>95273.79</v>
      </c>
      <c r="G1544" s="2">
        <v>0</v>
      </c>
      <c r="H1544" s="4">
        <v>0</v>
      </c>
      <c r="I1544" s="4">
        <v>0</v>
      </c>
      <c r="J1544" s="4">
        <v>0</v>
      </c>
      <c r="K1544" s="4">
        <v>596714.79</v>
      </c>
      <c r="L1544" s="4" t="s">
        <v>4710</v>
      </c>
      <c r="M1544" s="4" t="s">
        <v>4711</v>
      </c>
      <c r="N1544" s="4" t="s">
        <v>20</v>
      </c>
      <c r="O1544" s="4" t="s">
        <v>1549</v>
      </c>
      <c r="P1544" s="4" t="s">
        <v>1549</v>
      </c>
      <c r="Q1544" s="8" t="s">
        <v>100</v>
      </c>
      <c r="R1544" s="9">
        <f t="shared" si="25"/>
        <v>8.797141799801458E-6</v>
      </c>
      <c r="S1544" s="55">
        <f>Tabla3[[#This Row],[Subtotal]]/12</f>
        <v>41786.75</v>
      </c>
    </row>
    <row r="1545" spans="1:19" x14ac:dyDescent="0.2">
      <c r="A1545" s="4">
        <v>1046</v>
      </c>
      <c r="B1545" s="2">
        <v>485440</v>
      </c>
      <c r="C1545" s="2">
        <v>0</v>
      </c>
      <c r="D1545" s="4" t="s">
        <v>4715</v>
      </c>
      <c r="E1545" s="2">
        <v>485440</v>
      </c>
      <c r="F1545" s="2">
        <v>92233.600000000006</v>
      </c>
      <c r="G1545" s="2">
        <v>0</v>
      </c>
      <c r="H1545" s="4">
        <v>0</v>
      </c>
      <c r="I1545" s="4">
        <v>0</v>
      </c>
      <c r="J1545" s="4">
        <v>0</v>
      </c>
      <c r="K1545" s="4">
        <v>577673.6</v>
      </c>
      <c r="L1545" s="4" t="s">
        <v>4713</v>
      </c>
      <c r="M1545" s="4" t="s">
        <v>4714</v>
      </c>
      <c r="N1545" s="4" t="s">
        <v>3433</v>
      </c>
      <c r="O1545" s="4" t="s">
        <v>2025</v>
      </c>
      <c r="P1545" s="4" t="s">
        <v>2025</v>
      </c>
      <c r="Q1545" s="8" t="s">
        <v>100</v>
      </c>
      <c r="R1545" s="9">
        <f t="shared" si="25"/>
        <v>8.5164246946213413E-6</v>
      </c>
      <c r="S1545" s="55">
        <f>Tabla3[[#This Row],[Subtotal]]/12</f>
        <v>40453.333333333336</v>
      </c>
    </row>
    <row r="1546" spans="1:19" x14ac:dyDescent="0.2">
      <c r="A1546" s="4">
        <v>1009</v>
      </c>
      <c r="B1546" s="2">
        <v>484176</v>
      </c>
      <c r="C1546" s="2">
        <v>0</v>
      </c>
      <c r="D1546" s="4" t="s">
        <v>4718</v>
      </c>
      <c r="E1546" s="2">
        <v>484176</v>
      </c>
      <c r="F1546" s="2">
        <v>91993.44</v>
      </c>
      <c r="G1546" s="2">
        <v>0</v>
      </c>
      <c r="H1546" s="4">
        <v>0</v>
      </c>
      <c r="I1546" s="4">
        <v>0</v>
      </c>
      <c r="J1546" s="4">
        <v>0</v>
      </c>
      <c r="K1546" s="4">
        <v>576169.43999999994</v>
      </c>
      <c r="L1546" s="4" t="s">
        <v>4716</v>
      </c>
      <c r="M1546" s="4" t="s">
        <v>4717</v>
      </c>
      <c r="N1546" s="4" t="s">
        <v>20</v>
      </c>
      <c r="O1546" s="4" t="s">
        <v>2863</v>
      </c>
      <c r="P1546" s="4" t="s">
        <v>2863</v>
      </c>
      <c r="Q1546" s="8" t="s">
        <v>100</v>
      </c>
      <c r="R1546" s="9">
        <f t="shared" si="25"/>
        <v>8.4942494292661957E-6</v>
      </c>
      <c r="S1546" s="55">
        <f>Tabla3[[#This Row],[Subtotal]]/12</f>
        <v>40348</v>
      </c>
    </row>
    <row r="1547" spans="1:19" x14ac:dyDescent="0.2">
      <c r="A1547" s="4">
        <v>868</v>
      </c>
      <c r="B1547" s="2">
        <v>481518</v>
      </c>
      <c r="C1547" s="2">
        <v>0</v>
      </c>
      <c r="D1547" s="4" t="s">
        <v>4721</v>
      </c>
      <c r="E1547" s="2">
        <v>481518</v>
      </c>
      <c r="F1547" s="2">
        <v>91488.42</v>
      </c>
      <c r="G1547" s="2">
        <v>0</v>
      </c>
      <c r="H1547" s="4">
        <v>0</v>
      </c>
      <c r="I1547" s="4">
        <v>0</v>
      </c>
      <c r="J1547" s="4">
        <v>0</v>
      </c>
      <c r="K1547" s="4">
        <v>573006.42000000004</v>
      </c>
      <c r="L1547" s="4" t="s">
        <v>4719</v>
      </c>
      <c r="M1547" s="4" t="s">
        <v>4720</v>
      </c>
      <c r="N1547" s="4" t="s">
        <v>20</v>
      </c>
      <c r="O1547" s="4" t="s">
        <v>316</v>
      </c>
      <c r="P1547" s="4" t="s">
        <v>316</v>
      </c>
      <c r="Q1547" s="8" t="s">
        <v>100</v>
      </c>
      <c r="R1547" s="9">
        <f t="shared" si="25"/>
        <v>8.4476182146190646E-6</v>
      </c>
      <c r="S1547" s="55">
        <f>Tabla3[[#This Row],[Subtotal]]/12</f>
        <v>40126.5</v>
      </c>
    </row>
    <row r="1548" spans="1:19" x14ac:dyDescent="0.2">
      <c r="A1548" s="4">
        <v>568</v>
      </c>
      <c r="B1548" s="2">
        <v>480149</v>
      </c>
      <c r="C1548" s="2">
        <v>0</v>
      </c>
      <c r="D1548" s="4" t="s">
        <v>4724</v>
      </c>
      <c r="E1548" s="2">
        <v>480149</v>
      </c>
      <c r="F1548" s="2">
        <v>91228.31</v>
      </c>
      <c r="G1548" s="2">
        <v>0</v>
      </c>
      <c r="H1548" s="4">
        <v>0</v>
      </c>
      <c r="I1548" s="4">
        <v>0</v>
      </c>
      <c r="J1548" s="4">
        <v>0</v>
      </c>
      <c r="K1548" s="4">
        <v>571377.31000000006</v>
      </c>
      <c r="L1548" s="4" t="s">
        <v>4722</v>
      </c>
      <c r="M1548" s="4" t="s">
        <v>4723</v>
      </c>
      <c r="N1548" s="4" t="s">
        <v>20</v>
      </c>
      <c r="O1548" s="4" t="s">
        <v>1356</v>
      </c>
      <c r="P1548" s="4" t="s">
        <v>1356</v>
      </c>
      <c r="Q1548" s="8" t="s">
        <v>100</v>
      </c>
      <c r="R1548" s="9">
        <f t="shared" si="25"/>
        <v>8.4236008583918557E-6</v>
      </c>
      <c r="S1548" s="55">
        <f>Tabla3[[#This Row],[Subtotal]]/12</f>
        <v>40012.416666666664</v>
      </c>
    </row>
    <row r="1549" spans="1:19" x14ac:dyDescent="0.2">
      <c r="A1549" s="4">
        <v>1113</v>
      </c>
      <c r="B1549" s="2">
        <v>479454</v>
      </c>
      <c r="C1549" s="2">
        <v>0</v>
      </c>
      <c r="D1549" s="4" t="s">
        <v>4727</v>
      </c>
      <c r="E1549" s="2">
        <v>479454</v>
      </c>
      <c r="F1549" s="2">
        <v>91096.26</v>
      </c>
      <c r="G1549" s="2">
        <v>0</v>
      </c>
      <c r="H1549" s="4">
        <v>0</v>
      </c>
      <c r="I1549" s="4">
        <v>0</v>
      </c>
      <c r="J1549" s="4">
        <v>0</v>
      </c>
      <c r="K1549" s="4">
        <v>570550.26</v>
      </c>
      <c r="L1549" s="4" t="s">
        <v>4725</v>
      </c>
      <c r="M1549" s="4" t="s">
        <v>4726</v>
      </c>
      <c r="N1549" s="4" t="s">
        <v>20</v>
      </c>
      <c r="O1549" s="4" t="s">
        <v>2863</v>
      </c>
      <c r="P1549" s="4" t="s">
        <v>2863</v>
      </c>
      <c r="Q1549" s="8" t="s">
        <v>100</v>
      </c>
      <c r="R1549" s="9">
        <f t="shared" si="25"/>
        <v>8.4114079711910447E-6</v>
      </c>
      <c r="S1549" s="55">
        <f>Tabla3[[#This Row],[Subtotal]]/12</f>
        <v>39954.5</v>
      </c>
    </row>
    <row r="1550" spans="1:19" x14ac:dyDescent="0.2">
      <c r="A1550" s="4">
        <v>1011</v>
      </c>
      <c r="B1550" s="2">
        <v>476983</v>
      </c>
      <c r="C1550" s="2">
        <v>0</v>
      </c>
      <c r="D1550" s="4" t="s">
        <v>4730</v>
      </c>
      <c r="E1550" s="2">
        <v>476983</v>
      </c>
      <c r="F1550" s="2">
        <v>90626.77</v>
      </c>
      <c r="G1550" s="2">
        <v>0</v>
      </c>
      <c r="H1550" s="4">
        <v>0</v>
      </c>
      <c r="I1550" s="4">
        <v>0</v>
      </c>
      <c r="J1550" s="4">
        <v>0</v>
      </c>
      <c r="K1550" s="4">
        <v>567609.77</v>
      </c>
      <c r="L1550" s="4" t="s">
        <v>4728</v>
      </c>
      <c r="M1550" s="4" t="s">
        <v>4729</v>
      </c>
      <c r="N1550" s="4" t="s">
        <v>20</v>
      </c>
      <c r="O1550" s="4" t="s">
        <v>2863</v>
      </c>
      <c r="P1550" s="4" t="s">
        <v>2863</v>
      </c>
      <c r="Q1550" s="8" t="s">
        <v>100</v>
      </c>
      <c r="R1550" s="9">
        <f t="shared" si="25"/>
        <v>8.3680574326684472E-6</v>
      </c>
      <c r="S1550" s="55">
        <f>Tabla3[[#This Row],[Subtotal]]/12</f>
        <v>39748.583333333336</v>
      </c>
    </row>
    <row r="1551" spans="1:19" x14ac:dyDescent="0.2">
      <c r="A1551" s="4">
        <v>430</v>
      </c>
      <c r="B1551" s="2">
        <v>466419.15</v>
      </c>
      <c r="C1551" s="2">
        <v>0</v>
      </c>
      <c r="D1551" s="4" t="s">
        <v>4733</v>
      </c>
      <c r="E1551" s="2">
        <v>466419.15</v>
      </c>
      <c r="F1551" s="2">
        <v>88619.64</v>
      </c>
      <c r="G1551" s="2">
        <v>0</v>
      </c>
      <c r="H1551" s="4">
        <v>0</v>
      </c>
      <c r="I1551" s="4">
        <v>0</v>
      </c>
      <c r="J1551" s="4">
        <v>0</v>
      </c>
      <c r="K1551" s="4">
        <v>555038.79</v>
      </c>
      <c r="L1551" s="4" t="s">
        <v>4731</v>
      </c>
      <c r="M1551" s="4" t="s">
        <v>4732</v>
      </c>
      <c r="N1551" s="4" t="s">
        <v>41</v>
      </c>
      <c r="O1551" s="4" t="s">
        <v>900</v>
      </c>
      <c r="P1551" s="4" t="s">
        <v>900</v>
      </c>
      <c r="Q1551" s="8" t="s">
        <v>144</v>
      </c>
      <c r="R1551" s="9">
        <f t="shared" si="25"/>
        <v>8.1827281787745049E-6</v>
      </c>
      <c r="S1551" s="55">
        <f>Tabla3[[#This Row],[Subtotal]]/12</f>
        <v>38868.262500000004</v>
      </c>
    </row>
    <row r="1552" spans="1:19" x14ac:dyDescent="0.2">
      <c r="A1552" s="4">
        <v>851</v>
      </c>
      <c r="B1552" s="2">
        <v>463008</v>
      </c>
      <c r="C1552" s="2">
        <v>0</v>
      </c>
      <c r="D1552" s="4" t="s">
        <v>4736</v>
      </c>
      <c r="E1552" s="2">
        <v>463008</v>
      </c>
      <c r="F1552" s="2">
        <v>87971.520000000004</v>
      </c>
      <c r="G1552" s="2">
        <v>0</v>
      </c>
      <c r="H1552" s="4">
        <v>0</v>
      </c>
      <c r="I1552" s="4">
        <v>0</v>
      </c>
      <c r="J1552" s="4">
        <v>0</v>
      </c>
      <c r="K1552" s="4">
        <v>550979.52</v>
      </c>
      <c r="L1552" s="4" t="s">
        <v>4734</v>
      </c>
      <c r="M1552" s="4" t="s">
        <v>4735</v>
      </c>
      <c r="N1552" s="4" t="s">
        <v>20</v>
      </c>
      <c r="O1552" s="4" t="s">
        <v>257</v>
      </c>
      <c r="P1552" s="4" t="s">
        <v>257</v>
      </c>
      <c r="Q1552" s="8" t="s">
        <v>100</v>
      </c>
      <c r="R1552" s="9">
        <f t="shared" si="25"/>
        <v>8.1228839094578897E-6</v>
      </c>
      <c r="S1552" s="55">
        <f>Tabla3[[#This Row],[Subtotal]]/12</f>
        <v>38584</v>
      </c>
    </row>
    <row r="1553" spans="1:19" x14ac:dyDescent="0.2">
      <c r="A1553" s="4">
        <v>1500</v>
      </c>
      <c r="B1553" s="2">
        <v>456851</v>
      </c>
      <c r="C1553" s="2">
        <v>0</v>
      </c>
      <c r="D1553" s="4" t="s">
        <v>4739</v>
      </c>
      <c r="E1553" s="2">
        <v>456851</v>
      </c>
      <c r="F1553" s="2">
        <v>86801.69</v>
      </c>
      <c r="G1553" s="2">
        <v>0</v>
      </c>
      <c r="H1553" s="4">
        <v>0</v>
      </c>
      <c r="I1553" s="4">
        <v>0</v>
      </c>
      <c r="J1553" s="4">
        <v>0</v>
      </c>
      <c r="K1553" s="4">
        <v>543652.68999999994</v>
      </c>
      <c r="L1553" s="4" t="s">
        <v>4737</v>
      </c>
      <c r="M1553" s="4" t="s">
        <v>4738</v>
      </c>
      <c r="N1553" s="4" t="s">
        <v>20</v>
      </c>
      <c r="O1553" s="4" t="s">
        <v>316</v>
      </c>
      <c r="P1553" s="4" t="s">
        <v>316</v>
      </c>
      <c r="Q1553" s="8" t="s">
        <v>100</v>
      </c>
      <c r="R1553" s="9">
        <f t="shared" si="25"/>
        <v>8.0148672094645155E-6</v>
      </c>
      <c r="S1553" s="55">
        <f>Tabla3[[#This Row],[Subtotal]]/12</f>
        <v>38070.916666666664</v>
      </c>
    </row>
    <row r="1554" spans="1:19" x14ac:dyDescent="0.2">
      <c r="A1554" s="4">
        <v>1514</v>
      </c>
      <c r="B1554" s="2">
        <v>456703</v>
      </c>
      <c r="C1554" s="2">
        <v>0</v>
      </c>
      <c r="D1554" s="4" t="s">
        <v>4742</v>
      </c>
      <c r="E1554" s="2">
        <v>456703</v>
      </c>
      <c r="F1554" s="2">
        <v>86773.57</v>
      </c>
      <c r="G1554" s="2">
        <v>0</v>
      </c>
      <c r="H1554" s="4">
        <v>0</v>
      </c>
      <c r="I1554" s="4">
        <v>0</v>
      </c>
      <c r="J1554" s="4">
        <v>0</v>
      </c>
      <c r="K1554" s="4">
        <v>543476.56999999995</v>
      </c>
      <c r="L1554" s="4" t="s">
        <v>4740</v>
      </c>
      <c r="M1554" s="4" t="s">
        <v>4741</v>
      </c>
      <c r="N1554" s="4" t="s">
        <v>4743</v>
      </c>
      <c r="O1554" s="4" t="s">
        <v>1188</v>
      </c>
      <c r="P1554" s="4" t="s">
        <v>1188</v>
      </c>
      <c r="Q1554" s="8" t="s">
        <v>100</v>
      </c>
      <c r="R1554" s="9">
        <f t="shared" si="25"/>
        <v>8.0122707385210327E-6</v>
      </c>
      <c r="S1554" s="55">
        <f>Tabla3[[#This Row],[Subtotal]]/12</f>
        <v>38058.583333333336</v>
      </c>
    </row>
    <row r="1555" spans="1:19" x14ac:dyDescent="0.2">
      <c r="A1555" s="4">
        <v>107</v>
      </c>
      <c r="B1555" s="2">
        <v>454155</v>
      </c>
      <c r="C1555" s="2">
        <v>0</v>
      </c>
      <c r="D1555" s="4" t="s">
        <v>4746</v>
      </c>
      <c r="E1555" s="2">
        <v>454155</v>
      </c>
      <c r="F1555" s="2">
        <v>86289.45</v>
      </c>
      <c r="G1555" s="2">
        <v>0</v>
      </c>
      <c r="H1555" s="4">
        <v>0</v>
      </c>
      <c r="I1555" s="4">
        <v>0</v>
      </c>
      <c r="J1555" s="4">
        <v>0</v>
      </c>
      <c r="K1555" s="4">
        <v>540444.44999999995</v>
      </c>
      <c r="L1555" s="4" t="s">
        <v>4744</v>
      </c>
      <c r="M1555" s="4" t="s">
        <v>4745</v>
      </c>
      <c r="N1555" s="4" t="s">
        <v>20</v>
      </c>
      <c r="O1555" s="4" t="s">
        <v>631</v>
      </c>
      <c r="P1555" s="4" t="s">
        <v>631</v>
      </c>
      <c r="Q1555" s="8" t="s">
        <v>100</v>
      </c>
      <c r="R1555" s="9">
        <f t="shared" si="25"/>
        <v>7.9675693333589219E-6</v>
      </c>
      <c r="S1555" s="55">
        <f>Tabla3[[#This Row],[Subtotal]]/12</f>
        <v>37846.25</v>
      </c>
    </row>
    <row r="1556" spans="1:19" x14ac:dyDescent="0.2">
      <c r="A1556" s="4">
        <v>1581</v>
      </c>
      <c r="B1556" s="2">
        <v>452479.38</v>
      </c>
      <c r="C1556" s="2">
        <v>0</v>
      </c>
      <c r="D1556" s="4" t="s">
        <v>4748</v>
      </c>
      <c r="E1556" s="2">
        <v>452479.38</v>
      </c>
      <c r="F1556" s="2">
        <v>85021.08</v>
      </c>
      <c r="G1556" s="2">
        <v>0</v>
      </c>
      <c r="H1556" s="4">
        <v>0</v>
      </c>
      <c r="I1556" s="4">
        <v>0</v>
      </c>
      <c r="J1556" s="4">
        <v>0</v>
      </c>
      <c r="K1556" s="4">
        <v>537500.46</v>
      </c>
      <c r="L1556" s="4" t="s">
        <v>4747</v>
      </c>
      <c r="M1556" s="4" t="s">
        <v>4747</v>
      </c>
      <c r="N1556" s="4" t="s">
        <v>20</v>
      </c>
      <c r="O1556" s="4" t="s">
        <v>1677</v>
      </c>
      <c r="P1556" s="4" t="s">
        <v>1677</v>
      </c>
      <c r="Q1556" s="8" t="s">
        <v>144</v>
      </c>
      <c r="R1556" s="9">
        <f t="shared" si="25"/>
        <v>7.9381727209108304E-6</v>
      </c>
      <c r="S1556" s="55">
        <f>Tabla3[[#This Row],[Subtotal]]/12</f>
        <v>37706.614999999998</v>
      </c>
    </row>
    <row r="1557" spans="1:19" x14ac:dyDescent="0.2">
      <c r="A1557" s="4">
        <v>1096</v>
      </c>
      <c r="B1557" s="2">
        <v>451555</v>
      </c>
      <c r="C1557" s="2">
        <v>0</v>
      </c>
      <c r="D1557" s="4" t="s">
        <v>4751</v>
      </c>
      <c r="E1557" s="2">
        <v>451555</v>
      </c>
      <c r="F1557" s="2">
        <v>84845.45</v>
      </c>
      <c r="G1557" s="2">
        <v>0</v>
      </c>
      <c r="H1557" s="4">
        <v>0</v>
      </c>
      <c r="I1557" s="4">
        <v>0</v>
      </c>
      <c r="J1557" s="4">
        <v>0</v>
      </c>
      <c r="K1557" s="4">
        <v>536400.44999999995</v>
      </c>
      <c r="L1557" s="4" t="s">
        <v>4749</v>
      </c>
      <c r="M1557" s="4" t="s">
        <v>4750</v>
      </c>
      <c r="N1557" s="4" t="s">
        <v>20</v>
      </c>
      <c r="O1557" s="4" t="s">
        <v>1677</v>
      </c>
      <c r="P1557" s="4" t="s">
        <v>1677</v>
      </c>
      <c r="Q1557" s="8" t="s">
        <v>144</v>
      </c>
      <c r="R1557" s="9">
        <f t="shared" si="25"/>
        <v>7.9219556546220745E-6</v>
      </c>
      <c r="S1557" s="55">
        <f>Tabla3[[#This Row],[Subtotal]]/12</f>
        <v>37629.583333333336</v>
      </c>
    </row>
    <row r="1558" spans="1:19" x14ac:dyDescent="0.2">
      <c r="A1558" s="4">
        <v>1483</v>
      </c>
      <c r="B1558" s="2">
        <v>450947</v>
      </c>
      <c r="C1558" s="2">
        <v>0</v>
      </c>
      <c r="D1558" s="4" t="s">
        <v>4754</v>
      </c>
      <c r="E1558" s="2">
        <v>450947</v>
      </c>
      <c r="F1558" s="2">
        <v>85679.93</v>
      </c>
      <c r="G1558" s="2">
        <v>0</v>
      </c>
      <c r="H1558" s="4">
        <v>0</v>
      </c>
      <c r="I1558" s="4">
        <v>0</v>
      </c>
      <c r="J1558" s="4">
        <v>0</v>
      </c>
      <c r="K1558" s="4">
        <v>536626.93000000005</v>
      </c>
      <c r="L1558" s="4" t="s">
        <v>4752</v>
      </c>
      <c r="M1558" s="4" t="s">
        <v>4753</v>
      </c>
      <c r="N1558" s="4" t="s">
        <v>20</v>
      </c>
      <c r="O1558" s="4" t="s">
        <v>316</v>
      </c>
      <c r="P1558" s="4" t="s">
        <v>316</v>
      </c>
      <c r="Q1558" s="8" t="s">
        <v>100</v>
      </c>
      <c r="R1558" s="9">
        <f t="shared" si="25"/>
        <v>7.9112890712866874E-6</v>
      </c>
      <c r="S1558" s="55">
        <f>Tabla3[[#This Row],[Subtotal]]/12</f>
        <v>37578.916666666664</v>
      </c>
    </row>
    <row r="1559" spans="1:19" x14ac:dyDescent="0.2">
      <c r="A1559" s="4">
        <v>550</v>
      </c>
      <c r="B1559" s="2">
        <v>447659</v>
      </c>
      <c r="C1559" s="2">
        <v>0</v>
      </c>
      <c r="D1559" s="4" t="s">
        <v>4757</v>
      </c>
      <c r="E1559" s="2">
        <v>447659</v>
      </c>
      <c r="F1559" s="2">
        <v>85055.21</v>
      </c>
      <c r="G1559" s="2">
        <v>0</v>
      </c>
      <c r="H1559" s="4">
        <v>0</v>
      </c>
      <c r="I1559" s="4">
        <v>0</v>
      </c>
      <c r="J1559" s="4">
        <v>0</v>
      </c>
      <c r="K1559" s="4">
        <v>532714.21</v>
      </c>
      <c r="L1559" s="4" t="s">
        <v>4755</v>
      </c>
      <c r="M1559" s="4" t="s">
        <v>4756</v>
      </c>
      <c r="N1559" s="4" t="s">
        <v>464</v>
      </c>
      <c r="O1559" s="4" t="s">
        <v>105</v>
      </c>
      <c r="P1559" s="4" t="s">
        <v>105</v>
      </c>
      <c r="Q1559" s="8" t="s">
        <v>100</v>
      </c>
      <c r="R1559" s="9">
        <f t="shared" si="25"/>
        <v>7.8536053114071662E-6</v>
      </c>
      <c r="S1559" s="55">
        <f>Tabla3[[#This Row],[Subtotal]]/12</f>
        <v>37304.916666666664</v>
      </c>
    </row>
    <row r="1560" spans="1:19" x14ac:dyDescent="0.2">
      <c r="A1560" s="4">
        <v>571</v>
      </c>
      <c r="B1560" s="2">
        <v>439050</v>
      </c>
      <c r="C1560" s="2">
        <v>0</v>
      </c>
      <c r="D1560" s="4" t="s">
        <v>4760</v>
      </c>
      <c r="E1560" s="2">
        <v>439050</v>
      </c>
      <c r="F1560" s="2">
        <v>83419.5</v>
      </c>
      <c r="G1560" s="2">
        <v>0</v>
      </c>
      <c r="H1560" s="4">
        <v>0</v>
      </c>
      <c r="I1560" s="4">
        <v>0</v>
      </c>
      <c r="J1560" s="4">
        <v>0</v>
      </c>
      <c r="K1560" s="4">
        <v>522469.5</v>
      </c>
      <c r="L1560" s="4" t="s">
        <v>4758</v>
      </c>
      <c r="M1560" s="4" t="s">
        <v>4759</v>
      </c>
      <c r="N1560" s="4" t="s">
        <v>20</v>
      </c>
      <c r="O1560" s="4" t="s">
        <v>257</v>
      </c>
      <c r="P1560" s="4" t="s">
        <v>257</v>
      </c>
      <c r="Q1560" s="8" t="s">
        <v>100</v>
      </c>
      <c r="R1560" s="9">
        <f t="shared" si="25"/>
        <v>7.7025714036204257E-6</v>
      </c>
      <c r="S1560" s="55">
        <f>Tabla3[[#This Row],[Subtotal]]/12</f>
        <v>36587.5</v>
      </c>
    </row>
    <row r="1561" spans="1:19" x14ac:dyDescent="0.2">
      <c r="A1561" s="4">
        <v>1185</v>
      </c>
      <c r="B1561" s="2">
        <v>438085</v>
      </c>
      <c r="C1561" s="2">
        <v>0</v>
      </c>
      <c r="D1561" s="4" t="s">
        <v>4763</v>
      </c>
      <c r="E1561" s="2">
        <v>438085</v>
      </c>
      <c r="F1561" s="2">
        <v>83236.149999999994</v>
      </c>
      <c r="G1561" s="2">
        <v>0</v>
      </c>
      <c r="H1561" s="4">
        <v>0</v>
      </c>
      <c r="I1561" s="4">
        <v>0</v>
      </c>
      <c r="J1561" s="4">
        <v>0</v>
      </c>
      <c r="K1561" s="4">
        <v>521321.15</v>
      </c>
      <c r="L1561" s="4" t="s">
        <v>4761</v>
      </c>
      <c r="M1561" s="4" t="s">
        <v>4762</v>
      </c>
      <c r="N1561" s="4" t="s">
        <v>20</v>
      </c>
      <c r="O1561" s="4" t="s">
        <v>1562</v>
      </c>
      <c r="P1561" s="4" t="s">
        <v>1562</v>
      </c>
      <c r="Q1561" s="8" t="s">
        <v>100</v>
      </c>
      <c r="R1561" s="9">
        <f t="shared" si="25"/>
        <v>7.6856417113200192E-6</v>
      </c>
      <c r="S1561" s="55">
        <f>Tabla3[[#This Row],[Subtotal]]/12</f>
        <v>36507.083333333336</v>
      </c>
    </row>
    <row r="1562" spans="1:19" x14ac:dyDescent="0.2">
      <c r="A1562" s="4">
        <v>1435</v>
      </c>
      <c r="B1562" s="2">
        <v>437036</v>
      </c>
      <c r="C1562" s="2">
        <v>0</v>
      </c>
      <c r="D1562" s="4" t="s">
        <v>4766</v>
      </c>
      <c r="E1562" s="2">
        <v>437036</v>
      </c>
      <c r="F1562" s="2">
        <v>83036.84</v>
      </c>
      <c r="G1562" s="2">
        <v>0</v>
      </c>
      <c r="H1562" s="4">
        <v>0</v>
      </c>
      <c r="I1562" s="4">
        <v>0</v>
      </c>
      <c r="J1562" s="4">
        <v>0</v>
      </c>
      <c r="K1562" s="4">
        <v>520072.84</v>
      </c>
      <c r="L1562" s="4" t="s">
        <v>4764</v>
      </c>
      <c r="M1562" s="4" t="s">
        <v>4765</v>
      </c>
      <c r="N1562" s="4" t="s">
        <v>1783</v>
      </c>
      <c r="O1562" s="4" t="s">
        <v>89</v>
      </c>
      <c r="P1562" s="4" t="s">
        <v>89</v>
      </c>
      <c r="Q1562" s="8" t="s">
        <v>100</v>
      </c>
      <c r="R1562" s="9">
        <f t="shared" si="25"/>
        <v>7.6672383463219606E-6</v>
      </c>
      <c r="S1562" s="55">
        <f>Tabla3[[#This Row],[Subtotal]]/12</f>
        <v>36419.666666666664</v>
      </c>
    </row>
    <row r="1563" spans="1:19" x14ac:dyDescent="0.2">
      <c r="A1563" s="4">
        <v>74</v>
      </c>
      <c r="B1563" s="2">
        <v>436554.9</v>
      </c>
      <c r="C1563" s="2">
        <v>0</v>
      </c>
      <c r="D1563" s="4" t="s">
        <v>4769</v>
      </c>
      <c r="E1563" s="2">
        <v>436554.9</v>
      </c>
      <c r="F1563" s="2">
        <v>81045.429999999993</v>
      </c>
      <c r="G1563" s="2">
        <v>0</v>
      </c>
      <c r="H1563" s="4">
        <v>0</v>
      </c>
      <c r="I1563" s="4">
        <v>0</v>
      </c>
      <c r="J1563" s="4">
        <v>0</v>
      </c>
      <c r="K1563" s="4">
        <v>517600.33</v>
      </c>
      <c r="L1563" s="4" t="s">
        <v>4767</v>
      </c>
      <c r="M1563" s="4" t="s">
        <v>4768</v>
      </c>
      <c r="N1563" s="4" t="s">
        <v>20</v>
      </c>
      <c r="O1563" s="4" t="s">
        <v>1677</v>
      </c>
      <c r="P1563" s="4" t="s">
        <v>1677</v>
      </c>
      <c r="Q1563" s="8" t="s">
        <v>144</v>
      </c>
      <c r="R1563" s="9">
        <f t="shared" si="25"/>
        <v>7.6587980613833848E-6</v>
      </c>
      <c r="S1563" s="55">
        <f>Tabla3[[#This Row],[Subtotal]]/12</f>
        <v>36379.575000000004</v>
      </c>
    </row>
    <row r="1564" spans="1:19" x14ac:dyDescent="0.2">
      <c r="A1564" s="4">
        <v>1564</v>
      </c>
      <c r="B1564" s="2">
        <v>432459</v>
      </c>
      <c r="C1564" s="2">
        <v>0</v>
      </c>
      <c r="D1564" s="4" t="s">
        <v>4772</v>
      </c>
      <c r="E1564" s="2">
        <v>432459</v>
      </c>
      <c r="F1564" s="2">
        <v>82167.210000000006</v>
      </c>
      <c r="G1564" s="2">
        <v>0</v>
      </c>
      <c r="H1564" s="4">
        <v>0</v>
      </c>
      <c r="I1564" s="4">
        <v>0</v>
      </c>
      <c r="J1564" s="4">
        <v>0</v>
      </c>
      <c r="K1564" s="4">
        <v>514626.21</v>
      </c>
      <c r="L1564" s="4" t="s">
        <v>4770</v>
      </c>
      <c r="M1564" s="4" t="s">
        <v>4771</v>
      </c>
      <c r="N1564" s="4" t="s">
        <v>1421</v>
      </c>
      <c r="O1564" s="4" t="s">
        <v>340</v>
      </c>
      <c r="P1564" s="4" t="s">
        <v>340</v>
      </c>
      <c r="Q1564" s="8" t="s">
        <v>100</v>
      </c>
      <c r="R1564" s="9">
        <f t="shared" si="25"/>
        <v>7.5869407280225163E-6</v>
      </c>
      <c r="S1564" s="55">
        <f>Tabla3[[#This Row],[Subtotal]]/12</f>
        <v>36038.25</v>
      </c>
    </row>
    <row r="1565" spans="1:19" x14ac:dyDescent="0.2">
      <c r="A1565" s="4">
        <v>1122</v>
      </c>
      <c r="B1565" s="2">
        <v>427392</v>
      </c>
      <c r="C1565" s="2">
        <v>0</v>
      </c>
      <c r="D1565" s="4" t="s">
        <v>4775</v>
      </c>
      <c r="E1565" s="2">
        <v>427392</v>
      </c>
      <c r="F1565" s="2">
        <v>81204.479999999996</v>
      </c>
      <c r="G1565" s="2">
        <v>0</v>
      </c>
      <c r="H1565" s="4">
        <v>0</v>
      </c>
      <c r="I1565" s="4">
        <v>0</v>
      </c>
      <c r="J1565" s="4">
        <v>0</v>
      </c>
      <c r="K1565" s="4">
        <v>508596.47999999998</v>
      </c>
      <c r="L1565" s="4" t="s">
        <v>4773</v>
      </c>
      <c r="M1565" s="4" t="s">
        <v>4774</v>
      </c>
      <c r="N1565" s="4" t="s">
        <v>332</v>
      </c>
      <c r="O1565" s="4" t="s">
        <v>1127</v>
      </c>
      <c r="P1565" s="4" t="s">
        <v>1127</v>
      </c>
      <c r="Q1565" s="8" t="s">
        <v>100</v>
      </c>
      <c r="R1565" s="9">
        <f t="shared" si="25"/>
        <v>7.4980466856534367E-6</v>
      </c>
      <c r="S1565" s="55">
        <f>Tabla3[[#This Row],[Subtotal]]/12</f>
        <v>35616</v>
      </c>
    </row>
    <row r="1566" spans="1:19" x14ac:dyDescent="0.2">
      <c r="A1566" s="4">
        <v>1305</v>
      </c>
      <c r="B1566" s="2">
        <v>420412</v>
      </c>
      <c r="C1566" s="2">
        <v>0</v>
      </c>
      <c r="D1566" s="4" t="s">
        <v>4778</v>
      </c>
      <c r="E1566" s="2">
        <v>420412</v>
      </c>
      <c r="F1566" s="2">
        <v>79878.28</v>
      </c>
      <c r="G1566" s="2">
        <v>0</v>
      </c>
      <c r="H1566" s="4">
        <v>0</v>
      </c>
      <c r="I1566" s="4">
        <v>0</v>
      </c>
      <c r="J1566" s="4">
        <v>0</v>
      </c>
      <c r="K1566" s="4">
        <v>500290.28</v>
      </c>
      <c r="L1566" s="4" t="s">
        <v>4776</v>
      </c>
      <c r="M1566" s="4" t="s">
        <v>4777</v>
      </c>
      <c r="N1566" s="4"/>
      <c r="O1566" s="4" t="s">
        <v>3938</v>
      </c>
      <c r="P1566" s="4" t="s">
        <v>3938</v>
      </c>
      <c r="Q1566" s="8" t="s">
        <v>1378</v>
      </c>
      <c r="R1566" s="9">
        <f t="shared" si="25"/>
        <v>7.3755915019675909E-6</v>
      </c>
      <c r="S1566" s="55">
        <f>Tabla3[[#This Row],[Subtotal]]/12</f>
        <v>35034.333333333336</v>
      </c>
    </row>
    <row r="1567" spans="1:19" x14ac:dyDescent="0.2">
      <c r="A1567" s="4">
        <v>1180</v>
      </c>
      <c r="B1567" s="2">
        <v>416737</v>
      </c>
      <c r="C1567" s="2">
        <v>0</v>
      </c>
      <c r="D1567" s="4" t="s">
        <v>4781</v>
      </c>
      <c r="E1567" s="2">
        <v>416737</v>
      </c>
      <c r="F1567" s="2">
        <v>79180.03</v>
      </c>
      <c r="G1567" s="2">
        <v>0</v>
      </c>
      <c r="H1567" s="4">
        <v>0</v>
      </c>
      <c r="I1567" s="4">
        <v>0</v>
      </c>
      <c r="J1567" s="4">
        <v>0</v>
      </c>
      <c r="K1567" s="4">
        <v>495917.03</v>
      </c>
      <c r="L1567" s="4" t="s">
        <v>4779</v>
      </c>
      <c r="M1567" s="4" t="s">
        <v>4780</v>
      </c>
      <c r="N1567" s="4" t="s">
        <v>20</v>
      </c>
      <c r="O1567" s="4" t="s">
        <v>2863</v>
      </c>
      <c r="P1567" s="4" t="s">
        <v>2863</v>
      </c>
      <c r="Q1567" s="8" t="s">
        <v>100</v>
      </c>
      <c r="R1567" s="9">
        <f t="shared" si="25"/>
        <v>7.3111183214453149E-6</v>
      </c>
      <c r="S1567" s="55">
        <f>Tabla3[[#This Row],[Subtotal]]/12</f>
        <v>34728.083333333336</v>
      </c>
    </row>
    <row r="1568" spans="1:19" x14ac:dyDescent="0.2">
      <c r="A1568" s="4">
        <v>63</v>
      </c>
      <c r="B1568" s="2">
        <v>415986</v>
      </c>
      <c r="C1568" s="2">
        <v>0</v>
      </c>
      <c r="D1568" s="4" t="s">
        <v>4784</v>
      </c>
      <c r="E1568" s="2">
        <v>415986</v>
      </c>
      <c r="F1568" s="2">
        <v>79037.34</v>
      </c>
      <c r="G1568" s="2">
        <v>0</v>
      </c>
      <c r="H1568" s="4">
        <v>0</v>
      </c>
      <c r="I1568" s="4">
        <v>0</v>
      </c>
      <c r="J1568" s="4">
        <v>0</v>
      </c>
      <c r="K1568" s="4">
        <v>495023.34</v>
      </c>
      <c r="L1568" s="4" t="s">
        <v>4782</v>
      </c>
      <c r="M1568" s="4" t="s">
        <v>4783</v>
      </c>
      <c r="N1568" s="4" t="s">
        <v>20</v>
      </c>
      <c r="O1568" s="4" t="s">
        <v>3938</v>
      </c>
      <c r="P1568" s="4" t="s">
        <v>3938</v>
      </c>
      <c r="Q1568" s="8" t="s">
        <v>1378</v>
      </c>
      <c r="R1568" s="9">
        <f t="shared" si="25"/>
        <v>7.2979429857794029E-6</v>
      </c>
      <c r="S1568" s="55">
        <f>Tabla3[[#This Row],[Subtotal]]/12</f>
        <v>34665.5</v>
      </c>
    </row>
    <row r="1569" spans="1:19" x14ac:dyDescent="0.2">
      <c r="A1569" s="4">
        <v>1749</v>
      </c>
      <c r="B1569" s="2">
        <v>411537</v>
      </c>
      <c r="C1569" s="2">
        <v>0</v>
      </c>
      <c r="D1569" s="4" t="s">
        <v>4787</v>
      </c>
      <c r="E1569" s="2">
        <v>411537</v>
      </c>
      <c r="F1569" s="2">
        <v>78192.03</v>
      </c>
      <c r="G1569" s="2">
        <v>0</v>
      </c>
      <c r="H1569" s="4">
        <v>0</v>
      </c>
      <c r="I1569" s="4">
        <v>0</v>
      </c>
      <c r="J1569" s="4">
        <v>0</v>
      </c>
      <c r="K1569" s="4">
        <v>489729.03</v>
      </c>
      <c r="L1569" s="4" t="s">
        <v>4785</v>
      </c>
      <c r="M1569" s="4" t="s">
        <v>4786</v>
      </c>
      <c r="N1569" s="4" t="s">
        <v>975</v>
      </c>
      <c r="O1569" s="4" t="s">
        <v>89</v>
      </c>
      <c r="P1569" s="4" t="s">
        <v>89</v>
      </c>
      <c r="Q1569" s="8" t="s">
        <v>100</v>
      </c>
      <c r="R1569" s="9">
        <f t="shared" si="25"/>
        <v>7.2198909639716193E-6</v>
      </c>
      <c r="S1569" s="55">
        <f>Tabla3[[#This Row],[Subtotal]]/12</f>
        <v>34294.75</v>
      </c>
    </row>
    <row r="1570" spans="1:19" x14ac:dyDescent="0.2">
      <c r="A1570" s="4">
        <v>1151</v>
      </c>
      <c r="B1570" s="2">
        <v>411460</v>
      </c>
      <c r="C1570" s="2">
        <v>0</v>
      </c>
      <c r="D1570" s="4" t="s">
        <v>4790</v>
      </c>
      <c r="E1570" s="2">
        <v>411460</v>
      </c>
      <c r="F1570" s="2">
        <v>78177.399999999994</v>
      </c>
      <c r="G1570" s="2">
        <v>0</v>
      </c>
      <c r="H1570" s="4">
        <v>0</v>
      </c>
      <c r="I1570" s="4">
        <v>0</v>
      </c>
      <c r="J1570" s="4">
        <v>0</v>
      </c>
      <c r="K1570" s="4">
        <v>489637.4</v>
      </c>
      <c r="L1570" s="4" t="s">
        <v>4788</v>
      </c>
      <c r="M1570" s="4" t="s">
        <v>4789</v>
      </c>
      <c r="N1570" s="4" t="s">
        <v>20</v>
      </c>
      <c r="O1570" s="4" t="s">
        <v>3938</v>
      </c>
      <c r="P1570" s="4" t="s">
        <v>3938</v>
      </c>
      <c r="Q1570" s="8" t="s">
        <v>1378</v>
      </c>
      <c r="R1570" s="9">
        <f t="shared" si="25"/>
        <v>7.2185400973321052E-6</v>
      </c>
      <c r="S1570" s="55">
        <f>Tabla3[[#This Row],[Subtotal]]/12</f>
        <v>34288.333333333336</v>
      </c>
    </row>
    <row r="1571" spans="1:19" x14ac:dyDescent="0.2">
      <c r="A1571" s="4">
        <v>1695</v>
      </c>
      <c r="B1571" s="2">
        <v>411201</v>
      </c>
      <c r="C1571" s="2">
        <v>0</v>
      </c>
      <c r="D1571" s="4" t="s">
        <v>4793</v>
      </c>
      <c r="E1571" s="2">
        <v>411201</v>
      </c>
      <c r="F1571" s="2">
        <v>78128.19</v>
      </c>
      <c r="G1571" s="2">
        <v>0</v>
      </c>
      <c r="H1571" s="4">
        <v>0</v>
      </c>
      <c r="I1571" s="4">
        <v>0</v>
      </c>
      <c r="J1571" s="4">
        <v>0</v>
      </c>
      <c r="K1571" s="4">
        <v>489329.19</v>
      </c>
      <c r="L1571" s="4" t="s">
        <v>4791</v>
      </c>
      <c r="M1571" s="4" t="s">
        <v>4792</v>
      </c>
      <c r="N1571" s="4" t="s">
        <v>1143</v>
      </c>
      <c r="O1571" s="4" t="s">
        <v>340</v>
      </c>
      <c r="P1571" s="4" t="s">
        <v>340</v>
      </c>
      <c r="Q1571" s="8" t="s">
        <v>100</v>
      </c>
      <c r="R1571" s="9">
        <f t="shared" si="25"/>
        <v>7.2139962731810112E-6</v>
      </c>
      <c r="S1571" s="55">
        <f>Tabla3[[#This Row],[Subtotal]]/12</f>
        <v>34266.75</v>
      </c>
    </row>
    <row r="1572" spans="1:19" x14ac:dyDescent="0.2">
      <c r="A1572" s="4">
        <v>1513</v>
      </c>
      <c r="B1572" s="2">
        <v>404324</v>
      </c>
      <c r="C1572" s="2">
        <v>0</v>
      </c>
      <c r="D1572" s="4" t="s">
        <v>4796</v>
      </c>
      <c r="E1572" s="2">
        <v>404324</v>
      </c>
      <c r="F1572" s="2">
        <v>76821.56</v>
      </c>
      <c r="G1572" s="2">
        <v>0</v>
      </c>
      <c r="H1572" s="4">
        <v>0</v>
      </c>
      <c r="I1572" s="4">
        <v>0</v>
      </c>
      <c r="J1572" s="4">
        <v>0</v>
      </c>
      <c r="K1572" s="4">
        <v>481145.56</v>
      </c>
      <c r="L1572" s="4" t="s">
        <v>4794</v>
      </c>
      <c r="M1572" s="4" t="s">
        <v>4795</v>
      </c>
      <c r="N1572" s="4" t="s">
        <v>1463</v>
      </c>
      <c r="O1572" s="4" t="s">
        <v>105</v>
      </c>
      <c r="P1572" s="4" t="s">
        <v>105</v>
      </c>
      <c r="Q1572" s="8" t="s">
        <v>100</v>
      </c>
      <c r="R1572" s="9">
        <f t="shared" si="25"/>
        <v>7.0933480929220486E-6</v>
      </c>
      <c r="S1572" s="55">
        <f>Tabla3[[#This Row],[Subtotal]]/12</f>
        <v>33693.666666666664</v>
      </c>
    </row>
    <row r="1573" spans="1:19" x14ac:dyDescent="0.2">
      <c r="A1573" s="4">
        <v>1135</v>
      </c>
      <c r="B1573" s="2">
        <v>389754</v>
      </c>
      <c r="C1573" s="2">
        <v>0</v>
      </c>
      <c r="D1573" s="4" t="s">
        <v>4799</v>
      </c>
      <c r="E1573" s="2">
        <v>389754</v>
      </c>
      <c r="F1573" s="2">
        <v>74053.259999999995</v>
      </c>
      <c r="G1573" s="2">
        <v>0</v>
      </c>
      <c r="H1573" s="4">
        <v>0</v>
      </c>
      <c r="I1573" s="4">
        <v>0</v>
      </c>
      <c r="J1573" s="4">
        <v>0</v>
      </c>
      <c r="K1573" s="4">
        <v>463807.26</v>
      </c>
      <c r="L1573" s="4" t="s">
        <v>4797</v>
      </c>
      <c r="M1573" s="4" t="s">
        <v>4798</v>
      </c>
      <c r="N1573" s="4" t="s">
        <v>427</v>
      </c>
      <c r="O1573" s="4" t="s">
        <v>89</v>
      </c>
      <c r="P1573" s="4" t="s">
        <v>89</v>
      </c>
      <c r="Q1573" s="8" t="s">
        <v>100</v>
      </c>
      <c r="R1573" s="9">
        <f t="shared" si="25"/>
        <v>6.837736054769789E-6</v>
      </c>
      <c r="S1573" s="55">
        <f>Tabla3[[#This Row],[Subtotal]]/12</f>
        <v>32479.5</v>
      </c>
    </row>
    <row r="1574" spans="1:19" x14ac:dyDescent="0.2">
      <c r="A1574" s="4">
        <v>1068</v>
      </c>
      <c r="B1574" s="2">
        <v>387504</v>
      </c>
      <c r="C1574" s="2">
        <v>0</v>
      </c>
      <c r="D1574" s="4" t="s">
        <v>4802</v>
      </c>
      <c r="E1574" s="2">
        <v>387504</v>
      </c>
      <c r="F1574" s="2">
        <v>73625.759999999995</v>
      </c>
      <c r="G1574" s="2">
        <v>0</v>
      </c>
      <c r="H1574" s="4">
        <v>0</v>
      </c>
      <c r="I1574" s="4">
        <v>0</v>
      </c>
      <c r="J1574" s="4">
        <v>0</v>
      </c>
      <c r="K1574" s="4">
        <v>461129.76</v>
      </c>
      <c r="L1574" s="4" t="s">
        <v>4800</v>
      </c>
      <c r="M1574" s="4" t="s">
        <v>4801</v>
      </c>
      <c r="N1574" s="4" t="s">
        <v>20</v>
      </c>
      <c r="O1574" s="4" t="s">
        <v>631</v>
      </c>
      <c r="P1574" s="4" t="s">
        <v>631</v>
      </c>
      <c r="Q1574" s="8" t="s">
        <v>100</v>
      </c>
      <c r="R1574" s="9">
        <f t="shared" si="25"/>
        <v>6.7982626789398238E-6</v>
      </c>
      <c r="S1574" s="55">
        <f>Tabla3[[#This Row],[Subtotal]]/12</f>
        <v>32292</v>
      </c>
    </row>
    <row r="1575" spans="1:19" x14ac:dyDescent="0.2">
      <c r="A1575" s="4">
        <v>1132</v>
      </c>
      <c r="B1575" s="2">
        <v>381447</v>
      </c>
      <c r="C1575" s="2">
        <v>0</v>
      </c>
      <c r="D1575" s="4" t="s">
        <v>4805</v>
      </c>
      <c r="E1575" s="2">
        <v>381447</v>
      </c>
      <c r="F1575" s="2">
        <v>72474.929999999993</v>
      </c>
      <c r="G1575" s="2">
        <v>0</v>
      </c>
      <c r="H1575" s="4">
        <v>0</v>
      </c>
      <c r="I1575" s="4">
        <v>0</v>
      </c>
      <c r="J1575" s="4">
        <v>0</v>
      </c>
      <c r="K1575" s="4">
        <v>453921.93</v>
      </c>
      <c r="L1575" s="4" t="s">
        <v>4803</v>
      </c>
      <c r="M1575" s="4" t="s">
        <v>4804</v>
      </c>
      <c r="N1575" s="4" t="s">
        <v>2206</v>
      </c>
      <c r="O1575" s="4" t="s">
        <v>196</v>
      </c>
      <c r="P1575" s="4" t="s">
        <v>196</v>
      </c>
      <c r="Q1575" s="8" t="s">
        <v>100</v>
      </c>
      <c r="R1575" s="9">
        <f t="shared" si="25"/>
        <v>6.6920003512055594E-6</v>
      </c>
      <c r="S1575" s="55">
        <f>Tabla3[[#This Row],[Subtotal]]/12</f>
        <v>31787.25</v>
      </c>
    </row>
    <row r="1576" spans="1:19" x14ac:dyDescent="0.2">
      <c r="A1576" s="4">
        <v>47</v>
      </c>
      <c r="B1576" s="2">
        <v>380252.1</v>
      </c>
      <c r="C1576" s="2">
        <v>0</v>
      </c>
      <c r="D1576" s="4" t="s">
        <v>4808</v>
      </c>
      <c r="E1576" s="2">
        <v>380252.1</v>
      </c>
      <c r="F1576" s="2">
        <v>72247.899999999994</v>
      </c>
      <c r="G1576" s="2">
        <v>0</v>
      </c>
      <c r="H1576" s="4">
        <v>0</v>
      </c>
      <c r="I1576" s="4">
        <v>0</v>
      </c>
      <c r="J1576" s="4">
        <v>0</v>
      </c>
      <c r="K1576" s="4">
        <v>452500</v>
      </c>
      <c r="L1576" s="4" t="s">
        <v>4806</v>
      </c>
      <c r="M1576" s="4" t="s">
        <v>4807</v>
      </c>
      <c r="N1576" s="4" t="s">
        <v>20</v>
      </c>
      <c r="O1576" s="4" t="s">
        <v>1677</v>
      </c>
      <c r="P1576" s="4" t="s">
        <v>1677</v>
      </c>
      <c r="Q1576" s="8" t="s">
        <v>144</v>
      </c>
      <c r="R1576" s="9">
        <f t="shared" si="25"/>
        <v>6.6710373570814592E-6</v>
      </c>
      <c r="S1576" s="55">
        <f>Tabla3[[#This Row],[Subtotal]]/12</f>
        <v>31687.674999999999</v>
      </c>
    </row>
    <row r="1577" spans="1:19" x14ac:dyDescent="0.2">
      <c r="A1577" s="4">
        <v>1200</v>
      </c>
      <c r="B1577" s="2">
        <v>375110</v>
      </c>
      <c r="C1577" s="2">
        <v>0</v>
      </c>
      <c r="D1577" s="4" t="s">
        <v>4811</v>
      </c>
      <c r="E1577" s="2">
        <v>375110</v>
      </c>
      <c r="F1577" s="2">
        <v>71270.899999999994</v>
      </c>
      <c r="G1577" s="2">
        <v>0</v>
      </c>
      <c r="H1577" s="4">
        <v>0</v>
      </c>
      <c r="I1577" s="4">
        <v>0</v>
      </c>
      <c r="J1577" s="4">
        <v>0</v>
      </c>
      <c r="K1577" s="4">
        <v>446380.9</v>
      </c>
      <c r="L1577" s="4" t="s">
        <v>4809</v>
      </c>
      <c r="M1577" s="4" t="s">
        <v>4810</v>
      </c>
      <c r="N1577" s="4" t="s">
        <v>20</v>
      </c>
      <c r="O1577" s="4" t="s">
        <v>372</v>
      </c>
      <c r="P1577" s="4" t="s">
        <v>372</v>
      </c>
      <c r="Q1577" s="8" t="s">
        <v>100</v>
      </c>
      <c r="R1577" s="9">
        <f t="shared" si="25"/>
        <v>6.5808257811457879E-6</v>
      </c>
      <c r="S1577" s="55">
        <f>Tabla3[[#This Row],[Subtotal]]/12</f>
        <v>31259.166666666668</v>
      </c>
    </row>
    <row r="1578" spans="1:19" x14ac:dyDescent="0.2">
      <c r="A1578" s="4">
        <v>1447</v>
      </c>
      <c r="B1578" s="2">
        <v>371780</v>
      </c>
      <c r="C1578" s="2">
        <v>0</v>
      </c>
      <c r="D1578" s="4" t="s">
        <v>4814</v>
      </c>
      <c r="E1578" s="2">
        <v>371780</v>
      </c>
      <c r="F1578" s="2">
        <v>70638.2</v>
      </c>
      <c r="G1578" s="2">
        <v>0</v>
      </c>
      <c r="H1578" s="4">
        <v>0</v>
      </c>
      <c r="I1578" s="4">
        <v>0</v>
      </c>
      <c r="J1578" s="4">
        <v>0</v>
      </c>
      <c r="K1578" s="4">
        <v>442418.2</v>
      </c>
      <c r="L1578" s="4" t="s">
        <v>4812</v>
      </c>
      <c r="M1578" s="4" t="s">
        <v>4813</v>
      </c>
      <c r="N1578" s="4" t="s">
        <v>20</v>
      </c>
      <c r="O1578" s="4" t="s">
        <v>1157</v>
      </c>
      <c r="P1578" s="4" t="s">
        <v>1157</v>
      </c>
      <c r="Q1578" s="8" t="s">
        <v>100</v>
      </c>
      <c r="R1578" s="9">
        <f t="shared" si="25"/>
        <v>6.5224051849174398E-6</v>
      </c>
      <c r="S1578" s="55">
        <f>Tabla3[[#This Row],[Subtotal]]/12</f>
        <v>30981.666666666668</v>
      </c>
    </row>
    <row r="1579" spans="1:19" x14ac:dyDescent="0.2">
      <c r="A1579" s="4">
        <v>996</v>
      </c>
      <c r="B1579" s="2">
        <v>360045</v>
      </c>
      <c r="C1579" s="2">
        <v>0</v>
      </c>
      <c r="D1579" s="4" t="s">
        <v>4817</v>
      </c>
      <c r="E1579" s="2">
        <v>360045</v>
      </c>
      <c r="F1579" s="2">
        <v>68408.55</v>
      </c>
      <c r="G1579" s="2">
        <v>0</v>
      </c>
      <c r="H1579" s="4">
        <v>0</v>
      </c>
      <c r="I1579" s="4">
        <v>0</v>
      </c>
      <c r="J1579" s="4">
        <v>0</v>
      </c>
      <c r="K1579" s="4">
        <v>428453.55</v>
      </c>
      <c r="L1579" s="4" t="s">
        <v>4815</v>
      </c>
      <c r="M1579" s="4" t="s">
        <v>4816</v>
      </c>
      <c r="N1579" s="4" t="s">
        <v>20</v>
      </c>
      <c r="O1579" s="4" t="s">
        <v>2863</v>
      </c>
      <c r="P1579" s="4" t="s">
        <v>2863</v>
      </c>
      <c r="Q1579" s="8" t="s">
        <v>100</v>
      </c>
      <c r="R1579" s="9">
        <f t="shared" si="25"/>
        <v>6.3165296003109359E-6</v>
      </c>
      <c r="S1579" s="55">
        <f>Tabla3[[#This Row],[Subtotal]]/12</f>
        <v>30003.75</v>
      </c>
    </row>
    <row r="1580" spans="1:19" x14ac:dyDescent="0.2">
      <c r="A1580" s="4">
        <v>940</v>
      </c>
      <c r="B1580" s="2">
        <v>359673</v>
      </c>
      <c r="C1580" s="2">
        <v>0</v>
      </c>
      <c r="D1580" s="4" t="s">
        <v>4820</v>
      </c>
      <c r="E1580" s="2">
        <v>359673</v>
      </c>
      <c r="F1580" s="2">
        <v>68337.87</v>
      </c>
      <c r="G1580" s="2">
        <v>0</v>
      </c>
      <c r="H1580" s="4">
        <v>0</v>
      </c>
      <c r="I1580" s="4">
        <v>0</v>
      </c>
      <c r="J1580" s="4">
        <v>0</v>
      </c>
      <c r="K1580" s="4">
        <v>428010.87</v>
      </c>
      <c r="L1580" s="4" t="s">
        <v>4818</v>
      </c>
      <c r="M1580" s="4" t="s">
        <v>4819</v>
      </c>
      <c r="N1580" s="4" t="s">
        <v>20</v>
      </c>
      <c r="O1580" s="4" t="s">
        <v>692</v>
      </c>
      <c r="P1580" s="4" t="s">
        <v>692</v>
      </c>
      <c r="Q1580" s="8" t="s">
        <v>100</v>
      </c>
      <c r="R1580" s="9">
        <f t="shared" si="25"/>
        <v>6.3100033355070488E-6</v>
      </c>
      <c r="S1580" s="55">
        <f>Tabla3[[#This Row],[Subtotal]]/12</f>
        <v>29972.75</v>
      </c>
    </row>
    <row r="1581" spans="1:19" x14ac:dyDescent="0.2">
      <c r="A1581" s="4">
        <v>577</v>
      </c>
      <c r="B1581" s="2">
        <v>357850</v>
      </c>
      <c r="C1581" s="2">
        <v>0</v>
      </c>
      <c r="D1581" s="4" t="s">
        <v>4823</v>
      </c>
      <c r="E1581" s="2">
        <v>357850</v>
      </c>
      <c r="F1581" s="2">
        <v>67991.5</v>
      </c>
      <c r="G1581" s="2">
        <v>0</v>
      </c>
      <c r="H1581" s="4">
        <v>0</v>
      </c>
      <c r="I1581" s="4">
        <v>0</v>
      </c>
      <c r="J1581" s="4">
        <v>0</v>
      </c>
      <c r="K1581" s="4">
        <v>425841.5</v>
      </c>
      <c r="L1581" s="4" t="s">
        <v>4821</v>
      </c>
      <c r="M1581" s="4" t="s">
        <v>4822</v>
      </c>
      <c r="N1581" s="4" t="s">
        <v>20</v>
      </c>
      <c r="O1581" s="4" t="s">
        <v>257</v>
      </c>
      <c r="P1581" s="4" t="s">
        <v>257</v>
      </c>
      <c r="Q1581" s="8" t="s">
        <v>100</v>
      </c>
      <c r="R1581" s="9">
        <f t="shared" si="25"/>
        <v>6.2780211292234818E-6</v>
      </c>
      <c r="S1581" s="55">
        <f>Tabla3[[#This Row],[Subtotal]]/12</f>
        <v>29820.833333333332</v>
      </c>
    </row>
    <row r="1582" spans="1:19" x14ac:dyDescent="0.2">
      <c r="A1582" s="4">
        <v>527</v>
      </c>
      <c r="B1582" s="2">
        <v>357847.6</v>
      </c>
      <c r="C1582" s="2">
        <v>0</v>
      </c>
      <c r="D1582" s="4" t="s">
        <v>4826</v>
      </c>
      <c r="E1582" s="2">
        <v>357847.6</v>
      </c>
      <c r="F1582" s="2">
        <v>67991.039999999994</v>
      </c>
      <c r="G1582" s="2">
        <v>0</v>
      </c>
      <c r="H1582" s="4">
        <v>0</v>
      </c>
      <c r="I1582" s="4">
        <v>0</v>
      </c>
      <c r="J1582" s="4">
        <v>0</v>
      </c>
      <c r="K1582" s="4">
        <v>425838.64</v>
      </c>
      <c r="L1582" s="4" t="s">
        <v>4824</v>
      </c>
      <c r="M1582" s="4" t="s">
        <v>4825</v>
      </c>
      <c r="N1582" s="4"/>
      <c r="O1582" s="4" t="s">
        <v>900</v>
      </c>
      <c r="P1582" s="4" t="s">
        <v>900</v>
      </c>
      <c r="Q1582" s="8" t="s">
        <v>144</v>
      </c>
      <c r="R1582" s="9">
        <f t="shared" si="25"/>
        <v>6.2779790242892626E-6</v>
      </c>
      <c r="S1582" s="55">
        <f>Tabla3[[#This Row],[Subtotal]]/12</f>
        <v>29820.633333333331</v>
      </c>
    </row>
    <row r="1583" spans="1:19" x14ac:dyDescent="0.2">
      <c r="A1583" s="4">
        <v>507</v>
      </c>
      <c r="B1583" s="2">
        <v>357204</v>
      </c>
      <c r="C1583" s="2">
        <v>0</v>
      </c>
      <c r="D1583" s="4" t="s">
        <v>4829</v>
      </c>
      <c r="E1583" s="2">
        <v>357204</v>
      </c>
      <c r="F1583" s="2">
        <v>67868.759999999995</v>
      </c>
      <c r="G1583" s="2">
        <v>0</v>
      </c>
      <c r="H1583" s="4">
        <v>0</v>
      </c>
      <c r="I1583" s="4">
        <v>0</v>
      </c>
      <c r="J1583" s="4">
        <v>0</v>
      </c>
      <c r="K1583" s="4">
        <v>425072.76</v>
      </c>
      <c r="L1583" s="4" t="s">
        <v>4827</v>
      </c>
      <c r="M1583" s="4" t="s">
        <v>4828</v>
      </c>
      <c r="N1583" s="4" t="s">
        <v>20</v>
      </c>
      <c r="O1583" s="4" t="s">
        <v>2863</v>
      </c>
      <c r="P1583" s="4" t="s">
        <v>2863</v>
      </c>
      <c r="Q1583" s="8" t="s">
        <v>100</v>
      </c>
      <c r="R1583" s="9">
        <f t="shared" si="25"/>
        <v>6.2666878844296339E-6</v>
      </c>
      <c r="S1583" s="55">
        <f>Tabla3[[#This Row],[Subtotal]]/12</f>
        <v>29767</v>
      </c>
    </row>
    <row r="1584" spans="1:19" x14ac:dyDescent="0.2">
      <c r="A1584" s="4">
        <v>1196</v>
      </c>
      <c r="B1584" s="2">
        <v>352746</v>
      </c>
      <c r="C1584" s="2">
        <v>0</v>
      </c>
      <c r="D1584" s="4" t="s">
        <v>4832</v>
      </c>
      <c r="E1584" s="2">
        <v>352746</v>
      </c>
      <c r="F1584" s="2">
        <v>67021.740000000005</v>
      </c>
      <c r="G1584" s="2">
        <v>0</v>
      </c>
      <c r="H1584" s="4">
        <v>0</v>
      </c>
      <c r="I1584" s="4">
        <v>0</v>
      </c>
      <c r="J1584" s="4">
        <v>0</v>
      </c>
      <c r="K1584" s="4">
        <v>419767.74</v>
      </c>
      <c r="L1584" s="4" t="s">
        <v>4830</v>
      </c>
      <c r="M1584" s="4" t="s">
        <v>4831</v>
      </c>
      <c r="N1584" s="4" t="s">
        <v>427</v>
      </c>
      <c r="O1584" s="4" t="s">
        <v>89</v>
      </c>
      <c r="P1584" s="4" t="s">
        <v>89</v>
      </c>
      <c r="Q1584" s="8" t="s">
        <v>100</v>
      </c>
      <c r="R1584" s="9">
        <f t="shared" si="25"/>
        <v>6.1884779691185305E-6</v>
      </c>
      <c r="S1584" s="55">
        <f>Tabla3[[#This Row],[Subtotal]]/12</f>
        <v>29395.5</v>
      </c>
    </row>
    <row r="1585" spans="1:19" x14ac:dyDescent="0.2">
      <c r="A1585" s="4">
        <v>1268</v>
      </c>
      <c r="B1585" s="2">
        <v>352746</v>
      </c>
      <c r="C1585" s="2">
        <v>0</v>
      </c>
      <c r="D1585" s="4" t="s">
        <v>4835</v>
      </c>
      <c r="E1585" s="2">
        <v>352746</v>
      </c>
      <c r="F1585" s="2">
        <v>67021.740000000005</v>
      </c>
      <c r="G1585" s="2">
        <v>0</v>
      </c>
      <c r="H1585" s="4">
        <v>0</v>
      </c>
      <c r="I1585" s="4">
        <v>0</v>
      </c>
      <c r="J1585" s="4">
        <v>0</v>
      </c>
      <c r="K1585" s="4">
        <v>419767.74</v>
      </c>
      <c r="L1585" s="4" t="s">
        <v>4833</v>
      </c>
      <c r="M1585" s="4" t="s">
        <v>4834</v>
      </c>
      <c r="N1585" s="4" t="s">
        <v>20</v>
      </c>
      <c r="O1585" s="4" t="s">
        <v>1549</v>
      </c>
      <c r="P1585" s="4" t="s">
        <v>1549</v>
      </c>
      <c r="Q1585" s="8" t="s">
        <v>100</v>
      </c>
      <c r="R1585" s="9">
        <f t="shared" si="25"/>
        <v>6.1884779691185305E-6</v>
      </c>
      <c r="S1585" s="55">
        <f>Tabla3[[#This Row],[Subtotal]]/12</f>
        <v>29395.5</v>
      </c>
    </row>
    <row r="1586" spans="1:19" x14ac:dyDescent="0.2">
      <c r="A1586" s="4">
        <v>667</v>
      </c>
      <c r="B1586" s="2">
        <v>351772</v>
      </c>
      <c r="C1586" s="2">
        <v>0</v>
      </c>
      <c r="D1586" s="4" t="s">
        <v>4838</v>
      </c>
      <c r="E1586" s="2">
        <v>351772</v>
      </c>
      <c r="F1586" s="2">
        <v>66836.679999999993</v>
      </c>
      <c r="G1586" s="2">
        <v>0</v>
      </c>
      <c r="H1586" s="4">
        <v>0</v>
      </c>
      <c r="I1586" s="4">
        <v>0</v>
      </c>
      <c r="J1586" s="4">
        <v>0</v>
      </c>
      <c r="K1586" s="4">
        <v>418608.68</v>
      </c>
      <c r="L1586" s="4" t="s">
        <v>4836</v>
      </c>
      <c r="M1586" s="4" t="s">
        <v>4837</v>
      </c>
      <c r="N1586" s="4" t="s">
        <v>32</v>
      </c>
      <c r="O1586" s="4" t="s">
        <v>33</v>
      </c>
      <c r="P1586" s="4" t="s">
        <v>33</v>
      </c>
      <c r="Q1586" s="8" t="s">
        <v>100</v>
      </c>
      <c r="R1586" s="9">
        <f t="shared" si="25"/>
        <v>6.1713903833148035E-6</v>
      </c>
      <c r="S1586" s="55">
        <f>Tabla3[[#This Row],[Subtotal]]/12</f>
        <v>29314.333333333332</v>
      </c>
    </row>
    <row r="1587" spans="1:19" x14ac:dyDescent="0.2">
      <c r="A1587" s="4">
        <v>1235</v>
      </c>
      <c r="B1587" s="2">
        <v>351240</v>
      </c>
      <c r="C1587" s="2">
        <v>0</v>
      </c>
      <c r="D1587" s="4" t="s">
        <v>4841</v>
      </c>
      <c r="E1587" s="2">
        <v>351240</v>
      </c>
      <c r="F1587" s="2">
        <v>66735.600000000006</v>
      </c>
      <c r="G1587" s="2">
        <v>0</v>
      </c>
      <c r="H1587" s="4">
        <v>0</v>
      </c>
      <c r="I1587" s="4">
        <v>0</v>
      </c>
      <c r="J1587" s="4">
        <v>0</v>
      </c>
      <c r="K1587" s="4">
        <v>417975.6</v>
      </c>
      <c r="L1587" s="4" t="s">
        <v>4839</v>
      </c>
      <c r="M1587" s="4" t="s">
        <v>4840</v>
      </c>
      <c r="N1587" s="4" t="s">
        <v>4842</v>
      </c>
      <c r="O1587" s="4" t="s">
        <v>67</v>
      </c>
      <c r="P1587" s="4" t="s">
        <v>67</v>
      </c>
      <c r="Q1587" s="8" t="s">
        <v>100</v>
      </c>
      <c r="R1587" s="9">
        <f t="shared" si="25"/>
        <v>6.1620571228963412E-6</v>
      </c>
      <c r="S1587" s="55">
        <f>Tabla3[[#This Row],[Subtotal]]/12</f>
        <v>29270</v>
      </c>
    </row>
    <row r="1588" spans="1:19" x14ac:dyDescent="0.2">
      <c r="A1588" s="4">
        <v>1434</v>
      </c>
      <c r="B1588" s="2">
        <v>350802</v>
      </c>
      <c r="C1588" s="2">
        <v>0</v>
      </c>
      <c r="D1588" s="4" t="s">
        <v>4845</v>
      </c>
      <c r="E1588" s="2">
        <v>350802</v>
      </c>
      <c r="F1588" s="2">
        <v>66652.38</v>
      </c>
      <c r="G1588" s="2">
        <v>0</v>
      </c>
      <c r="H1588" s="4">
        <v>0</v>
      </c>
      <c r="I1588" s="4">
        <v>0</v>
      </c>
      <c r="J1588" s="4">
        <v>0</v>
      </c>
      <c r="K1588" s="4">
        <v>417454.38</v>
      </c>
      <c r="L1588" s="4" t="s">
        <v>4843</v>
      </c>
      <c r="M1588" s="4" t="s">
        <v>4844</v>
      </c>
      <c r="N1588" s="4" t="s">
        <v>20</v>
      </c>
      <c r="O1588" s="4" t="s">
        <v>2863</v>
      </c>
      <c r="P1588" s="4" t="s">
        <v>2863</v>
      </c>
      <c r="Q1588" s="8" t="s">
        <v>100</v>
      </c>
      <c r="R1588" s="9">
        <f t="shared" si="25"/>
        <v>6.1543729724014416E-6</v>
      </c>
      <c r="S1588" s="55">
        <f>Tabla3[[#This Row],[Subtotal]]/12</f>
        <v>29233.5</v>
      </c>
    </row>
    <row r="1589" spans="1:19" x14ac:dyDescent="0.2">
      <c r="A1589" s="4">
        <v>351</v>
      </c>
      <c r="B1589" s="2">
        <v>348430</v>
      </c>
      <c r="C1589" s="2">
        <v>0</v>
      </c>
      <c r="D1589" s="4" t="s">
        <v>4848</v>
      </c>
      <c r="E1589" s="2">
        <v>348430</v>
      </c>
      <c r="F1589" s="2">
        <v>66201.7</v>
      </c>
      <c r="G1589" s="2">
        <v>0</v>
      </c>
      <c r="H1589" s="4">
        <v>0</v>
      </c>
      <c r="I1589" s="4">
        <v>0</v>
      </c>
      <c r="J1589" s="4">
        <v>0</v>
      </c>
      <c r="K1589" s="4">
        <v>414631.7</v>
      </c>
      <c r="L1589" s="4" t="s">
        <v>4846</v>
      </c>
      <c r="M1589" s="4" t="s">
        <v>4847</v>
      </c>
      <c r="N1589" s="4" t="s">
        <v>953</v>
      </c>
      <c r="O1589" s="4" t="s">
        <v>2025</v>
      </c>
      <c r="P1589" s="4" t="s">
        <v>2025</v>
      </c>
      <c r="Q1589" s="8" t="s">
        <v>100</v>
      </c>
      <c r="R1589" s="9">
        <f t="shared" si="25"/>
        <v>6.1127592624153629E-6</v>
      </c>
      <c r="S1589" s="55">
        <f>Tabla3[[#This Row],[Subtotal]]/12</f>
        <v>29035.833333333332</v>
      </c>
    </row>
    <row r="1590" spans="1:19" x14ac:dyDescent="0.2">
      <c r="A1590" s="4">
        <v>60</v>
      </c>
      <c r="B1590" s="2">
        <v>347560</v>
      </c>
      <c r="C1590" s="2">
        <v>0</v>
      </c>
      <c r="D1590" s="4" t="s">
        <v>4851</v>
      </c>
      <c r="E1590" s="2">
        <v>347560</v>
      </c>
      <c r="F1590" s="2">
        <v>66036.399999999994</v>
      </c>
      <c r="G1590" s="2">
        <v>0</v>
      </c>
      <c r="H1590" s="4">
        <v>0</v>
      </c>
      <c r="I1590" s="4">
        <v>0</v>
      </c>
      <c r="J1590" s="4">
        <v>0</v>
      </c>
      <c r="K1590" s="4">
        <v>413596.4</v>
      </c>
      <c r="L1590" s="4" t="s">
        <v>4849</v>
      </c>
      <c r="M1590" s="4" t="s">
        <v>4850</v>
      </c>
      <c r="N1590" s="4" t="s">
        <v>20</v>
      </c>
      <c r="O1590" s="4" t="s">
        <v>71</v>
      </c>
      <c r="P1590" s="4" t="s">
        <v>71</v>
      </c>
      <c r="Q1590" s="8" t="s">
        <v>100</v>
      </c>
      <c r="R1590" s="9">
        <f t="shared" si="25"/>
        <v>6.0974962237611099E-6</v>
      </c>
      <c r="S1590" s="55">
        <f>Tabla3[[#This Row],[Subtotal]]/12</f>
        <v>28963.333333333332</v>
      </c>
    </row>
    <row r="1591" spans="1:19" x14ac:dyDescent="0.2">
      <c r="A1591" s="4">
        <v>196</v>
      </c>
      <c r="B1591" s="2">
        <v>341724</v>
      </c>
      <c r="C1591" s="2">
        <v>0</v>
      </c>
      <c r="D1591" s="4" t="s">
        <v>4854</v>
      </c>
      <c r="E1591" s="2">
        <v>341724</v>
      </c>
      <c r="F1591" s="2">
        <v>64927.56</v>
      </c>
      <c r="G1591" s="2">
        <v>0</v>
      </c>
      <c r="H1591" s="4">
        <v>0</v>
      </c>
      <c r="I1591" s="4">
        <v>0</v>
      </c>
      <c r="J1591" s="4">
        <v>0</v>
      </c>
      <c r="K1591" s="4">
        <v>406651.56</v>
      </c>
      <c r="L1591" s="4" t="s">
        <v>4852</v>
      </c>
      <c r="M1591" s="4" t="s">
        <v>4853</v>
      </c>
      <c r="N1591" s="4" t="s">
        <v>20</v>
      </c>
      <c r="O1591" s="4" t="s">
        <v>2863</v>
      </c>
      <c r="P1591" s="4" t="s">
        <v>2863</v>
      </c>
      <c r="Q1591" s="8" t="s">
        <v>100</v>
      </c>
      <c r="R1591" s="9">
        <f t="shared" si="25"/>
        <v>5.9951110587194771E-6</v>
      </c>
      <c r="S1591" s="55">
        <f>Tabla3[[#This Row],[Subtotal]]/12</f>
        <v>28477</v>
      </c>
    </row>
    <row r="1592" spans="1:19" x14ac:dyDescent="0.2">
      <c r="A1592" s="4">
        <v>437</v>
      </c>
      <c r="B1592" s="2">
        <v>340585</v>
      </c>
      <c r="C1592" s="2">
        <v>0</v>
      </c>
      <c r="D1592" s="4" t="s">
        <v>4857</v>
      </c>
      <c r="E1592" s="2">
        <v>340585</v>
      </c>
      <c r="F1592" s="2">
        <v>64711.15</v>
      </c>
      <c r="G1592" s="2">
        <v>0</v>
      </c>
      <c r="H1592" s="4">
        <v>0</v>
      </c>
      <c r="I1592" s="4">
        <v>0</v>
      </c>
      <c r="J1592" s="4">
        <v>0</v>
      </c>
      <c r="K1592" s="4">
        <v>405296.15</v>
      </c>
      <c r="L1592" s="4" t="s">
        <v>4855</v>
      </c>
      <c r="M1592" s="4" t="s">
        <v>4856</v>
      </c>
      <c r="N1592" s="4" t="s">
        <v>20</v>
      </c>
      <c r="O1592" s="4" t="s">
        <v>261</v>
      </c>
      <c r="P1592" s="4" t="s">
        <v>261</v>
      </c>
      <c r="Q1592" s="8" t="s">
        <v>100</v>
      </c>
      <c r="R1592" s="9">
        <f t="shared" si="25"/>
        <v>5.9751287586882195E-6</v>
      </c>
      <c r="S1592" s="55">
        <f>Tabla3[[#This Row],[Subtotal]]/12</f>
        <v>28382.083333333332</v>
      </c>
    </row>
    <row r="1593" spans="1:19" x14ac:dyDescent="0.2">
      <c r="A1593" s="4">
        <v>1665</v>
      </c>
      <c r="B1593" s="2">
        <v>339519</v>
      </c>
      <c r="C1593" s="2">
        <v>0</v>
      </c>
      <c r="D1593" s="4" t="s">
        <v>4860</v>
      </c>
      <c r="E1593" s="2">
        <v>339519</v>
      </c>
      <c r="F1593" s="2">
        <v>64508.61</v>
      </c>
      <c r="G1593" s="2">
        <v>0</v>
      </c>
      <c r="H1593" s="4">
        <v>0</v>
      </c>
      <c r="I1593" s="4">
        <v>0</v>
      </c>
      <c r="J1593" s="4">
        <v>0</v>
      </c>
      <c r="K1593" s="4">
        <v>404027.61</v>
      </c>
      <c r="L1593" s="4" t="s">
        <v>4858</v>
      </c>
      <c r="M1593" s="4" t="s">
        <v>4859</v>
      </c>
      <c r="N1593" s="4" t="s">
        <v>648</v>
      </c>
      <c r="O1593" s="4" t="s">
        <v>340</v>
      </c>
      <c r="P1593" s="4" t="s">
        <v>340</v>
      </c>
      <c r="Q1593" s="8" t="s">
        <v>100</v>
      </c>
      <c r="R1593" s="9">
        <f t="shared" si="25"/>
        <v>5.9564271504061123E-6</v>
      </c>
      <c r="S1593" s="55">
        <f>Tabla3[[#This Row],[Subtotal]]/12</f>
        <v>28293.25</v>
      </c>
    </row>
    <row r="1594" spans="1:19" x14ac:dyDescent="0.2">
      <c r="A1594" s="4">
        <v>1502</v>
      </c>
      <c r="B1594" s="2">
        <v>338248</v>
      </c>
      <c r="C1594" s="2">
        <v>0</v>
      </c>
      <c r="D1594" s="4" t="s">
        <v>4863</v>
      </c>
      <c r="E1594" s="2">
        <v>338248</v>
      </c>
      <c r="F1594" s="2">
        <v>64267.12</v>
      </c>
      <c r="G1594" s="2">
        <v>0</v>
      </c>
      <c r="H1594" s="4">
        <v>0</v>
      </c>
      <c r="I1594" s="4">
        <v>0</v>
      </c>
      <c r="J1594" s="4">
        <v>0</v>
      </c>
      <c r="K1594" s="4">
        <v>402515.12</v>
      </c>
      <c r="L1594" s="4" t="s">
        <v>4861</v>
      </c>
      <c r="M1594" s="4" t="s">
        <v>4862</v>
      </c>
      <c r="N1594" s="4" t="s">
        <v>20</v>
      </c>
      <c r="O1594" s="4" t="s">
        <v>768</v>
      </c>
      <c r="P1594" s="4" t="s">
        <v>768</v>
      </c>
      <c r="Q1594" s="8" t="s">
        <v>100</v>
      </c>
      <c r="R1594" s="9">
        <f t="shared" si="25"/>
        <v>5.9341290789928296E-6</v>
      </c>
      <c r="S1594" s="55">
        <f>Tabla3[[#This Row],[Subtotal]]/12</f>
        <v>28187.333333333332</v>
      </c>
    </row>
    <row r="1595" spans="1:19" x14ac:dyDescent="0.2">
      <c r="A1595" s="4">
        <v>1131</v>
      </c>
      <c r="B1595" s="2">
        <v>337802</v>
      </c>
      <c r="C1595" s="2">
        <v>0</v>
      </c>
      <c r="D1595" s="4" t="s">
        <v>4866</v>
      </c>
      <c r="E1595" s="2">
        <v>337802</v>
      </c>
      <c r="F1595" s="2">
        <v>64182.38</v>
      </c>
      <c r="G1595" s="2">
        <v>0</v>
      </c>
      <c r="H1595" s="4">
        <v>0</v>
      </c>
      <c r="I1595" s="4">
        <v>0</v>
      </c>
      <c r="J1595" s="4">
        <v>0</v>
      </c>
      <c r="K1595" s="4">
        <v>401984.38</v>
      </c>
      <c r="L1595" s="4" t="s">
        <v>4864</v>
      </c>
      <c r="M1595" s="4" t="s">
        <v>4865</v>
      </c>
      <c r="N1595" s="4" t="s">
        <v>20</v>
      </c>
      <c r="O1595" s="4" t="s">
        <v>372</v>
      </c>
      <c r="P1595" s="4" t="s">
        <v>372</v>
      </c>
      <c r="Q1595" s="8" t="s">
        <v>100</v>
      </c>
      <c r="R1595" s="9">
        <f t="shared" si="25"/>
        <v>5.9263045787172012E-6</v>
      </c>
      <c r="S1595" s="55">
        <f>Tabla3[[#This Row],[Subtotal]]/12</f>
        <v>28150.166666666668</v>
      </c>
    </row>
    <row r="1596" spans="1:19" x14ac:dyDescent="0.2">
      <c r="A1596" s="4">
        <v>730</v>
      </c>
      <c r="B1596" s="2">
        <v>332828</v>
      </c>
      <c r="C1596" s="2">
        <v>0</v>
      </c>
      <c r="D1596" s="4" t="s">
        <v>4869</v>
      </c>
      <c r="E1596" s="2">
        <v>332828</v>
      </c>
      <c r="F1596" s="2">
        <v>63237.32</v>
      </c>
      <c r="G1596" s="2">
        <v>0</v>
      </c>
      <c r="H1596" s="4">
        <v>0</v>
      </c>
      <c r="I1596" s="4">
        <v>0</v>
      </c>
      <c r="J1596" s="4">
        <v>0</v>
      </c>
      <c r="K1596" s="4">
        <v>396065.32</v>
      </c>
      <c r="L1596" s="4" t="s">
        <v>4867</v>
      </c>
      <c r="M1596" s="4" t="s">
        <v>4868</v>
      </c>
      <c r="N1596" s="4" t="s">
        <v>1421</v>
      </c>
      <c r="O1596" s="4" t="s">
        <v>340</v>
      </c>
      <c r="P1596" s="4" t="s">
        <v>340</v>
      </c>
      <c r="Q1596" s="8" t="s">
        <v>100</v>
      </c>
      <c r="R1596" s="9">
        <f t="shared" si="25"/>
        <v>5.8390421025490933E-6</v>
      </c>
      <c r="S1596" s="55">
        <f>Tabla3[[#This Row],[Subtotal]]/12</f>
        <v>27735.666666666668</v>
      </c>
    </row>
    <row r="1597" spans="1:19" x14ac:dyDescent="0.2">
      <c r="A1597" s="4">
        <v>698</v>
      </c>
      <c r="B1597" s="2">
        <v>328740</v>
      </c>
      <c r="C1597" s="2">
        <v>0</v>
      </c>
      <c r="D1597" s="4" t="s">
        <v>4872</v>
      </c>
      <c r="E1597" s="2">
        <v>328740</v>
      </c>
      <c r="F1597" s="2">
        <v>62460.6</v>
      </c>
      <c r="G1597" s="2">
        <v>0</v>
      </c>
      <c r="H1597" s="4">
        <v>0</v>
      </c>
      <c r="I1597" s="4">
        <v>0</v>
      </c>
      <c r="J1597" s="4">
        <v>0</v>
      </c>
      <c r="K1597" s="4">
        <v>391200.6</v>
      </c>
      <c r="L1597" s="4" t="s">
        <v>4870</v>
      </c>
      <c r="M1597" s="4" t="s">
        <v>4871</v>
      </c>
      <c r="N1597" s="4" t="s">
        <v>20</v>
      </c>
      <c r="O1597" s="4" t="s">
        <v>1677</v>
      </c>
      <c r="P1597" s="4" t="s">
        <v>1677</v>
      </c>
      <c r="Q1597" s="8" t="s">
        <v>144</v>
      </c>
      <c r="R1597" s="9">
        <f t="shared" si="25"/>
        <v>5.7673233645966952E-6</v>
      </c>
      <c r="S1597" s="55">
        <f>Tabla3[[#This Row],[Subtotal]]/12</f>
        <v>27395</v>
      </c>
    </row>
    <row r="1598" spans="1:19" x14ac:dyDescent="0.2">
      <c r="A1598" s="4">
        <v>1492</v>
      </c>
      <c r="B1598" s="2">
        <v>327602</v>
      </c>
      <c r="C1598" s="2">
        <v>0</v>
      </c>
      <c r="D1598" s="4" t="s">
        <v>4875</v>
      </c>
      <c r="E1598" s="2">
        <v>327602</v>
      </c>
      <c r="F1598" s="2">
        <v>62244.38</v>
      </c>
      <c r="G1598" s="2">
        <v>0</v>
      </c>
      <c r="H1598" s="4">
        <v>0</v>
      </c>
      <c r="I1598" s="4">
        <v>0</v>
      </c>
      <c r="J1598" s="4">
        <v>0</v>
      </c>
      <c r="K1598" s="4">
        <v>389846.38</v>
      </c>
      <c r="L1598" s="4" t="s">
        <v>4873</v>
      </c>
      <c r="M1598" s="4" t="s">
        <v>4874</v>
      </c>
      <c r="N1598" s="4" t="s">
        <v>975</v>
      </c>
      <c r="O1598" s="4" t="s">
        <v>89</v>
      </c>
      <c r="P1598" s="4" t="s">
        <v>1039</v>
      </c>
      <c r="Q1598" s="8" t="s">
        <v>100</v>
      </c>
      <c r="R1598" s="9">
        <f t="shared" si="25"/>
        <v>5.7473586082880285E-6</v>
      </c>
      <c r="S1598" s="55">
        <f>Tabla3[[#This Row],[Subtotal]]/12</f>
        <v>27300.166666666668</v>
      </c>
    </row>
    <row r="1599" spans="1:19" x14ac:dyDescent="0.2">
      <c r="A1599" s="4">
        <v>807</v>
      </c>
      <c r="B1599" s="2">
        <v>326034</v>
      </c>
      <c r="C1599" s="2">
        <v>0</v>
      </c>
      <c r="D1599" s="4" t="s">
        <v>4878</v>
      </c>
      <c r="E1599" s="2">
        <v>326034</v>
      </c>
      <c r="F1599" s="2">
        <v>61946.46</v>
      </c>
      <c r="G1599" s="2">
        <v>0</v>
      </c>
      <c r="H1599" s="4">
        <v>0</v>
      </c>
      <c r="I1599" s="4">
        <v>0</v>
      </c>
      <c r="J1599" s="4">
        <v>0</v>
      </c>
      <c r="K1599" s="4">
        <v>387980.46</v>
      </c>
      <c r="L1599" s="4" t="s">
        <v>4876</v>
      </c>
      <c r="M1599" s="4" t="s">
        <v>4877</v>
      </c>
      <c r="N1599" s="4" t="s">
        <v>20</v>
      </c>
      <c r="O1599" s="4" t="s">
        <v>3938</v>
      </c>
      <c r="P1599" s="4" t="s">
        <v>3938</v>
      </c>
      <c r="Q1599" s="8" t="s">
        <v>1378</v>
      </c>
      <c r="R1599" s="9">
        <f t="shared" si="25"/>
        <v>5.719850051265191E-6</v>
      </c>
      <c r="S1599" s="55">
        <f>Tabla3[[#This Row],[Subtotal]]/12</f>
        <v>27169.5</v>
      </c>
    </row>
    <row r="1600" spans="1:19" x14ac:dyDescent="0.2">
      <c r="A1600" s="4">
        <v>1153</v>
      </c>
      <c r="B1600" s="2">
        <v>324591</v>
      </c>
      <c r="C1600" s="2">
        <v>0</v>
      </c>
      <c r="D1600" s="4" t="s">
        <v>4881</v>
      </c>
      <c r="E1600" s="2">
        <v>324591</v>
      </c>
      <c r="F1600" s="2">
        <v>61672.29</v>
      </c>
      <c r="G1600" s="2">
        <v>0</v>
      </c>
      <c r="H1600" s="4">
        <v>0</v>
      </c>
      <c r="I1600" s="4">
        <v>0</v>
      </c>
      <c r="J1600" s="4">
        <v>0</v>
      </c>
      <c r="K1600" s="4">
        <v>386263.29</v>
      </c>
      <c r="L1600" s="4" t="s">
        <v>4879</v>
      </c>
      <c r="M1600" s="4" t="s">
        <v>4880</v>
      </c>
      <c r="N1600" s="4" t="s">
        <v>20</v>
      </c>
      <c r="O1600" s="4" t="s">
        <v>3938</v>
      </c>
      <c r="P1600" s="4" t="s">
        <v>3938</v>
      </c>
      <c r="Q1600" s="8" t="s">
        <v>1378</v>
      </c>
      <c r="R1600" s="9">
        <f t="shared" si="25"/>
        <v>5.6945344595662407E-6</v>
      </c>
      <c r="S1600" s="55">
        <f>Tabla3[[#This Row],[Subtotal]]/12</f>
        <v>27049.25</v>
      </c>
    </row>
    <row r="1601" spans="1:19" x14ac:dyDescent="0.2">
      <c r="A1601" s="4">
        <v>449</v>
      </c>
      <c r="B1601" s="2">
        <v>322227</v>
      </c>
      <c r="C1601" s="2">
        <v>0</v>
      </c>
      <c r="D1601" s="4" t="s">
        <v>4884</v>
      </c>
      <c r="E1601" s="2">
        <v>322227</v>
      </c>
      <c r="F1601" s="2">
        <v>60273.13</v>
      </c>
      <c r="G1601" s="2">
        <v>0</v>
      </c>
      <c r="H1601" s="4">
        <v>0</v>
      </c>
      <c r="I1601" s="4">
        <v>0</v>
      </c>
      <c r="J1601" s="4">
        <v>0</v>
      </c>
      <c r="K1601" s="4">
        <v>382500.13</v>
      </c>
      <c r="L1601" s="4" t="s">
        <v>4882</v>
      </c>
      <c r="M1601" s="4" t="s">
        <v>4883</v>
      </c>
      <c r="N1601" s="4" t="s">
        <v>20</v>
      </c>
      <c r="O1601" s="4" t="s">
        <v>1677</v>
      </c>
      <c r="P1601" s="4" t="s">
        <v>1677</v>
      </c>
      <c r="Q1601" s="8" t="s">
        <v>144</v>
      </c>
      <c r="R1601" s="9">
        <f t="shared" si="25"/>
        <v>5.6530610993608908E-6</v>
      </c>
      <c r="S1601" s="55">
        <f>Tabla3[[#This Row],[Subtotal]]/12</f>
        <v>26852.25</v>
      </c>
    </row>
    <row r="1602" spans="1:19" x14ac:dyDescent="0.2">
      <c r="A1602" s="4">
        <v>858</v>
      </c>
      <c r="B1602" s="2">
        <v>322002.94</v>
      </c>
      <c r="C1602" s="2">
        <v>0</v>
      </c>
      <c r="D1602" s="4" t="s">
        <v>4887</v>
      </c>
      <c r="E1602" s="2">
        <v>322002.94</v>
      </c>
      <c r="F1602" s="2">
        <v>61180.56</v>
      </c>
      <c r="G1602" s="2">
        <v>0</v>
      </c>
      <c r="H1602" s="4">
        <v>0</v>
      </c>
      <c r="I1602" s="4">
        <v>0</v>
      </c>
      <c r="J1602" s="4">
        <v>0</v>
      </c>
      <c r="K1602" s="4">
        <v>383183.5</v>
      </c>
      <c r="L1602" s="4" t="s">
        <v>4885</v>
      </c>
      <c r="M1602" s="4" t="s">
        <v>4886</v>
      </c>
      <c r="N1602" s="4" t="s">
        <v>20</v>
      </c>
      <c r="O1602" s="4" t="s">
        <v>1677</v>
      </c>
      <c r="P1602" s="4" t="s">
        <v>1677</v>
      </c>
      <c r="Q1602" s="8" t="s">
        <v>144</v>
      </c>
      <c r="R1602" s="9">
        <f t="shared" si="25"/>
        <v>5.6491302528771305E-6</v>
      </c>
      <c r="S1602" s="55">
        <f>Tabla3[[#This Row],[Subtotal]]/12</f>
        <v>26833.578333333335</v>
      </c>
    </row>
    <row r="1603" spans="1:19" x14ac:dyDescent="0.2">
      <c r="A1603" s="4">
        <v>296</v>
      </c>
      <c r="B1603" s="2">
        <v>315965</v>
      </c>
      <c r="C1603" s="2">
        <v>0</v>
      </c>
      <c r="D1603" s="4" t="s">
        <v>4890</v>
      </c>
      <c r="E1603" s="2">
        <v>315965</v>
      </c>
      <c r="F1603" s="2">
        <v>59083.35</v>
      </c>
      <c r="G1603" s="2">
        <v>0</v>
      </c>
      <c r="H1603" s="4">
        <v>0</v>
      </c>
      <c r="I1603" s="4">
        <v>0</v>
      </c>
      <c r="J1603" s="4">
        <v>0</v>
      </c>
      <c r="K1603" s="4">
        <v>375048.35</v>
      </c>
      <c r="L1603" s="4" t="s">
        <v>4888</v>
      </c>
      <c r="M1603" s="4" t="s">
        <v>4889</v>
      </c>
      <c r="N1603" s="4" t="s">
        <v>272</v>
      </c>
      <c r="O1603" s="4" t="s">
        <v>1677</v>
      </c>
      <c r="P1603" s="4" t="s">
        <v>1677</v>
      </c>
      <c r="Q1603" s="8" t="s">
        <v>144</v>
      </c>
      <c r="R1603" s="9">
        <f t="shared" ref="R1603:R1666" si="26">E1603/$E$1757</f>
        <v>5.5432023084954516E-6</v>
      </c>
      <c r="S1603" s="55">
        <f>Tabla3[[#This Row],[Subtotal]]/12</f>
        <v>26330.416666666668</v>
      </c>
    </row>
    <row r="1604" spans="1:19" x14ac:dyDescent="0.2">
      <c r="A1604" s="4">
        <v>1480</v>
      </c>
      <c r="B1604" s="2">
        <v>299268</v>
      </c>
      <c r="C1604" s="2">
        <v>0</v>
      </c>
      <c r="D1604" s="4" t="s">
        <v>4893</v>
      </c>
      <c r="E1604" s="2">
        <v>299268</v>
      </c>
      <c r="F1604" s="2">
        <v>56860.92</v>
      </c>
      <c r="G1604" s="2">
        <v>0</v>
      </c>
      <c r="H1604" s="4">
        <v>0</v>
      </c>
      <c r="I1604" s="4">
        <v>0</v>
      </c>
      <c r="J1604" s="4">
        <v>0</v>
      </c>
      <c r="K1604" s="4">
        <v>356128.92</v>
      </c>
      <c r="L1604" s="4" t="s">
        <v>4891</v>
      </c>
      <c r="M1604" s="4" t="s">
        <v>4892</v>
      </c>
      <c r="N1604" s="4" t="s">
        <v>4894</v>
      </c>
      <c r="O1604" s="4" t="s">
        <v>33</v>
      </c>
      <c r="P1604" s="4" t="s">
        <v>33</v>
      </c>
      <c r="Q1604" s="8" t="s">
        <v>100</v>
      </c>
      <c r="R1604" s="9">
        <f t="shared" si="26"/>
        <v>5.2502747723919322E-6</v>
      </c>
      <c r="S1604" s="55">
        <f>Tabla3[[#This Row],[Subtotal]]/12</f>
        <v>24939</v>
      </c>
    </row>
    <row r="1605" spans="1:19" x14ac:dyDescent="0.2">
      <c r="A1605" s="4">
        <v>1306</v>
      </c>
      <c r="B1605" s="2">
        <v>295344</v>
      </c>
      <c r="C1605" s="2">
        <v>0</v>
      </c>
      <c r="D1605" s="4" t="s">
        <v>4897</v>
      </c>
      <c r="E1605" s="2">
        <v>295344</v>
      </c>
      <c r="F1605" s="2">
        <v>56115.360000000001</v>
      </c>
      <c r="G1605" s="2">
        <v>0</v>
      </c>
      <c r="H1605" s="4">
        <v>0</v>
      </c>
      <c r="I1605" s="4">
        <v>0</v>
      </c>
      <c r="J1605" s="4">
        <v>0</v>
      </c>
      <c r="K1605" s="4">
        <v>351459.36</v>
      </c>
      <c r="L1605" s="4" t="s">
        <v>4895</v>
      </c>
      <c r="M1605" s="4" t="s">
        <v>4896</v>
      </c>
      <c r="N1605" s="4" t="s">
        <v>20</v>
      </c>
      <c r="O1605" s="4" t="s">
        <v>372</v>
      </c>
      <c r="P1605" s="4" t="s">
        <v>372</v>
      </c>
      <c r="Q1605" s="8" t="s">
        <v>100</v>
      </c>
      <c r="R1605" s="9">
        <f t="shared" si="26"/>
        <v>5.1814332049444737E-6</v>
      </c>
      <c r="S1605" s="55">
        <f>Tabla3[[#This Row],[Subtotal]]/12</f>
        <v>24612</v>
      </c>
    </row>
    <row r="1606" spans="1:19" x14ac:dyDescent="0.2">
      <c r="A1606" s="4">
        <v>1617</v>
      </c>
      <c r="B1606" s="2">
        <v>293109</v>
      </c>
      <c r="C1606" s="2">
        <v>0</v>
      </c>
      <c r="D1606" s="4" t="s">
        <v>4900</v>
      </c>
      <c r="E1606" s="2">
        <v>293109</v>
      </c>
      <c r="F1606" s="2">
        <v>55690.71</v>
      </c>
      <c r="G1606" s="2">
        <v>0</v>
      </c>
      <c r="H1606" s="4">
        <v>0</v>
      </c>
      <c r="I1606" s="4">
        <v>0</v>
      </c>
      <c r="J1606" s="4">
        <v>0</v>
      </c>
      <c r="K1606" s="4">
        <v>348799.71</v>
      </c>
      <c r="L1606" s="4" t="s">
        <v>4898</v>
      </c>
      <c r="M1606" s="4" t="s">
        <v>4899</v>
      </c>
      <c r="N1606" s="4" t="s">
        <v>20</v>
      </c>
      <c r="O1606" s="4" t="s">
        <v>1677</v>
      </c>
      <c r="P1606" s="4" t="s">
        <v>1677</v>
      </c>
      <c r="Q1606" s="8" t="s">
        <v>144</v>
      </c>
      <c r="R1606" s="9">
        <f t="shared" si="26"/>
        <v>5.1422229849533754E-6</v>
      </c>
      <c r="S1606" s="55">
        <f>Tabla3[[#This Row],[Subtotal]]/12</f>
        <v>24425.75</v>
      </c>
    </row>
    <row r="1607" spans="1:19" x14ac:dyDescent="0.2">
      <c r="A1607" s="4">
        <v>1090</v>
      </c>
      <c r="B1607" s="2">
        <v>290063</v>
      </c>
      <c r="C1607" s="2">
        <v>0</v>
      </c>
      <c r="D1607" s="4" t="s">
        <v>4903</v>
      </c>
      <c r="E1607" s="2">
        <v>290063</v>
      </c>
      <c r="F1607" s="2">
        <v>55111.97</v>
      </c>
      <c r="G1607" s="2">
        <v>0</v>
      </c>
      <c r="H1607" s="4">
        <v>0</v>
      </c>
      <c r="I1607" s="4">
        <v>0</v>
      </c>
      <c r="J1607" s="4">
        <v>0</v>
      </c>
      <c r="K1607" s="4">
        <v>345174.97</v>
      </c>
      <c r="L1607" s="4" t="s">
        <v>4901</v>
      </c>
      <c r="M1607" s="4" t="s">
        <v>4902</v>
      </c>
      <c r="N1607" s="4" t="s">
        <v>20</v>
      </c>
      <c r="O1607" s="4" t="s">
        <v>1157</v>
      </c>
      <c r="P1607" s="4" t="s">
        <v>1157</v>
      </c>
      <c r="Q1607" s="8" t="s">
        <v>100</v>
      </c>
      <c r="R1607" s="9">
        <f t="shared" si="26"/>
        <v>5.0887848059408987E-6</v>
      </c>
      <c r="S1607" s="55">
        <f>Tabla3[[#This Row],[Subtotal]]/12</f>
        <v>24171.916666666668</v>
      </c>
    </row>
    <row r="1608" spans="1:19" x14ac:dyDescent="0.2">
      <c r="A1608" s="4">
        <v>426</v>
      </c>
      <c r="B1608" s="2">
        <v>288764</v>
      </c>
      <c r="C1608" s="2">
        <v>0</v>
      </c>
      <c r="D1608" s="4" t="s">
        <v>4905</v>
      </c>
      <c r="E1608" s="2">
        <v>288764</v>
      </c>
      <c r="F1608" s="2">
        <v>54865.16</v>
      </c>
      <c r="G1608" s="2">
        <v>7219.1</v>
      </c>
      <c r="H1608" s="4">
        <v>0</v>
      </c>
      <c r="I1608" s="4">
        <v>0</v>
      </c>
      <c r="J1608" s="4">
        <v>7219.1</v>
      </c>
      <c r="K1608" s="4">
        <v>336410.06</v>
      </c>
      <c r="L1608" s="4" t="s">
        <v>4904</v>
      </c>
      <c r="M1608" s="4" t="s">
        <v>4904</v>
      </c>
      <c r="N1608" s="4" t="s">
        <v>368</v>
      </c>
      <c r="O1608" s="4" t="s">
        <v>89</v>
      </c>
      <c r="P1608" s="4" t="s">
        <v>89</v>
      </c>
      <c r="Q1608" s="8" t="s">
        <v>100</v>
      </c>
      <c r="R1608" s="9">
        <f t="shared" si="26"/>
        <v>5.0659955102950659E-6</v>
      </c>
      <c r="S1608" s="55">
        <f>Tabla3[[#This Row],[Subtotal]]/12</f>
        <v>24063.666666666668</v>
      </c>
    </row>
    <row r="1609" spans="1:19" x14ac:dyDescent="0.2">
      <c r="A1609" s="4">
        <v>78</v>
      </c>
      <c r="B1609" s="2">
        <v>288096</v>
      </c>
      <c r="C1609" s="2">
        <v>0</v>
      </c>
      <c r="D1609" s="4" t="s">
        <v>4907</v>
      </c>
      <c r="E1609" s="2">
        <v>288096</v>
      </c>
      <c r="F1609" s="2">
        <v>54738.239999999998</v>
      </c>
      <c r="G1609" s="2">
        <v>0</v>
      </c>
      <c r="H1609" s="4">
        <v>0</v>
      </c>
      <c r="I1609" s="4">
        <v>0</v>
      </c>
      <c r="J1609" s="4">
        <v>0</v>
      </c>
      <c r="K1609" s="4">
        <v>342834.24</v>
      </c>
      <c r="L1609" s="4" t="s">
        <v>4906</v>
      </c>
      <c r="M1609" s="4" t="s">
        <v>4906</v>
      </c>
      <c r="N1609" s="4" t="s">
        <v>20</v>
      </c>
      <c r="O1609" s="4" t="s">
        <v>1356</v>
      </c>
      <c r="P1609" s="4" t="s">
        <v>1356</v>
      </c>
      <c r="Q1609" s="8" t="s">
        <v>100</v>
      </c>
      <c r="R1609" s="9">
        <f t="shared" si="26"/>
        <v>5.0542763036042142E-6</v>
      </c>
      <c r="S1609" s="55">
        <f>Tabla3[[#This Row],[Subtotal]]/12</f>
        <v>24008</v>
      </c>
    </row>
    <row r="1610" spans="1:19" x14ac:dyDescent="0.2">
      <c r="A1610" s="4">
        <v>1413</v>
      </c>
      <c r="B1610" s="2">
        <v>276321</v>
      </c>
      <c r="C1610" s="2">
        <v>0</v>
      </c>
      <c r="D1610" s="4" t="s">
        <v>3201</v>
      </c>
      <c r="E1610" s="2">
        <v>276321</v>
      </c>
      <c r="F1610" s="2">
        <v>52500.99</v>
      </c>
      <c r="G1610" s="2">
        <v>0</v>
      </c>
      <c r="H1610" s="4">
        <v>0</v>
      </c>
      <c r="I1610" s="4">
        <v>0</v>
      </c>
      <c r="J1610" s="4">
        <v>0</v>
      </c>
      <c r="K1610" s="4">
        <v>328821.99</v>
      </c>
      <c r="L1610" s="4" t="s">
        <v>3199</v>
      </c>
      <c r="M1610" s="4" t="s">
        <v>3200</v>
      </c>
      <c r="N1610" s="4" t="s">
        <v>20</v>
      </c>
      <c r="O1610" s="4" t="s">
        <v>900</v>
      </c>
      <c r="P1610" s="4" t="s">
        <v>900</v>
      </c>
      <c r="Q1610" s="8" t="s">
        <v>1378</v>
      </c>
      <c r="R1610" s="9">
        <f t="shared" si="26"/>
        <v>4.847698970094066E-6</v>
      </c>
      <c r="S1610" s="55">
        <f>Tabla3[[#This Row],[Subtotal]]/12</f>
        <v>23026.75</v>
      </c>
    </row>
    <row r="1611" spans="1:19" x14ac:dyDescent="0.2">
      <c r="A1611" s="4">
        <v>881</v>
      </c>
      <c r="B1611" s="2">
        <v>275323</v>
      </c>
      <c r="C1611" s="2">
        <v>0</v>
      </c>
      <c r="D1611" s="4" t="s">
        <v>4910</v>
      </c>
      <c r="E1611" s="2">
        <v>275323</v>
      </c>
      <c r="F1611" s="2">
        <v>52311.37</v>
      </c>
      <c r="G1611" s="2">
        <v>0</v>
      </c>
      <c r="H1611" s="4">
        <v>0</v>
      </c>
      <c r="I1611" s="4">
        <v>0</v>
      </c>
      <c r="J1611" s="4">
        <v>0</v>
      </c>
      <c r="K1611" s="4">
        <v>327634.37</v>
      </c>
      <c r="L1611" s="4" t="s">
        <v>4908</v>
      </c>
      <c r="M1611" s="4" t="s">
        <v>4909</v>
      </c>
      <c r="N1611" s="4" t="s">
        <v>20</v>
      </c>
      <c r="O1611" s="4" t="s">
        <v>631</v>
      </c>
      <c r="P1611" s="4" t="s">
        <v>631</v>
      </c>
      <c r="Q1611" s="8" t="s">
        <v>100</v>
      </c>
      <c r="R1611" s="9">
        <f>E1611/$E$1757</f>
        <v>4.8301903349481532E-6</v>
      </c>
      <c r="S1611" s="55">
        <f>Tabla3[[#This Row],[Subtotal]]/12</f>
        <v>22943.583333333332</v>
      </c>
    </row>
    <row r="1612" spans="1:19" x14ac:dyDescent="0.2">
      <c r="A1612" s="4">
        <v>65</v>
      </c>
      <c r="B1612" s="2">
        <v>272792</v>
      </c>
      <c r="C1612" s="2">
        <v>0</v>
      </c>
      <c r="D1612" s="4" t="s">
        <v>4913</v>
      </c>
      <c r="E1612" s="2">
        <v>272792</v>
      </c>
      <c r="F1612" s="2">
        <v>51830.48</v>
      </c>
      <c r="G1612" s="2">
        <v>0</v>
      </c>
      <c r="H1612" s="4">
        <v>0</v>
      </c>
      <c r="I1612" s="4">
        <v>0</v>
      </c>
      <c r="J1612" s="4">
        <v>0</v>
      </c>
      <c r="K1612" s="4">
        <v>324622.48</v>
      </c>
      <c r="L1612" s="4" t="s">
        <v>4911</v>
      </c>
      <c r="M1612" s="4" t="s">
        <v>4912</v>
      </c>
      <c r="N1612" s="4" t="s">
        <v>20</v>
      </c>
      <c r="O1612" s="4" t="s">
        <v>3938</v>
      </c>
      <c r="P1612" s="4" t="s">
        <v>3938</v>
      </c>
      <c r="Q1612" s="8" t="s">
        <v>1378</v>
      </c>
      <c r="R1612" s="9">
        <f t="shared" si="26"/>
        <v>4.7857871730700911E-6</v>
      </c>
      <c r="S1612" s="55">
        <f>Tabla3[[#This Row],[Subtotal]]/12</f>
        <v>22732.666666666668</v>
      </c>
    </row>
    <row r="1613" spans="1:19" x14ac:dyDescent="0.2">
      <c r="A1613" s="4">
        <v>1287</v>
      </c>
      <c r="B1613" s="2">
        <v>267472</v>
      </c>
      <c r="C1613" s="2">
        <v>0</v>
      </c>
      <c r="D1613" s="4" t="s">
        <v>4916</v>
      </c>
      <c r="E1613" s="2">
        <v>267472</v>
      </c>
      <c r="F1613" s="2">
        <v>48539.68</v>
      </c>
      <c r="G1613" s="2">
        <v>0</v>
      </c>
      <c r="H1613" s="4">
        <v>0</v>
      </c>
      <c r="I1613" s="4">
        <v>0</v>
      </c>
      <c r="J1613" s="4">
        <v>0</v>
      </c>
      <c r="K1613" s="4">
        <v>316011.68</v>
      </c>
      <c r="L1613" s="4" t="s">
        <v>4914</v>
      </c>
      <c r="M1613" s="4" t="s">
        <v>4915</v>
      </c>
      <c r="N1613" s="4" t="s">
        <v>20</v>
      </c>
      <c r="O1613" s="4" t="s">
        <v>2863</v>
      </c>
      <c r="P1613" s="4" t="s">
        <v>2863</v>
      </c>
      <c r="Q1613" s="8" t="s">
        <v>100</v>
      </c>
      <c r="R1613" s="9">
        <f t="shared" si="26"/>
        <v>4.6924545688854636E-6</v>
      </c>
      <c r="S1613" s="55">
        <f>Tabla3[[#This Row],[Subtotal]]/12</f>
        <v>22289.333333333332</v>
      </c>
    </row>
    <row r="1614" spans="1:19" x14ac:dyDescent="0.2">
      <c r="A1614" s="4">
        <v>410</v>
      </c>
      <c r="B1614" s="2">
        <v>266886</v>
      </c>
      <c r="C1614" s="2">
        <v>0</v>
      </c>
      <c r="D1614" s="4" t="s">
        <v>4919</v>
      </c>
      <c r="E1614" s="2">
        <v>266886</v>
      </c>
      <c r="F1614" s="2">
        <v>50708.34</v>
      </c>
      <c r="G1614" s="2">
        <v>0</v>
      </c>
      <c r="H1614" s="4">
        <v>0</v>
      </c>
      <c r="I1614" s="4">
        <v>0</v>
      </c>
      <c r="J1614" s="4">
        <v>0</v>
      </c>
      <c r="K1614" s="4">
        <v>317594.34000000003</v>
      </c>
      <c r="L1614" s="4" t="s">
        <v>4917</v>
      </c>
      <c r="M1614" s="4" t="s">
        <v>4918</v>
      </c>
      <c r="N1614" s="4" t="s">
        <v>651</v>
      </c>
      <c r="O1614" s="4" t="s">
        <v>196</v>
      </c>
      <c r="P1614" s="4" t="s">
        <v>196</v>
      </c>
      <c r="Q1614" s="8" t="s">
        <v>100</v>
      </c>
      <c r="R1614" s="9">
        <f t="shared" si="26"/>
        <v>4.6821739474470812E-6</v>
      </c>
      <c r="S1614" s="55">
        <f>Tabla3[[#This Row],[Subtotal]]/12</f>
        <v>22240.5</v>
      </c>
    </row>
    <row r="1615" spans="1:19" x14ac:dyDescent="0.2">
      <c r="A1615" s="4">
        <v>356</v>
      </c>
      <c r="B1615" s="2">
        <v>266386.53999999998</v>
      </c>
      <c r="C1615" s="2">
        <v>0</v>
      </c>
      <c r="D1615" s="4" t="s">
        <v>4922</v>
      </c>
      <c r="E1615" s="2">
        <v>266386.53999999998</v>
      </c>
      <c r="F1615" s="2">
        <v>50613.440000000002</v>
      </c>
      <c r="G1615" s="2">
        <v>0</v>
      </c>
      <c r="H1615" s="4">
        <v>0</v>
      </c>
      <c r="I1615" s="4">
        <v>0</v>
      </c>
      <c r="J1615" s="4">
        <v>0</v>
      </c>
      <c r="K1615" s="4">
        <v>316999.98</v>
      </c>
      <c r="L1615" s="4" t="s">
        <v>4920</v>
      </c>
      <c r="M1615" s="4" t="s">
        <v>4921</v>
      </c>
      <c r="N1615" s="4" t="s">
        <v>1421</v>
      </c>
      <c r="O1615" s="4" t="s">
        <v>1677</v>
      </c>
      <c r="P1615" s="4" t="s">
        <v>1677</v>
      </c>
      <c r="Q1615" s="8" t="s">
        <v>144</v>
      </c>
      <c r="R1615" s="9">
        <f t="shared" si="26"/>
        <v>4.6734115597617326E-6</v>
      </c>
      <c r="S1615" s="55">
        <f>Tabla3[[#This Row],[Subtotal]]/12</f>
        <v>22198.87833333333</v>
      </c>
    </row>
    <row r="1616" spans="1:19" x14ac:dyDescent="0.2">
      <c r="A1616" s="4">
        <v>684</v>
      </c>
      <c r="B1616" s="2">
        <v>263430</v>
      </c>
      <c r="C1616" s="2">
        <v>0</v>
      </c>
      <c r="D1616" s="4" t="s">
        <v>4925</v>
      </c>
      <c r="E1616" s="2">
        <v>263430</v>
      </c>
      <c r="F1616" s="2">
        <v>50051.7</v>
      </c>
      <c r="G1616" s="2">
        <v>0</v>
      </c>
      <c r="H1616" s="4">
        <v>0</v>
      </c>
      <c r="I1616" s="4">
        <v>0</v>
      </c>
      <c r="J1616" s="4">
        <v>0</v>
      </c>
      <c r="K1616" s="4">
        <v>313481.7</v>
      </c>
      <c r="L1616" s="4" t="s">
        <v>4923</v>
      </c>
      <c r="M1616" s="4" t="s">
        <v>4924</v>
      </c>
      <c r="N1616" s="4" t="s">
        <v>20</v>
      </c>
      <c r="O1616" s="4" t="s">
        <v>372</v>
      </c>
      <c r="P1616" s="4" t="s">
        <v>372</v>
      </c>
      <c r="Q1616" s="8" t="s">
        <v>100</v>
      </c>
      <c r="R1616" s="9">
        <f t="shared" si="26"/>
        <v>4.6215428421722559E-6</v>
      </c>
      <c r="S1616" s="55">
        <f>Tabla3[[#This Row],[Subtotal]]/12</f>
        <v>21952.5</v>
      </c>
    </row>
    <row r="1617" spans="1:19" x14ac:dyDescent="0.2">
      <c r="A1617" s="4">
        <v>1095</v>
      </c>
      <c r="B1617" s="2">
        <v>261806.72</v>
      </c>
      <c r="C1617" s="2">
        <v>0</v>
      </c>
      <c r="D1617" s="4" t="s">
        <v>4928</v>
      </c>
      <c r="E1617" s="2">
        <v>261806.72</v>
      </c>
      <c r="F1617" s="2">
        <v>49743.28</v>
      </c>
      <c r="G1617" s="2">
        <v>0</v>
      </c>
      <c r="H1617" s="4">
        <v>0</v>
      </c>
      <c r="I1617" s="4">
        <v>0</v>
      </c>
      <c r="J1617" s="4">
        <v>0</v>
      </c>
      <c r="K1617" s="4">
        <v>311550</v>
      </c>
      <c r="L1617" s="4" t="s">
        <v>4926</v>
      </c>
      <c r="M1617" s="4" t="s">
        <v>4927</v>
      </c>
      <c r="N1617" s="4" t="s">
        <v>20</v>
      </c>
      <c r="O1617" s="4" t="s">
        <v>1677</v>
      </c>
      <c r="P1617" s="4" t="s">
        <v>1677</v>
      </c>
      <c r="Q1617" s="8" t="s">
        <v>144</v>
      </c>
      <c r="R1617" s="9">
        <f t="shared" si="26"/>
        <v>4.5930644681645823E-6</v>
      </c>
      <c r="S1617" s="55">
        <f>Tabla3[[#This Row],[Subtotal]]/12</f>
        <v>21817.226666666666</v>
      </c>
    </row>
    <row r="1618" spans="1:19" x14ac:dyDescent="0.2">
      <c r="A1618" s="4">
        <v>504</v>
      </c>
      <c r="B1618" s="2">
        <v>261722.14</v>
      </c>
      <c r="C1618" s="2">
        <v>0</v>
      </c>
      <c r="D1618" s="4" t="s">
        <v>4931</v>
      </c>
      <c r="E1618" s="2">
        <v>261722.14</v>
      </c>
      <c r="F1618" s="2">
        <v>48777.21</v>
      </c>
      <c r="G1618" s="2">
        <v>0</v>
      </c>
      <c r="H1618" s="4">
        <v>0</v>
      </c>
      <c r="I1618" s="4">
        <v>0</v>
      </c>
      <c r="J1618" s="4">
        <v>0</v>
      </c>
      <c r="K1618" s="4">
        <v>310499.34999999998</v>
      </c>
      <c r="L1618" s="4" t="s">
        <v>4929</v>
      </c>
      <c r="M1618" s="4" t="s">
        <v>4930</v>
      </c>
      <c r="N1618" s="4" t="s">
        <v>20</v>
      </c>
      <c r="O1618" s="4" t="s">
        <v>1677</v>
      </c>
      <c r="P1618" s="4" t="s">
        <v>1677</v>
      </c>
      <c r="Q1618" s="8" t="s">
        <v>144</v>
      </c>
      <c r="R1618" s="9">
        <f t="shared" si="26"/>
        <v>4.5915806201078279E-6</v>
      </c>
      <c r="S1618" s="55">
        <f>Tabla3[[#This Row],[Subtotal]]/12</f>
        <v>21810.178333333333</v>
      </c>
    </row>
    <row r="1619" spans="1:19" x14ac:dyDescent="0.2">
      <c r="A1619" s="4">
        <v>1745</v>
      </c>
      <c r="B1619" s="2">
        <v>260064</v>
      </c>
      <c r="C1619" s="2">
        <v>0</v>
      </c>
      <c r="D1619" s="4" t="s">
        <v>4934</v>
      </c>
      <c r="E1619" s="2">
        <v>260064</v>
      </c>
      <c r="F1619" s="2">
        <v>49412.160000000003</v>
      </c>
      <c r="G1619" s="2">
        <v>0</v>
      </c>
      <c r="H1619" s="4">
        <v>0</v>
      </c>
      <c r="I1619" s="4">
        <v>0</v>
      </c>
      <c r="J1619" s="4">
        <v>0</v>
      </c>
      <c r="K1619" s="4">
        <v>309476.15999999997</v>
      </c>
      <c r="L1619" s="4" t="s">
        <v>4932</v>
      </c>
      <c r="M1619" s="4" t="s">
        <v>4933</v>
      </c>
      <c r="N1619" s="4" t="s">
        <v>20</v>
      </c>
      <c r="O1619" s="4" t="s">
        <v>3938</v>
      </c>
      <c r="P1619" s="4" t="s">
        <v>3938</v>
      </c>
      <c r="Q1619" s="8" t="s">
        <v>1378</v>
      </c>
      <c r="R1619" s="9">
        <f t="shared" si="26"/>
        <v>4.5624906719306288E-6</v>
      </c>
      <c r="S1619" s="55">
        <f>Tabla3[[#This Row],[Subtotal]]/12</f>
        <v>21672</v>
      </c>
    </row>
    <row r="1620" spans="1:19" x14ac:dyDescent="0.2">
      <c r="A1620" s="4">
        <v>1154</v>
      </c>
      <c r="B1620" s="2">
        <v>259246</v>
      </c>
      <c r="C1620" s="2">
        <v>0</v>
      </c>
      <c r="D1620" s="4" t="s">
        <v>4937</v>
      </c>
      <c r="E1620" s="2">
        <v>259246</v>
      </c>
      <c r="F1620" s="2">
        <v>49256.74</v>
      </c>
      <c r="G1620" s="2">
        <v>0</v>
      </c>
      <c r="H1620" s="4">
        <v>0</v>
      </c>
      <c r="I1620" s="4">
        <v>0</v>
      </c>
      <c r="J1620" s="4">
        <v>0</v>
      </c>
      <c r="K1620" s="4">
        <v>308502.74</v>
      </c>
      <c r="L1620" s="4" t="s">
        <v>4935</v>
      </c>
      <c r="M1620" s="4" t="s">
        <v>4936</v>
      </c>
      <c r="N1620" s="4" t="s">
        <v>20</v>
      </c>
      <c r="O1620" s="4" t="s">
        <v>1043</v>
      </c>
      <c r="P1620" s="4" t="s">
        <v>1043</v>
      </c>
      <c r="Q1620" s="8" t="s">
        <v>100</v>
      </c>
      <c r="R1620" s="9">
        <f t="shared" si="26"/>
        <v>4.5481399068511125E-6</v>
      </c>
      <c r="S1620" s="55">
        <f>Tabla3[[#This Row],[Subtotal]]/12</f>
        <v>21603.833333333332</v>
      </c>
    </row>
    <row r="1621" spans="1:19" x14ac:dyDescent="0.2">
      <c r="A1621" s="4">
        <v>1718</v>
      </c>
      <c r="B1621" s="2">
        <v>254879</v>
      </c>
      <c r="C1621" s="2">
        <v>0</v>
      </c>
      <c r="D1621" s="4" t="s">
        <v>4940</v>
      </c>
      <c r="E1621" s="2">
        <v>254879</v>
      </c>
      <c r="F1621" s="2">
        <v>48427.01</v>
      </c>
      <c r="G1621" s="2">
        <v>0</v>
      </c>
      <c r="H1621" s="4">
        <v>0</v>
      </c>
      <c r="I1621" s="4">
        <v>0</v>
      </c>
      <c r="J1621" s="4">
        <v>0</v>
      </c>
      <c r="K1621" s="4">
        <v>303306.01</v>
      </c>
      <c r="L1621" s="4" t="s">
        <v>4938</v>
      </c>
      <c r="M1621" s="4" t="s">
        <v>4939</v>
      </c>
      <c r="N1621" s="4" t="s">
        <v>20</v>
      </c>
      <c r="O1621" s="4" t="s">
        <v>316</v>
      </c>
      <c r="P1621" s="4" t="s">
        <v>316</v>
      </c>
      <c r="Q1621" s="8" t="s">
        <v>100</v>
      </c>
      <c r="R1621" s="9">
        <f t="shared" si="26"/>
        <v>4.4715264702957991E-6</v>
      </c>
      <c r="S1621" s="55">
        <f>Tabla3[[#This Row],[Subtotal]]/12</f>
        <v>21239.916666666668</v>
      </c>
    </row>
    <row r="1622" spans="1:19" x14ac:dyDescent="0.2">
      <c r="A1622" s="4">
        <v>1051</v>
      </c>
      <c r="B1622" s="2">
        <v>250884</v>
      </c>
      <c r="C1622" s="2">
        <v>0</v>
      </c>
      <c r="D1622" s="4" t="s">
        <v>4943</v>
      </c>
      <c r="E1622" s="2">
        <v>250884</v>
      </c>
      <c r="F1622" s="2">
        <v>47667.96</v>
      </c>
      <c r="G1622" s="2">
        <v>0</v>
      </c>
      <c r="H1622" s="4">
        <v>0</v>
      </c>
      <c r="I1622" s="4">
        <v>0</v>
      </c>
      <c r="J1622" s="4">
        <v>0</v>
      </c>
      <c r="K1622" s="4">
        <v>298551.96000000002</v>
      </c>
      <c r="L1622" s="4" t="s">
        <v>4941</v>
      </c>
      <c r="M1622" s="4" t="s">
        <v>4942</v>
      </c>
      <c r="N1622" s="4" t="s">
        <v>20</v>
      </c>
      <c r="O1622" s="4" t="s">
        <v>372</v>
      </c>
      <c r="P1622" s="4" t="s">
        <v>372</v>
      </c>
      <c r="Q1622" s="8" t="s">
        <v>100</v>
      </c>
      <c r="R1622" s="9">
        <f t="shared" si="26"/>
        <v>4.4014392985443728E-6</v>
      </c>
      <c r="S1622" s="55">
        <f>Tabla3[[#This Row],[Subtotal]]/12</f>
        <v>20907</v>
      </c>
    </row>
    <row r="1623" spans="1:19" x14ac:dyDescent="0.2">
      <c r="A1623" s="4">
        <v>370</v>
      </c>
      <c r="B1623" s="2">
        <v>249110.32</v>
      </c>
      <c r="C1623" s="2">
        <v>0</v>
      </c>
      <c r="D1623" s="4" t="s">
        <v>4946</v>
      </c>
      <c r="E1623" s="2">
        <v>249110.32</v>
      </c>
      <c r="F1623" s="2">
        <v>47330.96</v>
      </c>
      <c r="G1623" s="2">
        <v>0</v>
      </c>
      <c r="H1623" s="4">
        <v>0</v>
      </c>
      <c r="I1623" s="4">
        <v>0</v>
      </c>
      <c r="J1623" s="4">
        <v>0</v>
      </c>
      <c r="K1623" s="4">
        <v>296441.28000000003</v>
      </c>
      <c r="L1623" s="4" t="s">
        <v>4944</v>
      </c>
      <c r="M1623" s="4" t="s">
        <v>4945</v>
      </c>
      <c r="N1623" s="4" t="s">
        <v>1015</v>
      </c>
      <c r="O1623" s="4" t="s">
        <v>900</v>
      </c>
      <c r="P1623" s="4" t="s">
        <v>900</v>
      </c>
      <c r="Q1623" s="8" t="s">
        <v>144</v>
      </c>
      <c r="R1623" s="9">
        <f t="shared" si="26"/>
        <v>4.3703223486589989E-6</v>
      </c>
      <c r="S1623" s="55">
        <f>Tabla3[[#This Row],[Subtotal]]/12</f>
        <v>20759.193333333333</v>
      </c>
    </row>
    <row r="1624" spans="1:19" x14ac:dyDescent="0.2">
      <c r="A1624" s="4">
        <v>842</v>
      </c>
      <c r="B1624" s="2">
        <v>243060</v>
      </c>
      <c r="C1624" s="2">
        <v>0</v>
      </c>
      <c r="D1624" s="4" t="s">
        <v>4949</v>
      </c>
      <c r="E1624" s="2">
        <v>243060</v>
      </c>
      <c r="F1624" s="2">
        <v>46181.4</v>
      </c>
      <c r="G1624" s="2">
        <v>0</v>
      </c>
      <c r="H1624" s="4">
        <v>0</v>
      </c>
      <c r="I1624" s="4">
        <v>0</v>
      </c>
      <c r="J1624" s="4">
        <v>0</v>
      </c>
      <c r="K1624" s="4">
        <v>289241.40000000002</v>
      </c>
      <c r="L1624" s="4" t="s">
        <v>4947</v>
      </c>
      <c r="M1624" s="4" t="s">
        <v>4948</v>
      </c>
      <c r="N1624" s="4" t="s">
        <v>20</v>
      </c>
      <c r="O1624" s="4" t="s">
        <v>372</v>
      </c>
      <c r="P1624" s="4" t="s">
        <v>372</v>
      </c>
      <c r="Q1624" s="8" t="s">
        <v>100</v>
      </c>
      <c r="R1624" s="9">
        <f t="shared" si="26"/>
        <v>4.2641772129916432E-6</v>
      </c>
      <c r="S1624" s="55">
        <f>Tabla3[[#This Row],[Subtotal]]/12</f>
        <v>20255</v>
      </c>
    </row>
    <row r="1625" spans="1:19" x14ac:dyDescent="0.2">
      <c r="A1625" s="4">
        <v>295</v>
      </c>
      <c r="B1625" s="2">
        <v>242731.09</v>
      </c>
      <c r="C1625" s="2">
        <v>0</v>
      </c>
      <c r="D1625" s="4" t="s">
        <v>4952</v>
      </c>
      <c r="E1625" s="2">
        <v>242731.09</v>
      </c>
      <c r="F1625" s="2">
        <v>45168.91</v>
      </c>
      <c r="G1625" s="2">
        <v>0</v>
      </c>
      <c r="H1625" s="4">
        <v>0</v>
      </c>
      <c r="I1625" s="4">
        <v>0</v>
      </c>
      <c r="J1625" s="4">
        <v>0</v>
      </c>
      <c r="K1625" s="4">
        <v>287900</v>
      </c>
      <c r="L1625" s="4" t="s">
        <v>4950</v>
      </c>
      <c r="M1625" s="4" t="s">
        <v>4951</v>
      </c>
      <c r="N1625" s="4" t="s">
        <v>20</v>
      </c>
      <c r="O1625" s="4" t="s">
        <v>1677</v>
      </c>
      <c r="P1625" s="4" t="s">
        <v>1677</v>
      </c>
      <c r="Q1625" s="8" t="s">
        <v>144</v>
      </c>
      <c r="R1625" s="9">
        <f t="shared" si="26"/>
        <v>4.2584069071942055E-6</v>
      </c>
      <c r="S1625" s="55">
        <f>Tabla3[[#This Row],[Subtotal]]/12</f>
        <v>20227.590833333332</v>
      </c>
    </row>
    <row r="1626" spans="1:19" x14ac:dyDescent="0.2">
      <c r="A1626" s="4">
        <v>1296</v>
      </c>
      <c r="B1626" s="2">
        <v>242040</v>
      </c>
      <c r="C1626" s="2">
        <v>0</v>
      </c>
      <c r="D1626" s="4" t="s">
        <v>4955</v>
      </c>
      <c r="E1626" s="2">
        <v>242040</v>
      </c>
      <c r="F1626" s="2">
        <v>45987.6</v>
      </c>
      <c r="G1626" s="2">
        <v>0</v>
      </c>
      <c r="H1626" s="4">
        <v>0</v>
      </c>
      <c r="I1626" s="4">
        <v>0</v>
      </c>
      <c r="J1626" s="4">
        <v>0</v>
      </c>
      <c r="K1626" s="4">
        <v>288027.59999999998</v>
      </c>
      <c r="L1626" s="4" t="s">
        <v>4953</v>
      </c>
      <c r="M1626" s="4" t="s">
        <v>4954</v>
      </c>
      <c r="N1626" s="4" t="s">
        <v>20</v>
      </c>
      <c r="O1626" s="4" t="s">
        <v>257</v>
      </c>
      <c r="P1626" s="4" t="s">
        <v>257</v>
      </c>
      <c r="Q1626" s="8" t="s">
        <v>100</v>
      </c>
      <c r="R1626" s="9">
        <f t="shared" si="26"/>
        <v>4.2462826159487257E-6</v>
      </c>
      <c r="S1626" s="55">
        <f>Tabla3[[#This Row],[Subtotal]]/12</f>
        <v>20170</v>
      </c>
    </row>
    <row r="1627" spans="1:19" x14ac:dyDescent="0.2">
      <c r="A1627" s="4">
        <v>433</v>
      </c>
      <c r="B1627" s="2">
        <v>239606</v>
      </c>
      <c r="C1627" s="2">
        <v>0</v>
      </c>
      <c r="D1627" s="4" t="s">
        <v>4958</v>
      </c>
      <c r="E1627" s="2">
        <v>239606</v>
      </c>
      <c r="F1627" s="2">
        <v>40965.14</v>
      </c>
      <c r="G1627" s="2">
        <v>0</v>
      </c>
      <c r="H1627" s="4">
        <v>0</v>
      </c>
      <c r="I1627" s="4">
        <v>0</v>
      </c>
      <c r="J1627" s="4">
        <v>0</v>
      </c>
      <c r="K1627" s="4">
        <v>280571.14</v>
      </c>
      <c r="L1627" s="4" t="s">
        <v>4956</v>
      </c>
      <c r="M1627" s="4" t="s">
        <v>4957</v>
      </c>
      <c r="N1627" s="4" t="s">
        <v>20</v>
      </c>
      <c r="O1627" s="4" t="s">
        <v>2863</v>
      </c>
      <c r="P1627" s="4" t="s">
        <v>2863</v>
      </c>
      <c r="Q1627" s="8" t="s">
        <v>100</v>
      </c>
      <c r="R1627" s="9">
        <f t="shared" si="26"/>
        <v>4.2035811951619997E-6</v>
      </c>
      <c r="S1627" s="55">
        <f>Tabla3[[#This Row],[Subtotal]]/12</f>
        <v>19967.166666666668</v>
      </c>
    </row>
    <row r="1628" spans="1:19" x14ac:dyDescent="0.2">
      <c r="A1628" s="4">
        <v>1399</v>
      </c>
      <c r="B1628" s="2">
        <v>235164</v>
      </c>
      <c r="C1628" s="2">
        <v>0</v>
      </c>
      <c r="D1628" s="4" t="s">
        <v>1396</v>
      </c>
      <c r="E1628" s="2">
        <v>235164</v>
      </c>
      <c r="F1628" s="2">
        <v>44681.16</v>
      </c>
      <c r="G1628" s="2">
        <v>0</v>
      </c>
      <c r="H1628" s="4">
        <v>0</v>
      </c>
      <c r="I1628" s="4">
        <v>0</v>
      </c>
      <c r="J1628" s="4">
        <v>0</v>
      </c>
      <c r="K1628" s="4">
        <v>279845.15999999997</v>
      </c>
      <c r="L1628" s="4" t="s">
        <v>1394</v>
      </c>
      <c r="M1628" s="4" t="s">
        <v>1395</v>
      </c>
      <c r="N1628" s="4" t="s">
        <v>20</v>
      </c>
      <c r="O1628" s="4" t="s">
        <v>1517</v>
      </c>
      <c r="P1628" s="4" t="s">
        <v>603</v>
      </c>
      <c r="Q1628" s="8" t="s">
        <v>100</v>
      </c>
      <c r="R1628" s="9">
        <f t="shared" si="26"/>
        <v>4.125651979412354E-6</v>
      </c>
      <c r="S1628" s="55">
        <f>Tabla3[[#This Row],[Subtotal]]/12</f>
        <v>19597</v>
      </c>
    </row>
    <row r="1629" spans="1:19" x14ac:dyDescent="0.2">
      <c r="A1629" s="4">
        <v>365</v>
      </c>
      <c r="B1629" s="2">
        <v>227877</v>
      </c>
      <c r="C1629" s="2">
        <v>0</v>
      </c>
      <c r="D1629" s="4" t="s">
        <v>4961</v>
      </c>
      <c r="E1629" s="2">
        <v>227877</v>
      </c>
      <c r="F1629" s="2">
        <v>43296.63</v>
      </c>
      <c r="G1629" s="2">
        <v>0</v>
      </c>
      <c r="H1629" s="4">
        <v>0</v>
      </c>
      <c r="I1629" s="4">
        <v>0</v>
      </c>
      <c r="J1629" s="4">
        <v>0</v>
      </c>
      <c r="K1629" s="4">
        <v>271173.63</v>
      </c>
      <c r="L1629" s="4" t="s">
        <v>4959</v>
      </c>
      <c r="M1629" s="4" t="s">
        <v>4960</v>
      </c>
      <c r="N1629" s="4" t="s">
        <v>88</v>
      </c>
      <c r="O1629" s="4" t="s">
        <v>89</v>
      </c>
      <c r="P1629" s="4" t="s">
        <v>89</v>
      </c>
      <c r="Q1629" s="8" t="s">
        <v>100</v>
      </c>
      <c r="R1629" s="9">
        <f t="shared" si="26"/>
        <v>3.9978108728910419E-6</v>
      </c>
      <c r="S1629" s="55">
        <f>Tabla3[[#This Row],[Subtotal]]/12</f>
        <v>18989.75</v>
      </c>
    </row>
    <row r="1630" spans="1:19" x14ac:dyDescent="0.2">
      <c r="A1630" s="4">
        <v>1016</v>
      </c>
      <c r="B1630" s="2">
        <v>212779</v>
      </c>
      <c r="C1630" s="2">
        <v>0</v>
      </c>
      <c r="D1630" s="4" t="s">
        <v>4964</v>
      </c>
      <c r="E1630" s="2">
        <v>212779</v>
      </c>
      <c r="F1630" s="2">
        <v>40428.01</v>
      </c>
      <c r="G1630" s="2">
        <v>0</v>
      </c>
      <c r="H1630" s="4">
        <v>0</v>
      </c>
      <c r="I1630" s="4">
        <v>0</v>
      </c>
      <c r="J1630" s="4">
        <v>0</v>
      </c>
      <c r="K1630" s="4">
        <v>253207.01</v>
      </c>
      <c r="L1630" s="4" t="s">
        <v>4962</v>
      </c>
      <c r="M1630" s="4" t="s">
        <v>4963</v>
      </c>
      <c r="N1630" s="4" t="s">
        <v>1421</v>
      </c>
      <c r="O1630" s="4" t="s">
        <v>3938</v>
      </c>
      <c r="P1630" s="4" t="s">
        <v>3938</v>
      </c>
      <c r="Q1630" s="8" t="s">
        <v>1378</v>
      </c>
      <c r="R1630" s="9">
        <f t="shared" si="26"/>
        <v>3.7329357492106836E-6</v>
      </c>
      <c r="S1630" s="55">
        <f>Tabla3[[#This Row],[Subtotal]]/12</f>
        <v>17731.583333333332</v>
      </c>
    </row>
    <row r="1631" spans="1:19" x14ac:dyDescent="0.2">
      <c r="A1631" s="4">
        <v>1093</v>
      </c>
      <c r="B1631" s="2">
        <v>210294</v>
      </c>
      <c r="C1631" s="2">
        <v>0</v>
      </c>
      <c r="D1631" s="4" t="s">
        <v>4967</v>
      </c>
      <c r="E1631" s="2">
        <v>210294</v>
      </c>
      <c r="F1631" s="2">
        <v>39005.86</v>
      </c>
      <c r="G1631" s="2">
        <v>0</v>
      </c>
      <c r="H1631" s="4">
        <v>0</v>
      </c>
      <c r="I1631" s="4">
        <v>0</v>
      </c>
      <c r="J1631" s="4">
        <v>0</v>
      </c>
      <c r="K1631" s="4">
        <v>249299.86</v>
      </c>
      <c r="L1631" s="4" t="s">
        <v>4965</v>
      </c>
      <c r="M1631" s="4" t="s">
        <v>4966</v>
      </c>
      <c r="N1631" s="4" t="s">
        <v>20</v>
      </c>
      <c r="O1631" s="4" t="s">
        <v>1677</v>
      </c>
      <c r="P1631" s="4" t="s">
        <v>1677</v>
      </c>
      <c r="Q1631" s="8" t="s">
        <v>144</v>
      </c>
      <c r="R1631" s="9">
        <f t="shared" si="26"/>
        <v>3.6893395985718119E-6</v>
      </c>
      <c r="S1631" s="55">
        <f>Tabla3[[#This Row],[Subtotal]]/12</f>
        <v>17524.5</v>
      </c>
    </row>
    <row r="1632" spans="1:19" x14ac:dyDescent="0.2">
      <c r="A1632" s="4">
        <v>397</v>
      </c>
      <c r="B1632" s="2">
        <v>210293.6</v>
      </c>
      <c r="C1632" s="2">
        <v>0</v>
      </c>
      <c r="D1632" s="4" t="s">
        <v>4970</v>
      </c>
      <c r="E1632" s="2">
        <v>210293.6</v>
      </c>
      <c r="F1632" s="2">
        <v>39005.78</v>
      </c>
      <c r="G1632" s="2">
        <v>0</v>
      </c>
      <c r="H1632" s="4">
        <v>0</v>
      </c>
      <c r="I1632" s="4">
        <v>0</v>
      </c>
      <c r="J1632" s="4">
        <v>0</v>
      </c>
      <c r="K1632" s="4">
        <v>249299.38</v>
      </c>
      <c r="L1632" s="4" t="s">
        <v>4968</v>
      </c>
      <c r="M1632" s="4" t="s">
        <v>4969</v>
      </c>
      <c r="N1632" s="4" t="s">
        <v>20</v>
      </c>
      <c r="O1632" s="4" t="s">
        <v>1677</v>
      </c>
      <c r="P1632" s="4" t="s">
        <v>1677</v>
      </c>
      <c r="Q1632" s="8" t="s">
        <v>144</v>
      </c>
      <c r="R1632" s="9">
        <f t="shared" si="26"/>
        <v>3.6893325810827753E-6</v>
      </c>
      <c r="S1632" s="55">
        <f>Tabla3[[#This Row],[Subtotal]]/12</f>
        <v>17524.466666666667</v>
      </c>
    </row>
    <row r="1633" spans="1:19" x14ac:dyDescent="0.2">
      <c r="A1633" s="4">
        <v>959</v>
      </c>
      <c r="B1633" s="2">
        <v>210293.6</v>
      </c>
      <c r="C1633" s="2">
        <v>0</v>
      </c>
      <c r="D1633" s="4" t="s">
        <v>4973</v>
      </c>
      <c r="E1633" s="2">
        <v>210293.6</v>
      </c>
      <c r="F1633" s="2">
        <v>39005.78</v>
      </c>
      <c r="G1633" s="2">
        <v>0</v>
      </c>
      <c r="H1633" s="4">
        <v>0</v>
      </c>
      <c r="I1633" s="4">
        <v>0</v>
      </c>
      <c r="J1633" s="4">
        <v>0</v>
      </c>
      <c r="K1633" s="4">
        <v>249299.38</v>
      </c>
      <c r="L1633" s="4" t="s">
        <v>4971</v>
      </c>
      <c r="M1633" s="4" t="s">
        <v>4972</v>
      </c>
      <c r="N1633" s="4" t="s">
        <v>20</v>
      </c>
      <c r="O1633" s="4" t="s">
        <v>1677</v>
      </c>
      <c r="P1633" s="4" t="s">
        <v>1677</v>
      </c>
      <c r="Q1633" s="8" t="s">
        <v>144</v>
      </c>
      <c r="R1633" s="9">
        <f t="shared" si="26"/>
        <v>3.6893325810827753E-6</v>
      </c>
      <c r="S1633" s="55">
        <f>Tabla3[[#This Row],[Subtotal]]/12</f>
        <v>17524.466666666667</v>
      </c>
    </row>
    <row r="1634" spans="1:19" x14ac:dyDescent="0.2">
      <c r="A1634" s="4">
        <v>76</v>
      </c>
      <c r="B1634" s="2">
        <v>207020</v>
      </c>
      <c r="C1634" s="2">
        <v>0</v>
      </c>
      <c r="D1634" s="4" t="s">
        <v>4976</v>
      </c>
      <c r="E1634" s="2">
        <v>207020</v>
      </c>
      <c r="F1634" s="2">
        <v>39333.800000000003</v>
      </c>
      <c r="G1634" s="2">
        <v>0</v>
      </c>
      <c r="H1634" s="4">
        <v>0</v>
      </c>
      <c r="I1634" s="4">
        <v>0</v>
      </c>
      <c r="J1634" s="4">
        <v>0</v>
      </c>
      <c r="K1634" s="4">
        <v>246353.8</v>
      </c>
      <c r="L1634" s="4" t="s">
        <v>4974</v>
      </c>
      <c r="M1634" s="4" t="s">
        <v>4975</v>
      </c>
      <c r="N1634" s="4" t="s">
        <v>221</v>
      </c>
      <c r="O1634" s="4" t="s">
        <v>33</v>
      </c>
      <c r="P1634" s="4" t="s">
        <v>33</v>
      </c>
      <c r="Q1634" s="8" t="s">
        <v>100</v>
      </c>
      <c r="R1634" s="9">
        <f t="shared" si="26"/>
        <v>3.6319014508085657E-6</v>
      </c>
      <c r="S1634" s="55">
        <f>Tabla3[[#This Row],[Subtotal]]/12</f>
        <v>17251.666666666668</v>
      </c>
    </row>
    <row r="1635" spans="1:19" x14ac:dyDescent="0.2">
      <c r="A1635" s="4">
        <v>547</v>
      </c>
      <c r="B1635" s="2">
        <v>205294.12</v>
      </c>
      <c r="C1635" s="2">
        <v>0</v>
      </c>
      <c r="D1635" s="4" t="s">
        <v>4979</v>
      </c>
      <c r="E1635" s="2">
        <v>205294.12</v>
      </c>
      <c r="F1635" s="2">
        <v>39005.879999999997</v>
      </c>
      <c r="G1635" s="2">
        <v>0</v>
      </c>
      <c r="H1635" s="4">
        <v>0</v>
      </c>
      <c r="I1635" s="4">
        <v>0</v>
      </c>
      <c r="J1635" s="4">
        <v>0</v>
      </c>
      <c r="K1635" s="4">
        <v>244300</v>
      </c>
      <c r="L1635" s="4" t="s">
        <v>4977</v>
      </c>
      <c r="M1635" s="4" t="s">
        <v>4978</v>
      </c>
      <c r="N1635" s="4" t="s">
        <v>20</v>
      </c>
      <c r="O1635" s="4" t="s">
        <v>1677</v>
      </c>
      <c r="P1635" s="4" t="s">
        <v>1677</v>
      </c>
      <c r="Q1635" s="8" t="s">
        <v>144</v>
      </c>
      <c r="R1635" s="9">
        <f t="shared" si="26"/>
        <v>3.6016230908630458E-6</v>
      </c>
      <c r="S1635" s="55">
        <f>Tabla3[[#This Row],[Subtotal]]/12</f>
        <v>17107.843333333334</v>
      </c>
    </row>
    <row r="1636" spans="1:19" x14ac:dyDescent="0.2">
      <c r="A1636" s="4">
        <v>189</v>
      </c>
      <c r="B1636" s="2">
        <v>202872</v>
      </c>
      <c r="C1636" s="2">
        <v>0</v>
      </c>
      <c r="D1636" s="4" t="s">
        <v>4982</v>
      </c>
      <c r="E1636" s="2">
        <v>202872</v>
      </c>
      <c r="F1636" s="2">
        <v>38545.68</v>
      </c>
      <c r="G1636" s="2">
        <v>0</v>
      </c>
      <c r="H1636" s="4">
        <v>0</v>
      </c>
      <c r="I1636" s="4">
        <v>0</v>
      </c>
      <c r="J1636" s="4">
        <v>0</v>
      </c>
      <c r="K1636" s="4">
        <v>241417.68</v>
      </c>
      <c r="L1636" s="4" t="s">
        <v>4980</v>
      </c>
      <c r="M1636" s="4" t="s">
        <v>4981</v>
      </c>
      <c r="N1636" s="4" t="s">
        <v>1143</v>
      </c>
      <c r="O1636" s="4" t="s">
        <v>340</v>
      </c>
      <c r="P1636" s="4" t="s">
        <v>340</v>
      </c>
      <c r="Q1636" s="8" t="s">
        <v>100</v>
      </c>
      <c r="R1636" s="9">
        <f t="shared" si="26"/>
        <v>3.5591300895007016E-6</v>
      </c>
      <c r="S1636" s="55">
        <f>Tabla3[[#This Row],[Subtotal]]/12</f>
        <v>16906</v>
      </c>
    </row>
    <row r="1637" spans="1:19" x14ac:dyDescent="0.2">
      <c r="A1637" s="4">
        <v>1402</v>
      </c>
      <c r="B1637" s="2">
        <v>201806</v>
      </c>
      <c r="C1637" s="2">
        <v>0</v>
      </c>
      <c r="D1637" s="4" t="s">
        <v>4985</v>
      </c>
      <c r="E1637" s="2">
        <v>201806</v>
      </c>
      <c r="F1637" s="2">
        <v>36443.14</v>
      </c>
      <c r="G1637" s="2">
        <v>0</v>
      </c>
      <c r="H1637" s="4">
        <v>0</v>
      </c>
      <c r="I1637" s="4">
        <v>0</v>
      </c>
      <c r="J1637" s="4">
        <v>0</v>
      </c>
      <c r="K1637" s="4">
        <v>238249.14</v>
      </c>
      <c r="L1637" s="4" t="s">
        <v>4983</v>
      </c>
      <c r="M1637" s="4" t="s">
        <v>4984</v>
      </c>
      <c r="N1637" s="4" t="s">
        <v>20</v>
      </c>
      <c r="O1637" s="4" t="s">
        <v>1677</v>
      </c>
      <c r="P1637" s="4" t="s">
        <v>1677</v>
      </c>
      <c r="Q1637" s="8" t="s">
        <v>144</v>
      </c>
      <c r="R1637" s="9">
        <f t="shared" si="26"/>
        <v>3.5404284812185941E-6</v>
      </c>
      <c r="S1637" s="55">
        <f>Tabla3[[#This Row],[Subtotal]]/12</f>
        <v>16817.166666666668</v>
      </c>
    </row>
    <row r="1638" spans="1:19" x14ac:dyDescent="0.2">
      <c r="A1638" s="4">
        <v>1008</v>
      </c>
      <c r="B1638" s="2">
        <v>200868</v>
      </c>
      <c r="C1638" s="2">
        <v>0</v>
      </c>
      <c r="D1638" s="4" t="s">
        <v>4988</v>
      </c>
      <c r="E1638" s="2">
        <v>200868</v>
      </c>
      <c r="F1638" s="2">
        <v>35884.92</v>
      </c>
      <c r="G1638" s="2">
        <v>0</v>
      </c>
      <c r="H1638" s="4">
        <v>0</v>
      </c>
      <c r="I1638" s="4">
        <v>0</v>
      </c>
      <c r="J1638" s="4">
        <v>0</v>
      </c>
      <c r="K1638" s="4">
        <v>236752.92</v>
      </c>
      <c r="L1638" s="4" t="s">
        <v>4986</v>
      </c>
      <c r="M1638" s="4" t="s">
        <v>4987</v>
      </c>
      <c r="N1638" s="4"/>
      <c r="O1638" s="4" t="s">
        <v>2863</v>
      </c>
      <c r="P1638" s="4" t="s">
        <v>2863</v>
      </c>
      <c r="Q1638" s="8" t="s">
        <v>100</v>
      </c>
      <c r="R1638" s="9">
        <f t="shared" si="26"/>
        <v>3.5239724694281468E-6</v>
      </c>
      <c r="S1638" s="55">
        <f>Tabla3[[#This Row],[Subtotal]]/12</f>
        <v>16739</v>
      </c>
    </row>
    <row r="1639" spans="1:19" x14ac:dyDescent="0.2">
      <c r="A1639" s="4">
        <v>328</v>
      </c>
      <c r="B1639" s="2">
        <v>200632.54</v>
      </c>
      <c r="C1639" s="2">
        <v>0</v>
      </c>
      <c r="D1639" s="4" t="s">
        <v>4991</v>
      </c>
      <c r="E1639" s="2">
        <v>200632.54</v>
      </c>
      <c r="F1639" s="2">
        <v>38120.18</v>
      </c>
      <c r="G1639" s="2">
        <v>0</v>
      </c>
      <c r="H1639" s="4">
        <v>0</v>
      </c>
      <c r="I1639" s="4">
        <v>0</v>
      </c>
      <c r="J1639" s="4">
        <v>0</v>
      </c>
      <c r="K1639" s="4">
        <v>238752.72</v>
      </c>
      <c r="L1639" s="4" t="s">
        <v>4989</v>
      </c>
      <c r="M1639" s="4" t="s">
        <v>4990</v>
      </c>
      <c r="N1639" s="4" t="s">
        <v>368</v>
      </c>
      <c r="O1639" s="4" t="s">
        <v>900</v>
      </c>
      <c r="P1639" s="4" t="s">
        <v>900</v>
      </c>
      <c r="Q1639" s="8" t="s">
        <v>144</v>
      </c>
      <c r="R1639" s="9">
        <f t="shared" si="26"/>
        <v>3.5198416245068475E-6</v>
      </c>
      <c r="S1639" s="55">
        <f>Tabla3[[#This Row],[Subtotal]]/12</f>
        <v>16719.378333333334</v>
      </c>
    </row>
    <row r="1640" spans="1:19" x14ac:dyDescent="0.2">
      <c r="A1640" s="4">
        <v>1112</v>
      </c>
      <c r="B1640" s="2">
        <v>196639</v>
      </c>
      <c r="C1640" s="2">
        <v>0</v>
      </c>
      <c r="D1640" s="4" t="s">
        <v>4994</v>
      </c>
      <c r="E1640" s="2">
        <v>196639</v>
      </c>
      <c r="F1640" s="2">
        <v>36411.410000000003</v>
      </c>
      <c r="G1640" s="2">
        <v>0</v>
      </c>
      <c r="H1640" s="4">
        <v>0</v>
      </c>
      <c r="I1640" s="4">
        <v>0</v>
      </c>
      <c r="J1640" s="4">
        <v>0</v>
      </c>
      <c r="K1640" s="4">
        <v>233050.41</v>
      </c>
      <c r="L1640" s="4" t="s">
        <v>4992</v>
      </c>
      <c r="M1640" s="4" t="s">
        <v>4993</v>
      </c>
      <c r="N1640" s="4" t="s">
        <v>20</v>
      </c>
      <c r="O1640" s="4" t="s">
        <v>1677</v>
      </c>
      <c r="P1640" s="4" t="s">
        <v>1677</v>
      </c>
      <c r="Q1640" s="8" t="s">
        <v>144</v>
      </c>
      <c r="R1640" s="9">
        <f t="shared" si="26"/>
        <v>3.4497800665904043E-6</v>
      </c>
      <c r="S1640" s="55">
        <f>Tabla3[[#This Row],[Subtotal]]/12</f>
        <v>16386.583333333332</v>
      </c>
    </row>
    <row r="1641" spans="1:19" x14ac:dyDescent="0.2">
      <c r="A1641" s="4">
        <v>1126</v>
      </c>
      <c r="B1641" s="2">
        <v>195210.92</v>
      </c>
      <c r="C1641" s="2">
        <v>0</v>
      </c>
      <c r="D1641" s="4" t="s">
        <v>4997</v>
      </c>
      <c r="E1641" s="2">
        <v>195210.92</v>
      </c>
      <c r="F1641" s="2">
        <v>37090.07</v>
      </c>
      <c r="G1641" s="2">
        <v>0</v>
      </c>
      <c r="H1641" s="4">
        <v>0</v>
      </c>
      <c r="I1641" s="4">
        <v>0</v>
      </c>
      <c r="J1641" s="4">
        <v>0</v>
      </c>
      <c r="K1641" s="4">
        <v>232300.99</v>
      </c>
      <c r="L1641" s="4" t="s">
        <v>4995</v>
      </c>
      <c r="M1641" s="4" t="s">
        <v>4996</v>
      </c>
      <c r="N1641" s="4" t="s">
        <v>368</v>
      </c>
      <c r="O1641" s="4" t="s">
        <v>1677</v>
      </c>
      <c r="P1641" s="4" t="s">
        <v>1677</v>
      </c>
      <c r="Q1641" s="8" t="s">
        <v>144</v>
      </c>
      <c r="R1641" s="9">
        <f t="shared" si="26"/>
        <v>3.424726227232513E-6</v>
      </c>
      <c r="S1641" s="55">
        <f>Tabla3[[#This Row],[Subtotal]]/12</f>
        <v>16267.576666666668</v>
      </c>
    </row>
    <row r="1642" spans="1:19" x14ac:dyDescent="0.2">
      <c r="A1642" s="4">
        <v>1712</v>
      </c>
      <c r="B1642" s="2">
        <v>192048</v>
      </c>
      <c r="C1642" s="2">
        <v>0</v>
      </c>
      <c r="D1642" s="4" t="s">
        <v>5000</v>
      </c>
      <c r="E1642" s="2">
        <v>192048</v>
      </c>
      <c r="F1642" s="2">
        <v>36489.120000000003</v>
      </c>
      <c r="G1642" s="2">
        <v>0</v>
      </c>
      <c r="H1642" s="4">
        <v>0</v>
      </c>
      <c r="I1642" s="4">
        <v>0</v>
      </c>
      <c r="J1642" s="4">
        <v>0</v>
      </c>
      <c r="K1642" s="4">
        <v>228537.12</v>
      </c>
      <c r="L1642" s="4" t="s">
        <v>4998</v>
      </c>
      <c r="M1642" s="4" t="s">
        <v>4999</v>
      </c>
      <c r="N1642" s="4" t="s">
        <v>142</v>
      </c>
      <c r="O1642" s="4" t="s">
        <v>340</v>
      </c>
      <c r="P1642" s="4" t="s">
        <v>340</v>
      </c>
      <c r="Q1642" s="8" t="s">
        <v>100</v>
      </c>
      <c r="R1642" s="9">
        <f t="shared" si="26"/>
        <v>3.3692368361746854E-6</v>
      </c>
      <c r="S1642" s="55">
        <f>Tabla3[[#This Row],[Subtotal]]/12</f>
        <v>16004</v>
      </c>
    </row>
    <row r="1643" spans="1:19" x14ac:dyDescent="0.2">
      <c r="A1643" s="4">
        <v>1626</v>
      </c>
      <c r="B1643" s="2">
        <v>190602</v>
      </c>
      <c r="C1643" s="2">
        <v>0</v>
      </c>
      <c r="D1643" s="4" t="s">
        <v>5003</v>
      </c>
      <c r="E1643" s="2">
        <v>190602</v>
      </c>
      <c r="F1643" s="2">
        <v>33934.379999999997</v>
      </c>
      <c r="G1643" s="2">
        <v>0</v>
      </c>
      <c r="H1643" s="4">
        <v>0</v>
      </c>
      <c r="I1643" s="4">
        <v>0</v>
      </c>
      <c r="J1643" s="4">
        <v>0</v>
      </c>
      <c r="K1643" s="4">
        <v>224536.38</v>
      </c>
      <c r="L1643" s="4" t="s">
        <v>5001</v>
      </c>
      <c r="M1643" s="4" t="s">
        <v>5002</v>
      </c>
      <c r="N1643" s="4" t="s">
        <v>20</v>
      </c>
      <c r="O1643" s="4" t="s">
        <v>2863</v>
      </c>
      <c r="P1643" s="4" t="s">
        <v>2863</v>
      </c>
      <c r="Q1643" s="8" t="s">
        <v>100</v>
      </c>
      <c r="R1643" s="9">
        <f t="shared" si="26"/>
        <v>3.3438686133079615E-6</v>
      </c>
      <c r="S1643" s="55">
        <f>Tabla3[[#This Row],[Subtotal]]/12</f>
        <v>15883.5</v>
      </c>
    </row>
    <row r="1644" spans="1:19" x14ac:dyDescent="0.2">
      <c r="A1644" s="4">
        <v>1433</v>
      </c>
      <c r="B1644" s="2">
        <v>189243.7</v>
      </c>
      <c r="C1644" s="2">
        <v>0</v>
      </c>
      <c r="D1644" s="4" t="s">
        <v>5006</v>
      </c>
      <c r="E1644" s="2">
        <v>189243.7</v>
      </c>
      <c r="F1644" s="2">
        <v>35956.300000000003</v>
      </c>
      <c r="G1644" s="2">
        <v>0</v>
      </c>
      <c r="H1644" s="4">
        <v>0</v>
      </c>
      <c r="I1644" s="4">
        <v>0</v>
      </c>
      <c r="J1644" s="4">
        <v>0</v>
      </c>
      <c r="K1644" s="4">
        <v>225200</v>
      </c>
      <c r="L1644" s="4" t="s">
        <v>5004</v>
      </c>
      <c r="M1644" s="4" t="s">
        <v>5005</v>
      </c>
      <c r="N1644" s="4" t="s">
        <v>20</v>
      </c>
      <c r="O1644" s="4" t="s">
        <v>1677</v>
      </c>
      <c r="P1644" s="4" t="s">
        <v>1677</v>
      </c>
      <c r="Q1644" s="8" t="s">
        <v>144</v>
      </c>
      <c r="R1644" s="9">
        <f t="shared" si="26"/>
        <v>3.3200389749124769E-6</v>
      </c>
      <c r="S1644" s="55">
        <f>Tabla3[[#This Row],[Subtotal]]/12</f>
        <v>15770.308333333334</v>
      </c>
    </row>
    <row r="1645" spans="1:19" x14ac:dyDescent="0.2">
      <c r="A1645" s="4">
        <v>158</v>
      </c>
      <c r="B1645" s="2">
        <v>186638.72</v>
      </c>
      <c r="C1645" s="2">
        <v>0</v>
      </c>
      <c r="D1645" s="4" t="s">
        <v>5009</v>
      </c>
      <c r="E1645" s="2">
        <v>186638.72</v>
      </c>
      <c r="F1645" s="2">
        <v>35461.360000000001</v>
      </c>
      <c r="G1645" s="2">
        <v>0</v>
      </c>
      <c r="H1645" s="4">
        <v>0</v>
      </c>
      <c r="I1645" s="4">
        <v>0</v>
      </c>
      <c r="J1645" s="4">
        <v>0</v>
      </c>
      <c r="K1645" s="4">
        <v>222100.08</v>
      </c>
      <c r="L1645" s="4" t="s">
        <v>5007</v>
      </c>
      <c r="M1645" s="4" t="s">
        <v>5008</v>
      </c>
      <c r="N1645" s="4" t="s">
        <v>88</v>
      </c>
      <c r="O1645" s="4" t="s">
        <v>1677</v>
      </c>
      <c r="P1645" s="4" t="s">
        <v>1677</v>
      </c>
      <c r="Q1645" s="8" t="s">
        <v>144</v>
      </c>
      <c r="R1645" s="9">
        <f t="shared" si="26"/>
        <v>3.274337928437125E-6</v>
      </c>
      <c r="S1645" s="55">
        <f>Tabla3[[#This Row],[Subtotal]]/12</f>
        <v>15553.226666666667</v>
      </c>
    </row>
    <row r="1646" spans="1:19" x14ac:dyDescent="0.2">
      <c r="A1646" s="4">
        <v>1314</v>
      </c>
      <c r="B1646" s="2">
        <v>182094</v>
      </c>
      <c r="C1646" s="2">
        <v>0</v>
      </c>
      <c r="D1646" s="4" t="s">
        <v>5012</v>
      </c>
      <c r="E1646" s="2">
        <v>182094</v>
      </c>
      <c r="F1646" s="2">
        <v>34597.86</v>
      </c>
      <c r="G1646" s="2">
        <v>0</v>
      </c>
      <c r="H1646" s="4">
        <v>0</v>
      </c>
      <c r="I1646" s="4">
        <v>0</v>
      </c>
      <c r="J1646" s="4">
        <v>0</v>
      </c>
      <c r="K1646" s="4">
        <v>216691.86</v>
      </c>
      <c r="L1646" s="4" t="s">
        <v>5010</v>
      </c>
      <c r="M1646" s="4" t="s">
        <v>5011</v>
      </c>
      <c r="N1646" s="4" t="s">
        <v>20</v>
      </c>
      <c r="O1646" s="4" t="s">
        <v>3938</v>
      </c>
      <c r="P1646" s="4" t="s">
        <v>3938</v>
      </c>
      <c r="Q1646" s="8" t="s">
        <v>1378</v>
      </c>
      <c r="R1646" s="9">
        <f t="shared" si="26"/>
        <v>3.1946066215029221E-6</v>
      </c>
      <c r="S1646" s="55">
        <f>Tabla3[[#This Row],[Subtotal]]/12</f>
        <v>15174.5</v>
      </c>
    </row>
    <row r="1647" spans="1:19" x14ac:dyDescent="0.2">
      <c r="A1647" s="4">
        <v>1204</v>
      </c>
      <c r="B1647" s="2">
        <v>181169</v>
      </c>
      <c r="C1647" s="2">
        <v>0</v>
      </c>
      <c r="D1647" s="4" t="s">
        <v>5015</v>
      </c>
      <c r="E1647" s="2">
        <v>181169</v>
      </c>
      <c r="F1647" s="2">
        <v>34422.11</v>
      </c>
      <c r="G1647" s="2">
        <v>0</v>
      </c>
      <c r="H1647" s="4">
        <v>0</v>
      </c>
      <c r="I1647" s="4">
        <v>0</v>
      </c>
      <c r="J1647" s="4">
        <v>0</v>
      </c>
      <c r="K1647" s="4">
        <v>215591.11</v>
      </c>
      <c r="L1647" s="4" t="s">
        <v>5013</v>
      </c>
      <c r="M1647" s="4" t="s">
        <v>5014</v>
      </c>
      <c r="N1647" s="4" t="s">
        <v>20</v>
      </c>
      <c r="O1647" s="4" t="s">
        <v>3938</v>
      </c>
      <c r="P1647" s="4" t="s">
        <v>3938</v>
      </c>
      <c r="Q1647" s="8" t="s">
        <v>1378</v>
      </c>
      <c r="R1647" s="9">
        <f t="shared" si="26"/>
        <v>3.1783786781061589E-6</v>
      </c>
      <c r="S1647" s="55">
        <f>Tabla3[[#This Row],[Subtotal]]/12</f>
        <v>15097.416666666666</v>
      </c>
    </row>
    <row r="1648" spans="1:19" x14ac:dyDescent="0.2">
      <c r="A1648" s="4">
        <v>236</v>
      </c>
      <c r="B1648" s="2">
        <v>179460</v>
      </c>
      <c r="C1648" s="2">
        <v>0</v>
      </c>
      <c r="D1648" s="4" t="s">
        <v>5018</v>
      </c>
      <c r="E1648" s="2">
        <v>179460</v>
      </c>
      <c r="F1648" s="2">
        <v>34097.4</v>
      </c>
      <c r="G1648" s="2">
        <v>0</v>
      </c>
      <c r="H1648" s="4">
        <v>0</v>
      </c>
      <c r="I1648" s="4">
        <v>0</v>
      </c>
      <c r="J1648" s="4">
        <v>0</v>
      </c>
      <c r="K1648" s="4">
        <v>213557.4</v>
      </c>
      <c r="L1648" s="4" t="s">
        <v>5016</v>
      </c>
      <c r="M1648" s="4" t="s">
        <v>5017</v>
      </c>
      <c r="N1648" s="4" t="s">
        <v>20</v>
      </c>
      <c r="O1648" s="4" t="s">
        <v>1562</v>
      </c>
      <c r="P1648" s="4" t="s">
        <v>1562</v>
      </c>
      <c r="Q1648" s="8" t="s">
        <v>100</v>
      </c>
      <c r="R1648" s="9">
        <f t="shared" si="26"/>
        <v>3.1483964561979767E-6</v>
      </c>
      <c r="S1648" s="55">
        <f>Tabla3[[#This Row],[Subtotal]]/12</f>
        <v>14955</v>
      </c>
    </row>
    <row r="1649" spans="1:19" x14ac:dyDescent="0.2">
      <c r="A1649" s="4">
        <v>888</v>
      </c>
      <c r="B1649" s="2">
        <v>179435.36</v>
      </c>
      <c r="C1649" s="2">
        <v>0</v>
      </c>
      <c r="D1649" s="4" t="s">
        <v>5021</v>
      </c>
      <c r="E1649" s="2">
        <v>179435.36</v>
      </c>
      <c r="F1649" s="2">
        <v>33142.720000000001</v>
      </c>
      <c r="G1649" s="2">
        <v>0</v>
      </c>
      <c r="H1649" s="4">
        <v>0</v>
      </c>
      <c r="I1649" s="4">
        <v>0</v>
      </c>
      <c r="J1649" s="4">
        <v>0</v>
      </c>
      <c r="K1649" s="4">
        <v>212578.08</v>
      </c>
      <c r="L1649" s="4" t="s">
        <v>5019</v>
      </c>
      <c r="M1649" s="4" t="s">
        <v>5020</v>
      </c>
      <c r="N1649" s="4" t="s">
        <v>20</v>
      </c>
      <c r="O1649" s="4" t="s">
        <v>1677</v>
      </c>
      <c r="P1649" s="4" t="s">
        <v>1677</v>
      </c>
      <c r="Q1649" s="8" t="s">
        <v>144</v>
      </c>
      <c r="R1649" s="9">
        <f t="shared" si="26"/>
        <v>3.1479641788733321E-6</v>
      </c>
      <c r="S1649" s="55">
        <f>Tabla3[[#This Row],[Subtotal]]/12</f>
        <v>14952.946666666665</v>
      </c>
    </row>
    <row r="1650" spans="1:19" x14ac:dyDescent="0.2">
      <c r="A1650" s="4">
        <v>983</v>
      </c>
      <c r="B1650" s="2">
        <v>174537.82</v>
      </c>
      <c r="C1650" s="2">
        <v>0</v>
      </c>
      <c r="D1650" s="4" t="s">
        <v>5024</v>
      </c>
      <c r="E1650" s="2">
        <v>174537.82</v>
      </c>
      <c r="F1650" s="2">
        <v>33162.19</v>
      </c>
      <c r="G1650" s="2">
        <v>0</v>
      </c>
      <c r="H1650" s="4">
        <v>0</v>
      </c>
      <c r="I1650" s="4">
        <v>0</v>
      </c>
      <c r="J1650" s="4">
        <v>0</v>
      </c>
      <c r="K1650" s="4">
        <v>207700.01</v>
      </c>
      <c r="L1650" s="4" t="s">
        <v>5022</v>
      </c>
      <c r="M1650" s="4" t="s">
        <v>5023</v>
      </c>
      <c r="N1650" s="4" t="s">
        <v>20</v>
      </c>
      <c r="O1650" s="4" t="s">
        <v>1677</v>
      </c>
      <c r="P1650" s="4" t="s">
        <v>1677</v>
      </c>
      <c r="Q1650" s="8" t="s">
        <v>144</v>
      </c>
      <c r="R1650" s="9">
        <f t="shared" si="26"/>
        <v>3.0620430957345392E-6</v>
      </c>
      <c r="S1650" s="55">
        <f>Tabla3[[#This Row],[Subtotal]]/12</f>
        <v>14544.818333333335</v>
      </c>
    </row>
    <row r="1651" spans="1:19" x14ac:dyDescent="0.2">
      <c r="A1651" s="4">
        <v>282</v>
      </c>
      <c r="B1651" s="2">
        <v>170671.8</v>
      </c>
      <c r="C1651" s="2">
        <v>0</v>
      </c>
      <c r="D1651" s="4" t="s">
        <v>5027</v>
      </c>
      <c r="E1651" s="2">
        <v>170671.8</v>
      </c>
      <c r="F1651" s="2">
        <v>31477.64</v>
      </c>
      <c r="G1651" s="2">
        <v>0</v>
      </c>
      <c r="H1651" s="4">
        <v>0</v>
      </c>
      <c r="I1651" s="4">
        <v>0</v>
      </c>
      <c r="J1651" s="4">
        <v>0</v>
      </c>
      <c r="K1651" s="4">
        <v>202149.44</v>
      </c>
      <c r="L1651" s="4" t="s">
        <v>5025</v>
      </c>
      <c r="M1651" s="4" t="s">
        <v>5026</v>
      </c>
      <c r="N1651" s="4" t="s">
        <v>20</v>
      </c>
      <c r="O1651" s="4" t="s">
        <v>1677</v>
      </c>
      <c r="P1651" s="4" t="s">
        <v>1677</v>
      </c>
      <c r="Q1651" s="8" t="s">
        <v>144</v>
      </c>
      <c r="R1651" s="9">
        <f t="shared" si="26"/>
        <v>2.9942187133229123E-6</v>
      </c>
      <c r="S1651" s="55">
        <f>Tabla3[[#This Row],[Subtotal]]/12</f>
        <v>14222.65</v>
      </c>
    </row>
    <row r="1652" spans="1:19" x14ac:dyDescent="0.2">
      <c r="A1652" s="4">
        <v>243</v>
      </c>
      <c r="B1652" s="2">
        <v>169072</v>
      </c>
      <c r="C1652" s="2">
        <v>0</v>
      </c>
      <c r="D1652" s="4" t="s">
        <v>5030</v>
      </c>
      <c r="E1652" s="2">
        <v>169072</v>
      </c>
      <c r="F1652" s="2">
        <v>32123.68</v>
      </c>
      <c r="G1652" s="2">
        <v>0</v>
      </c>
      <c r="H1652" s="4">
        <v>0</v>
      </c>
      <c r="I1652" s="4">
        <v>0</v>
      </c>
      <c r="J1652" s="4">
        <v>0</v>
      </c>
      <c r="K1652" s="4">
        <v>201195.68</v>
      </c>
      <c r="L1652" s="4" t="s">
        <v>5028</v>
      </c>
      <c r="M1652" s="4" t="s">
        <v>5029</v>
      </c>
      <c r="N1652" s="4"/>
      <c r="O1652" s="4" t="s">
        <v>3938</v>
      </c>
      <c r="P1652" s="4" t="s">
        <v>3938</v>
      </c>
      <c r="Q1652" s="8" t="s">
        <v>1378</v>
      </c>
      <c r="R1652" s="9">
        <f t="shared" si="26"/>
        <v>2.9661522659216782E-6</v>
      </c>
      <c r="S1652" s="55">
        <f>Tabla3[[#This Row],[Subtotal]]/12</f>
        <v>14089.333333333334</v>
      </c>
    </row>
    <row r="1653" spans="1:19" x14ac:dyDescent="0.2">
      <c r="A1653" s="4">
        <v>299</v>
      </c>
      <c r="B1653" s="2">
        <v>169072</v>
      </c>
      <c r="C1653" s="2">
        <v>0</v>
      </c>
      <c r="D1653" s="4" t="s">
        <v>5033</v>
      </c>
      <c r="E1653" s="2">
        <v>169072</v>
      </c>
      <c r="F1653" s="2">
        <v>32123.68</v>
      </c>
      <c r="G1653" s="2">
        <v>0</v>
      </c>
      <c r="H1653" s="4">
        <v>0</v>
      </c>
      <c r="I1653" s="4">
        <v>0</v>
      </c>
      <c r="J1653" s="4">
        <v>0</v>
      </c>
      <c r="K1653" s="4">
        <v>201195.68</v>
      </c>
      <c r="L1653" s="4" t="s">
        <v>5031</v>
      </c>
      <c r="M1653" s="4" t="s">
        <v>5032</v>
      </c>
      <c r="N1653" s="4" t="s">
        <v>1421</v>
      </c>
      <c r="O1653" s="4" t="s">
        <v>3938</v>
      </c>
      <c r="P1653" s="4" t="s">
        <v>3938</v>
      </c>
      <c r="Q1653" s="8" t="s">
        <v>1378</v>
      </c>
      <c r="R1653" s="9">
        <f t="shared" si="26"/>
        <v>2.9661522659216782E-6</v>
      </c>
      <c r="S1653" s="55">
        <f>Tabla3[[#This Row],[Subtotal]]/12</f>
        <v>14089.333333333334</v>
      </c>
    </row>
    <row r="1654" spans="1:19" x14ac:dyDescent="0.2">
      <c r="A1654" s="4">
        <v>57</v>
      </c>
      <c r="B1654" s="2">
        <v>168235.3</v>
      </c>
      <c r="C1654" s="2">
        <v>0</v>
      </c>
      <c r="D1654" s="4" t="s">
        <v>5036</v>
      </c>
      <c r="E1654" s="2">
        <v>168235.3</v>
      </c>
      <c r="F1654" s="2">
        <v>31014.71</v>
      </c>
      <c r="G1654" s="2">
        <v>0</v>
      </c>
      <c r="H1654" s="4">
        <v>0</v>
      </c>
      <c r="I1654" s="4">
        <v>0</v>
      </c>
      <c r="J1654" s="4">
        <v>0</v>
      </c>
      <c r="K1654" s="4">
        <v>199250.01</v>
      </c>
      <c r="L1654" s="4" t="s">
        <v>5034</v>
      </c>
      <c r="M1654" s="4" t="s">
        <v>5035</v>
      </c>
      <c r="N1654" s="4" t="s">
        <v>20</v>
      </c>
      <c r="O1654" s="4" t="s">
        <v>1677</v>
      </c>
      <c r="P1654" s="4" t="s">
        <v>1677</v>
      </c>
      <c r="Q1654" s="8" t="s">
        <v>144</v>
      </c>
      <c r="R1654" s="9">
        <f t="shared" si="26"/>
        <v>2.9514734332297083E-6</v>
      </c>
      <c r="S1654" s="55">
        <f>Tabla3[[#This Row],[Subtotal]]/12</f>
        <v>14019.608333333332</v>
      </c>
    </row>
    <row r="1655" spans="1:19" x14ac:dyDescent="0.2">
      <c r="A1655" s="4">
        <v>932</v>
      </c>
      <c r="B1655" s="2">
        <v>166889.79999999999</v>
      </c>
      <c r="C1655" s="2">
        <v>0</v>
      </c>
      <c r="D1655" s="4" t="s">
        <v>5039</v>
      </c>
      <c r="E1655" s="2">
        <v>166889.79999999999</v>
      </c>
      <c r="F1655" s="2">
        <v>30759.06</v>
      </c>
      <c r="G1655" s="2">
        <v>0</v>
      </c>
      <c r="H1655" s="4">
        <v>0</v>
      </c>
      <c r="I1655" s="4">
        <v>0</v>
      </c>
      <c r="J1655" s="4">
        <v>0</v>
      </c>
      <c r="K1655" s="4">
        <v>197648.86</v>
      </c>
      <c r="L1655" s="4" t="s">
        <v>5037</v>
      </c>
      <c r="M1655" s="4" t="s">
        <v>5038</v>
      </c>
      <c r="N1655" s="4" t="s">
        <v>20</v>
      </c>
      <c r="O1655" s="4" t="s">
        <v>1677</v>
      </c>
      <c r="P1655" s="4" t="s">
        <v>1677</v>
      </c>
      <c r="Q1655" s="8" t="s">
        <v>144</v>
      </c>
      <c r="R1655" s="9">
        <f t="shared" si="26"/>
        <v>2.9278683544833896E-6</v>
      </c>
      <c r="S1655" s="55">
        <f>Tabla3[[#This Row],[Subtotal]]/12</f>
        <v>13907.483333333332</v>
      </c>
    </row>
    <row r="1656" spans="1:19" x14ac:dyDescent="0.2">
      <c r="A1656" s="4">
        <v>1742</v>
      </c>
      <c r="B1656" s="2">
        <v>164705.9</v>
      </c>
      <c r="C1656" s="2">
        <v>0</v>
      </c>
      <c r="D1656" s="4" t="s">
        <v>5042</v>
      </c>
      <c r="E1656" s="2">
        <v>164705.9</v>
      </c>
      <c r="F1656" s="2">
        <v>31294.12</v>
      </c>
      <c r="G1656" s="2">
        <v>0</v>
      </c>
      <c r="H1656" s="4">
        <v>0</v>
      </c>
      <c r="I1656" s="4">
        <v>0</v>
      </c>
      <c r="J1656" s="4">
        <v>0</v>
      </c>
      <c r="K1656" s="4">
        <v>196000.02</v>
      </c>
      <c r="L1656" s="4" t="s">
        <v>5040</v>
      </c>
      <c r="M1656" s="4" t="s">
        <v>5041</v>
      </c>
      <c r="N1656" s="4" t="s">
        <v>20</v>
      </c>
      <c r="O1656" s="4" t="s">
        <v>1677</v>
      </c>
      <c r="P1656" s="4" t="s">
        <v>1677</v>
      </c>
      <c r="Q1656" s="8" t="s">
        <v>144</v>
      </c>
      <c r="R1656" s="9">
        <f t="shared" si="26"/>
        <v>2.8895546187166963E-6</v>
      </c>
      <c r="S1656" s="55">
        <f>Tabla3[[#This Row],[Subtotal]]/12</f>
        <v>13725.491666666667</v>
      </c>
    </row>
    <row r="1657" spans="1:19" x14ac:dyDescent="0.2">
      <c r="A1657" s="4">
        <v>546</v>
      </c>
      <c r="B1657" s="2">
        <v>164705.89000000001</v>
      </c>
      <c r="C1657" s="2">
        <v>0</v>
      </c>
      <c r="D1657" s="4" t="s">
        <v>5045</v>
      </c>
      <c r="E1657" s="2">
        <v>164705.89000000001</v>
      </c>
      <c r="F1657" s="2">
        <v>31294.12</v>
      </c>
      <c r="G1657" s="2">
        <v>0</v>
      </c>
      <c r="H1657" s="4">
        <v>0</v>
      </c>
      <c r="I1657" s="4">
        <v>0</v>
      </c>
      <c r="J1657" s="4">
        <v>0</v>
      </c>
      <c r="K1657" s="4">
        <v>196000.01</v>
      </c>
      <c r="L1657" s="4" t="s">
        <v>5043</v>
      </c>
      <c r="M1657" s="4" t="s">
        <v>5044</v>
      </c>
      <c r="N1657" s="4" t="s">
        <v>332</v>
      </c>
      <c r="O1657" s="4" t="s">
        <v>1677</v>
      </c>
      <c r="P1657" s="4" t="s">
        <v>1677</v>
      </c>
      <c r="Q1657" s="8" t="s">
        <v>144</v>
      </c>
      <c r="R1657" s="9">
        <f t="shared" si="26"/>
        <v>2.8895544432794707E-6</v>
      </c>
      <c r="S1657" s="55">
        <f>Tabla3[[#This Row],[Subtotal]]/12</f>
        <v>13725.490833333335</v>
      </c>
    </row>
    <row r="1658" spans="1:19" x14ac:dyDescent="0.2">
      <c r="A1658" s="4">
        <v>506</v>
      </c>
      <c r="B1658" s="2">
        <v>161341.32</v>
      </c>
      <c r="C1658" s="2">
        <v>0</v>
      </c>
      <c r="D1658" s="4" t="s">
        <v>5048</v>
      </c>
      <c r="E1658" s="2">
        <v>161341.32</v>
      </c>
      <c r="F1658" s="2">
        <v>30654.85</v>
      </c>
      <c r="G1658" s="2">
        <v>0</v>
      </c>
      <c r="H1658" s="4">
        <v>0</v>
      </c>
      <c r="I1658" s="4">
        <v>0</v>
      </c>
      <c r="J1658" s="4">
        <v>0</v>
      </c>
      <c r="K1658" s="4">
        <v>191996.17</v>
      </c>
      <c r="L1658" s="4" t="s">
        <v>5046</v>
      </c>
      <c r="M1658" s="4" t="s">
        <v>5047</v>
      </c>
      <c r="N1658" s="4" t="s">
        <v>20</v>
      </c>
      <c r="O1658" s="4" t="s">
        <v>1677</v>
      </c>
      <c r="P1658" s="4" t="s">
        <v>1677</v>
      </c>
      <c r="Q1658" s="8" t="s">
        <v>144</v>
      </c>
      <c r="R1658" s="9">
        <f t="shared" si="26"/>
        <v>2.8305273605611487E-6</v>
      </c>
      <c r="S1658" s="55">
        <f>Tabla3[[#This Row],[Subtotal]]/12</f>
        <v>13445.11</v>
      </c>
    </row>
    <row r="1659" spans="1:19" x14ac:dyDescent="0.2">
      <c r="A1659" s="4">
        <v>1493</v>
      </c>
      <c r="B1659" s="2">
        <v>160506</v>
      </c>
      <c r="C1659" s="2">
        <v>0</v>
      </c>
      <c r="D1659" s="4" t="s">
        <v>5051</v>
      </c>
      <c r="E1659" s="2">
        <v>160506</v>
      </c>
      <c r="F1659" s="2">
        <v>30496.14</v>
      </c>
      <c r="G1659" s="2">
        <v>0</v>
      </c>
      <c r="H1659" s="4">
        <v>0</v>
      </c>
      <c r="I1659" s="4">
        <v>0</v>
      </c>
      <c r="J1659" s="4">
        <v>0</v>
      </c>
      <c r="K1659" s="4">
        <v>191002.14</v>
      </c>
      <c r="L1659" s="4" t="s">
        <v>5049</v>
      </c>
      <c r="M1659" s="4" t="s">
        <v>5050</v>
      </c>
      <c r="N1659" s="4" t="s">
        <v>20</v>
      </c>
      <c r="O1659" s="4" t="s">
        <v>316</v>
      </c>
      <c r="P1659" s="4" t="s">
        <v>316</v>
      </c>
      <c r="Q1659" s="8" t="s">
        <v>100</v>
      </c>
      <c r="R1659" s="9">
        <f t="shared" si="26"/>
        <v>2.815872738206355E-6</v>
      </c>
      <c r="S1659" s="55">
        <f>Tabla3[[#This Row],[Subtotal]]/12</f>
        <v>13375.5</v>
      </c>
    </row>
    <row r="1660" spans="1:19" x14ac:dyDescent="0.2">
      <c r="A1660" s="4">
        <v>350</v>
      </c>
      <c r="B1660" s="2">
        <v>158257</v>
      </c>
      <c r="C1660" s="2">
        <v>0</v>
      </c>
      <c r="D1660" s="4" t="s">
        <v>5054</v>
      </c>
      <c r="E1660" s="2">
        <v>158257</v>
      </c>
      <c r="F1660" s="2">
        <v>30068.83</v>
      </c>
      <c r="G1660" s="2">
        <v>0</v>
      </c>
      <c r="H1660" s="4">
        <v>0</v>
      </c>
      <c r="I1660" s="4">
        <v>0</v>
      </c>
      <c r="J1660" s="4">
        <v>0</v>
      </c>
      <c r="K1660" s="4">
        <v>188325.83</v>
      </c>
      <c r="L1660" s="4" t="s">
        <v>5052</v>
      </c>
      <c r="M1660" s="4" t="s">
        <v>5053</v>
      </c>
      <c r="N1660" s="4" t="s">
        <v>20</v>
      </c>
      <c r="O1660" s="4" t="s">
        <v>631</v>
      </c>
      <c r="P1660" s="4" t="s">
        <v>631</v>
      </c>
      <c r="Q1660" s="8" t="s">
        <v>100</v>
      </c>
      <c r="R1660" s="9">
        <f t="shared" si="26"/>
        <v>2.7764169060989817E-6</v>
      </c>
      <c r="S1660" s="55">
        <f>Tabla3[[#This Row],[Subtotal]]/12</f>
        <v>13188.083333333334</v>
      </c>
    </row>
    <row r="1661" spans="1:19" x14ac:dyDescent="0.2">
      <c r="A1661" s="4">
        <v>988</v>
      </c>
      <c r="B1661" s="2">
        <v>156764</v>
      </c>
      <c r="C1661" s="2">
        <v>0</v>
      </c>
      <c r="D1661" s="4" t="s">
        <v>5057</v>
      </c>
      <c r="E1661" s="2">
        <v>156764</v>
      </c>
      <c r="F1661" s="2">
        <v>28835.16</v>
      </c>
      <c r="G1661" s="2">
        <v>0</v>
      </c>
      <c r="H1661" s="4">
        <v>0</v>
      </c>
      <c r="I1661" s="4">
        <v>0</v>
      </c>
      <c r="J1661" s="4">
        <v>0</v>
      </c>
      <c r="K1661" s="4">
        <v>185599.16</v>
      </c>
      <c r="L1661" s="4" t="s">
        <v>5055</v>
      </c>
      <c r="M1661" s="4" t="s">
        <v>5056</v>
      </c>
      <c r="N1661" s="4" t="s">
        <v>20</v>
      </c>
      <c r="O1661" s="4" t="s">
        <v>1677</v>
      </c>
      <c r="P1661" s="4" t="s">
        <v>1677</v>
      </c>
      <c r="Q1661" s="8" t="s">
        <v>144</v>
      </c>
      <c r="R1661" s="9">
        <f t="shared" si="26"/>
        <v>2.7502241282704761E-6</v>
      </c>
      <c r="S1661" s="55">
        <f>Tabla3[[#This Row],[Subtotal]]/12</f>
        <v>13063.666666666666</v>
      </c>
    </row>
    <row r="1662" spans="1:19" x14ac:dyDescent="0.2">
      <c r="A1662" s="4">
        <v>123</v>
      </c>
      <c r="B1662" s="2">
        <v>156018</v>
      </c>
      <c r="C1662" s="2">
        <v>0</v>
      </c>
      <c r="D1662" s="4" t="s">
        <v>5060</v>
      </c>
      <c r="E1662" s="2">
        <v>156018</v>
      </c>
      <c r="F1662" s="2">
        <v>27363.42</v>
      </c>
      <c r="G1662" s="2">
        <v>0</v>
      </c>
      <c r="H1662" s="4">
        <v>0</v>
      </c>
      <c r="I1662" s="4">
        <v>0</v>
      </c>
      <c r="J1662" s="4">
        <v>0</v>
      </c>
      <c r="K1662" s="4">
        <v>183381.42</v>
      </c>
      <c r="L1662" s="4" t="s">
        <v>5058</v>
      </c>
      <c r="M1662" s="4" t="s">
        <v>5059</v>
      </c>
      <c r="N1662" s="4" t="s">
        <v>20</v>
      </c>
      <c r="O1662" s="4" t="s">
        <v>2863</v>
      </c>
      <c r="P1662" s="4" t="s">
        <v>2863</v>
      </c>
      <c r="Q1662" s="8" t="s">
        <v>100</v>
      </c>
      <c r="R1662" s="9">
        <f t="shared" si="26"/>
        <v>2.7371365112175189E-6</v>
      </c>
      <c r="S1662" s="55">
        <f>Tabla3[[#This Row],[Subtotal]]/12</f>
        <v>13001.5</v>
      </c>
    </row>
    <row r="1663" spans="1:19" x14ac:dyDescent="0.2">
      <c r="A1663" s="4">
        <v>178</v>
      </c>
      <c r="B1663" s="2">
        <v>153938</v>
      </c>
      <c r="C1663" s="2">
        <v>0</v>
      </c>
      <c r="D1663" s="4" t="s">
        <v>5063</v>
      </c>
      <c r="E1663" s="2">
        <v>153938</v>
      </c>
      <c r="F1663" s="2">
        <v>29248.22</v>
      </c>
      <c r="G1663" s="2">
        <v>0</v>
      </c>
      <c r="H1663" s="4">
        <v>0</v>
      </c>
      <c r="I1663" s="4">
        <v>0</v>
      </c>
      <c r="J1663" s="4">
        <v>0</v>
      </c>
      <c r="K1663" s="4">
        <v>183186.22</v>
      </c>
      <c r="L1663" s="4" t="s">
        <v>5061</v>
      </c>
      <c r="M1663" s="4" t="s">
        <v>5062</v>
      </c>
      <c r="N1663" s="4" t="s">
        <v>20</v>
      </c>
      <c r="O1663" s="4" t="s">
        <v>1356</v>
      </c>
      <c r="P1663" s="4" t="s">
        <v>1356</v>
      </c>
      <c r="Q1663" s="8" t="s">
        <v>100</v>
      </c>
      <c r="R1663" s="9">
        <f t="shared" si="26"/>
        <v>2.7006455682280405E-6</v>
      </c>
      <c r="S1663" s="55">
        <f>Tabla3[[#This Row],[Subtotal]]/12</f>
        <v>12828.166666666666</v>
      </c>
    </row>
    <row r="1664" spans="1:19" x14ac:dyDescent="0.2">
      <c r="A1664" s="4">
        <v>175</v>
      </c>
      <c r="B1664" s="2">
        <v>148614</v>
      </c>
      <c r="C1664" s="2">
        <v>0</v>
      </c>
      <c r="D1664" s="4" t="s">
        <v>5066</v>
      </c>
      <c r="E1664" s="2">
        <v>148614</v>
      </c>
      <c r="F1664" s="2">
        <v>28236.66</v>
      </c>
      <c r="G1664" s="2">
        <v>0</v>
      </c>
      <c r="H1664" s="4">
        <v>0</v>
      </c>
      <c r="I1664" s="4">
        <v>0</v>
      </c>
      <c r="J1664" s="4">
        <v>0</v>
      </c>
      <c r="K1664" s="4">
        <v>176850.66</v>
      </c>
      <c r="L1664" s="4" t="s">
        <v>5064</v>
      </c>
      <c r="M1664" s="4" t="s">
        <v>5065</v>
      </c>
      <c r="N1664" s="4" t="s">
        <v>1143</v>
      </c>
      <c r="O1664" s="4" t="s">
        <v>340</v>
      </c>
      <c r="P1664" s="4" t="s">
        <v>340</v>
      </c>
      <c r="Q1664" s="8" t="s">
        <v>100</v>
      </c>
      <c r="R1664" s="9">
        <f t="shared" si="26"/>
        <v>2.6072427891530486E-6</v>
      </c>
      <c r="S1664" s="55">
        <f>Tabla3[[#This Row],[Subtotal]]/12</f>
        <v>12384.5</v>
      </c>
    </row>
    <row r="1665" spans="1:19" x14ac:dyDescent="0.2">
      <c r="A1665" s="4">
        <v>825</v>
      </c>
      <c r="B1665" s="2">
        <v>147590</v>
      </c>
      <c r="C1665" s="2">
        <v>0</v>
      </c>
      <c r="D1665" s="4" t="s">
        <v>5069</v>
      </c>
      <c r="E1665" s="2">
        <v>147590</v>
      </c>
      <c r="F1665" s="2">
        <v>28042.1</v>
      </c>
      <c r="G1665" s="2">
        <v>0</v>
      </c>
      <c r="H1665" s="4">
        <v>0</v>
      </c>
      <c r="I1665" s="4">
        <v>0</v>
      </c>
      <c r="J1665" s="4">
        <v>0</v>
      </c>
      <c r="K1665" s="4">
        <v>175632.1</v>
      </c>
      <c r="L1665" s="4" t="s">
        <v>5067</v>
      </c>
      <c r="M1665" s="4" t="s">
        <v>5068</v>
      </c>
      <c r="N1665" s="4" t="s">
        <v>20</v>
      </c>
      <c r="O1665" s="4" t="s">
        <v>3938</v>
      </c>
      <c r="P1665" s="4" t="s">
        <v>3938</v>
      </c>
      <c r="Q1665" s="8" t="s">
        <v>1378</v>
      </c>
      <c r="R1665" s="9">
        <f t="shared" si="26"/>
        <v>2.5892780172197671E-6</v>
      </c>
      <c r="S1665" s="55">
        <f>Tabla3[[#This Row],[Subtotal]]/12</f>
        <v>12299.166666666666</v>
      </c>
    </row>
    <row r="1666" spans="1:19" x14ac:dyDescent="0.2">
      <c r="A1666" s="4">
        <v>1164</v>
      </c>
      <c r="B1666" s="2">
        <v>147479.42000000001</v>
      </c>
      <c r="C1666" s="2">
        <v>0</v>
      </c>
      <c r="D1666" s="4" t="s">
        <v>5072</v>
      </c>
      <c r="E1666" s="2">
        <v>147479.42000000001</v>
      </c>
      <c r="F1666" s="2">
        <v>27071.09</v>
      </c>
      <c r="G1666" s="2">
        <v>0</v>
      </c>
      <c r="H1666" s="4">
        <v>0</v>
      </c>
      <c r="I1666" s="4">
        <v>0</v>
      </c>
      <c r="J1666" s="4">
        <v>0</v>
      </c>
      <c r="K1666" s="4">
        <v>174550.51</v>
      </c>
      <c r="L1666" s="4" t="s">
        <v>5070</v>
      </c>
      <c r="M1666" s="4" t="s">
        <v>5071</v>
      </c>
      <c r="N1666" s="4" t="s">
        <v>20</v>
      </c>
      <c r="O1666" s="4" t="s">
        <v>1677</v>
      </c>
      <c r="P1666" s="4" t="s">
        <v>1677</v>
      </c>
      <c r="Q1666" s="8" t="s">
        <v>144</v>
      </c>
      <c r="R1666" s="9">
        <f t="shared" si="26"/>
        <v>2.587338032375644E-6</v>
      </c>
      <c r="S1666" s="55">
        <f>Tabla3[[#This Row],[Subtotal]]/12</f>
        <v>12289.951666666668</v>
      </c>
    </row>
    <row r="1667" spans="1:19" x14ac:dyDescent="0.2">
      <c r="A1667" s="4">
        <v>532</v>
      </c>
      <c r="B1667" s="2">
        <v>141722.69</v>
      </c>
      <c r="C1667" s="2">
        <v>0</v>
      </c>
      <c r="D1667" s="4" t="s">
        <v>5075</v>
      </c>
      <c r="E1667" s="2">
        <v>141722.69</v>
      </c>
      <c r="F1667" s="2">
        <v>26927.31</v>
      </c>
      <c r="G1667" s="2">
        <v>0</v>
      </c>
      <c r="H1667" s="4">
        <v>0</v>
      </c>
      <c r="I1667" s="4">
        <v>0</v>
      </c>
      <c r="J1667" s="4">
        <v>0</v>
      </c>
      <c r="K1667" s="4">
        <v>168650</v>
      </c>
      <c r="L1667" s="4" t="s">
        <v>5073</v>
      </c>
      <c r="M1667" s="4" t="s">
        <v>5074</v>
      </c>
      <c r="N1667" s="4" t="s">
        <v>20</v>
      </c>
      <c r="O1667" s="4" t="s">
        <v>1677</v>
      </c>
      <c r="P1667" s="4" t="s">
        <v>1677</v>
      </c>
      <c r="Q1667" s="8" t="s">
        <v>144</v>
      </c>
      <c r="R1667" s="9">
        <f t="shared" ref="R1667:R1730" si="27">E1667/$E$1757</f>
        <v>2.4863435582238073E-6</v>
      </c>
      <c r="S1667" s="55">
        <f>Tabla3[[#This Row],[Subtotal]]/12</f>
        <v>11810.224166666667</v>
      </c>
    </row>
    <row r="1668" spans="1:19" x14ac:dyDescent="0.2">
      <c r="A1668" s="4">
        <v>94</v>
      </c>
      <c r="B1668" s="2">
        <v>140688</v>
      </c>
      <c r="C1668" s="2">
        <v>0</v>
      </c>
      <c r="D1668" s="4" t="s">
        <v>5078</v>
      </c>
      <c r="E1668" s="2">
        <v>140688</v>
      </c>
      <c r="F1668" s="2">
        <v>26730.720000000001</v>
      </c>
      <c r="G1668" s="2">
        <v>0</v>
      </c>
      <c r="H1668" s="4">
        <v>0</v>
      </c>
      <c r="I1668" s="4">
        <v>0</v>
      </c>
      <c r="J1668" s="4">
        <v>0</v>
      </c>
      <c r="K1668" s="4">
        <v>167418.72</v>
      </c>
      <c r="L1668" s="4" t="s">
        <v>5076</v>
      </c>
      <c r="M1668" s="4" t="s">
        <v>5077</v>
      </c>
      <c r="N1668" s="4" t="s">
        <v>20</v>
      </c>
      <c r="O1668" s="4" t="s">
        <v>316</v>
      </c>
      <c r="P1668" s="4" t="s">
        <v>316</v>
      </c>
      <c r="Q1668" s="8" t="s">
        <v>100</v>
      </c>
      <c r="R1668" s="9">
        <f t="shared" si="27"/>
        <v>2.4681912438960266E-6</v>
      </c>
      <c r="S1668" s="55">
        <f>Tabla3[[#This Row],[Subtotal]]/12</f>
        <v>11724</v>
      </c>
    </row>
    <row r="1669" spans="1:19" x14ac:dyDescent="0.2">
      <c r="A1669" s="4">
        <v>1247</v>
      </c>
      <c r="B1669" s="2">
        <v>137773.1</v>
      </c>
      <c r="C1669" s="2">
        <v>0</v>
      </c>
      <c r="D1669" s="4" t="s">
        <v>5081</v>
      </c>
      <c r="E1669" s="2">
        <v>137773.1</v>
      </c>
      <c r="F1669" s="2">
        <v>26176.89</v>
      </c>
      <c r="G1669" s="2">
        <v>0</v>
      </c>
      <c r="H1669" s="4">
        <v>0</v>
      </c>
      <c r="I1669" s="4">
        <v>0</v>
      </c>
      <c r="J1669" s="4">
        <v>0</v>
      </c>
      <c r="K1669" s="4">
        <v>163949.99</v>
      </c>
      <c r="L1669" s="4" t="s">
        <v>5079</v>
      </c>
      <c r="M1669" s="4" t="s">
        <v>5080</v>
      </c>
      <c r="N1669" s="4" t="s">
        <v>20</v>
      </c>
      <c r="O1669" s="4" t="s">
        <v>1677</v>
      </c>
      <c r="P1669" s="4" t="s">
        <v>1677</v>
      </c>
      <c r="Q1669" s="8" t="s">
        <v>144</v>
      </c>
      <c r="R1669" s="9">
        <f t="shared" si="27"/>
        <v>2.4170530469152431E-6</v>
      </c>
      <c r="S1669" s="55">
        <f>Tabla3[[#This Row],[Subtotal]]/12</f>
        <v>11481.091666666667</v>
      </c>
    </row>
    <row r="1670" spans="1:19" x14ac:dyDescent="0.2">
      <c r="A1670" s="4">
        <v>1244</v>
      </c>
      <c r="B1670" s="2">
        <v>134369.20000000001</v>
      </c>
      <c r="C1670" s="2">
        <v>0</v>
      </c>
      <c r="D1670" s="4" t="s">
        <v>5084</v>
      </c>
      <c r="E1670" s="2">
        <v>134369.20000000001</v>
      </c>
      <c r="F1670" s="2">
        <v>25530.15</v>
      </c>
      <c r="G1670" s="2">
        <v>0</v>
      </c>
      <c r="H1670" s="4">
        <v>0</v>
      </c>
      <c r="I1670" s="4">
        <v>0</v>
      </c>
      <c r="J1670" s="4">
        <v>0</v>
      </c>
      <c r="K1670" s="4">
        <v>159899.35</v>
      </c>
      <c r="L1670" s="4" t="s">
        <v>5082</v>
      </c>
      <c r="M1670" s="4" t="s">
        <v>5083</v>
      </c>
      <c r="N1670" s="4" t="s">
        <v>20</v>
      </c>
      <c r="O1670" s="4" t="s">
        <v>1677</v>
      </c>
      <c r="P1670" s="4" t="s">
        <v>1677</v>
      </c>
      <c r="Q1670" s="8" t="s">
        <v>144</v>
      </c>
      <c r="R1670" s="9">
        <f t="shared" si="27"/>
        <v>2.3573359695874133E-6</v>
      </c>
      <c r="S1670" s="55">
        <f>Tabla3[[#This Row],[Subtotal]]/12</f>
        <v>11197.433333333334</v>
      </c>
    </row>
    <row r="1671" spans="1:19" x14ac:dyDescent="0.2">
      <c r="A1671" s="4">
        <v>1291</v>
      </c>
      <c r="B1671" s="2">
        <v>133613.45000000001</v>
      </c>
      <c r="C1671" s="2">
        <v>0</v>
      </c>
      <c r="D1671" s="4" t="s">
        <v>5087</v>
      </c>
      <c r="E1671" s="2">
        <v>133613.45000000001</v>
      </c>
      <c r="F1671" s="2">
        <v>25386.560000000001</v>
      </c>
      <c r="G1671" s="2">
        <v>0</v>
      </c>
      <c r="H1671" s="4">
        <v>0</v>
      </c>
      <c r="I1671" s="4">
        <v>0</v>
      </c>
      <c r="J1671" s="4">
        <v>0</v>
      </c>
      <c r="K1671" s="4">
        <v>159000.01</v>
      </c>
      <c r="L1671" s="4" t="s">
        <v>5085</v>
      </c>
      <c r="M1671" s="4" t="s">
        <v>5086</v>
      </c>
      <c r="N1671" s="4" t="s">
        <v>20</v>
      </c>
      <c r="O1671" s="4" t="s">
        <v>1677</v>
      </c>
      <c r="P1671" s="4" t="s">
        <v>1677</v>
      </c>
      <c r="Q1671" s="8" t="s">
        <v>144</v>
      </c>
      <c r="R1671" s="9">
        <f t="shared" si="27"/>
        <v>2.3440773012391931E-6</v>
      </c>
      <c r="S1671" s="55">
        <f>Tabla3[[#This Row],[Subtotal]]/12</f>
        <v>11134.454166666668</v>
      </c>
    </row>
    <row r="1672" spans="1:19" x14ac:dyDescent="0.2">
      <c r="A1672" s="4">
        <v>371</v>
      </c>
      <c r="B1672" s="2">
        <v>118403.36</v>
      </c>
      <c r="C1672" s="2">
        <v>0</v>
      </c>
      <c r="D1672" s="4" t="s">
        <v>5090</v>
      </c>
      <c r="E1672" s="2">
        <v>118403.36</v>
      </c>
      <c r="F1672" s="2">
        <v>22496.639999999999</v>
      </c>
      <c r="G1672" s="2">
        <v>0</v>
      </c>
      <c r="H1672" s="4">
        <v>0</v>
      </c>
      <c r="I1672" s="4">
        <v>0</v>
      </c>
      <c r="J1672" s="4">
        <v>0</v>
      </c>
      <c r="K1672" s="4">
        <v>140900</v>
      </c>
      <c r="L1672" s="4" t="s">
        <v>5088</v>
      </c>
      <c r="M1672" s="4" t="s">
        <v>5089</v>
      </c>
      <c r="N1672" s="4" t="s">
        <v>332</v>
      </c>
      <c r="O1672" s="4" t="s">
        <v>1677</v>
      </c>
      <c r="P1672" s="4" t="s">
        <v>1677</v>
      </c>
      <c r="Q1672" s="8" t="s">
        <v>144</v>
      </c>
      <c r="R1672" s="9">
        <f t="shared" si="27"/>
        <v>2.0772357016935989E-6</v>
      </c>
      <c r="S1672" s="55">
        <f>Tabla3[[#This Row],[Subtotal]]/12</f>
        <v>9866.9466666666667</v>
      </c>
    </row>
    <row r="1673" spans="1:19" x14ac:dyDescent="0.2">
      <c r="A1673" s="4">
        <v>500</v>
      </c>
      <c r="B1673" s="2">
        <v>115684.85</v>
      </c>
      <c r="C1673" s="2">
        <v>0</v>
      </c>
      <c r="D1673" s="4" t="s">
        <v>5093</v>
      </c>
      <c r="E1673" s="2">
        <v>115684.85</v>
      </c>
      <c r="F1673" s="2">
        <v>21980.12</v>
      </c>
      <c r="G1673" s="2">
        <v>0</v>
      </c>
      <c r="H1673" s="4">
        <v>0</v>
      </c>
      <c r="I1673" s="4">
        <v>0</v>
      </c>
      <c r="J1673" s="4">
        <v>0</v>
      </c>
      <c r="K1673" s="4">
        <v>137664.97</v>
      </c>
      <c r="L1673" s="4" t="s">
        <v>5091</v>
      </c>
      <c r="M1673" s="4" t="s">
        <v>5092</v>
      </c>
      <c r="N1673" s="4" t="s">
        <v>20</v>
      </c>
      <c r="O1673" s="4" t="s">
        <v>900</v>
      </c>
      <c r="P1673" s="4" t="s">
        <v>900</v>
      </c>
      <c r="Q1673" s="8" t="s">
        <v>144</v>
      </c>
      <c r="R1673" s="9">
        <f t="shared" si="27"/>
        <v>2.0295429163924804E-6</v>
      </c>
      <c r="S1673" s="55">
        <f>Tabla3[[#This Row],[Subtotal]]/12</f>
        <v>9640.4041666666672</v>
      </c>
    </row>
    <row r="1674" spans="1:19" x14ac:dyDescent="0.2">
      <c r="A1674" s="4">
        <v>1290</v>
      </c>
      <c r="B1674" s="2">
        <v>112857.2</v>
      </c>
      <c r="C1674" s="2">
        <v>0</v>
      </c>
      <c r="D1674" s="4" t="s">
        <v>5096</v>
      </c>
      <c r="E1674" s="2">
        <v>112857.2</v>
      </c>
      <c r="F1674" s="2">
        <v>21442.87</v>
      </c>
      <c r="G1674" s="2">
        <v>0</v>
      </c>
      <c r="H1674" s="4">
        <v>0</v>
      </c>
      <c r="I1674" s="4">
        <v>0</v>
      </c>
      <c r="J1674" s="4">
        <v>0</v>
      </c>
      <c r="K1674" s="4">
        <v>134300.07</v>
      </c>
      <c r="L1674" s="4" t="s">
        <v>5094</v>
      </c>
      <c r="M1674" s="4" t="s">
        <v>5095</v>
      </c>
      <c r="N1674" s="4" t="s">
        <v>20</v>
      </c>
      <c r="O1674" s="4" t="s">
        <v>1677</v>
      </c>
      <c r="P1674" s="4" t="s">
        <v>1677</v>
      </c>
      <c r="Q1674" s="8" t="s">
        <v>144</v>
      </c>
      <c r="R1674" s="9">
        <f t="shared" si="27"/>
        <v>1.9799354092077695E-6</v>
      </c>
      <c r="S1674" s="55">
        <f>Tabla3[[#This Row],[Subtotal]]/12</f>
        <v>9404.7666666666664</v>
      </c>
    </row>
    <row r="1675" spans="1:19" x14ac:dyDescent="0.2">
      <c r="A1675" s="4">
        <v>204</v>
      </c>
      <c r="B1675" s="2">
        <v>112786</v>
      </c>
      <c r="C1675" s="2">
        <v>0</v>
      </c>
      <c r="D1675" s="4" t="s">
        <v>5099</v>
      </c>
      <c r="E1675" s="2">
        <v>112786</v>
      </c>
      <c r="F1675" s="2">
        <v>19149.34</v>
      </c>
      <c r="G1675" s="2">
        <v>0</v>
      </c>
      <c r="H1675" s="4">
        <v>0</v>
      </c>
      <c r="I1675" s="4">
        <v>0</v>
      </c>
      <c r="J1675" s="4">
        <v>0</v>
      </c>
      <c r="K1675" s="4">
        <v>131935.34</v>
      </c>
      <c r="L1675" s="4" t="s">
        <v>5097</v>
      </c>
      <c r="M1675" s="4" t="s">
        <v>5098</v>
      </c>
      <c r="N1675" s="4" t="s">
        <v>20</v>
      </c>
      <c r="O1675" s="4" t="s">
        <v>2863</v>
      </c>
      <c r="P1675" s="4" t="s">
        <v>2863</v>
      </c>
      <c r="Q1675" s="8" t="s">
        <v>1378</v>
      </c>
      <c r="R1675" s="9">
        <f t="shared" si="27"/>
        <v>1.9786862961592833E-6</v>
      </c>
      <c r="S1675" s="55">
        <f>Tabla3[[#This Row],[Subtotal]]/12</f>
        <v>9398.8333333333339</v>
      </c>
    </row>
    <row r="1676" spans="1:19" x14ac:dyDescent="0.2">
      <c r="A1676" s="4">
        <v>872</v>
      </c>
      <c r="B1676" s="2">
        <v>111638</v>
      </c>
      <c r="C1676" s="2">
        <v>0</v>
      </c>
      <c r="D1676" s="4" t="s">
        <v>5102</v>
      </c>
      <c r="E1676" s="2">
        <v>111638</v>
      </c>
      <c r="F1676" s="2">
        <v>20261.22</v>
      </c>
      <c r="G1676" s="2">
        <v>0</v>
      </c>
      <c r="H1676" s="4">
        <v>0</v>
      </c>
      <c r="I1676" s="4">
        <v>0</v>
      </c>
      <c r="J1676" s="4">
        <v>0</v>
      </c>
      <c r="K1676" s="4">
        <v>131899.22</v>
      </c>
      <c r="L1676" s="4" t="s">
        <v>5100</v>
      </c>
      <c r="M1676" s="4" t="s">
        <v>5101</v>
      </c>
      <c r="N1676" s="4" t="s">
        <v>20</v>
      </c>
      <c r="O1676" s="4" t="s">
        <v>1677</v>
      </c>
      <c r="P1676" s="4" t="s">
        <v>900</v>
      </c>
      <c r="Q1676" s="8" t="s">
        <v>144</v>
      </c>
      <c r="R1676" s="9">
        <f t="shared" si="27"/>
        <v>1.958546102624706E-6</v>
      </c>
      <c r="S1676" s="55">
        <f>Tabla3[[#This Row],[Subtotal]]/12</f>
        <v>9303.1666666666661</v>
      </c>
    </row>
    <row r="1677" spans="1:19" x14ac:dyDescent="0.2">
      <c r="A1677" s="4">
        <v>1315</v>
      </c>
      <c r="B1677" s="2">
        <v>108613.45</v>
      </c>
      <c r="C1677" s="2">
        <v>0</v>
      </c>
      <c r="D1677" s="4" t="s">
        <v>5105</v>
      </c>
      <c r="E1677" s="2">
        <v>108613.45</v>
      </c>
      <c r="F1677" s="2">
        <v>20636.560000000001</v>
      </c>
      <c r="G1677" s="2">
        <v>0</v>
      </c>
      <c r="H1677" s="4">
        <v>0</v>
      </c>
      <c r="I1677" s="4">
        <v>0</v>
      </c>
      <c r="J1677" s="4">
        <v>0</v>
      </c>
      <c r="K1677" s="4">
        <v>129250.01</v>
      </c>
      <c r="L1677" s="4" t="s">
        <v>5103</v>
      </c>
      <c r="M1677" s="4" t="s">
        <v>5104</v>
      </c>
      <c r="N1677" s="4" t="s">
        <v>20</v>
      </c>
      <c r="O1677" s="4" t="s">
        <v>1677</v>
      </c>
      <c r="P1677" s="4" t="s">
        <v>1677</v>
      </c>
      <c r="Q1677" s="8" t="s">
        <v>144</v>
      </c>
      <c r="R1677" s="9">
        <f t="shared" si="27"/>
        <v>1.9054842364618083E-6</v>
      </c>
      <c r="S1677" s="55">
        <f>Tabla3[[#This Row],[Subtotal]]/12</f>
        <v>9051.1208333333325</v>
      </c>
    </row>
    <row r="1678" spans="1:19" x14ac:dyDescent="0.2">
      <c r="A1678" s="4">
        <v>731</v>
      </c>
      <c r="B1678" s="2">
        <v>108403.35</v>
      </c>
      <c r="C1678" s="2">
        <v>0</v>
      </c>
      <c r="D1678" s="4" t="s">
        <v>5108</v>
      </c>
      <c r="E1678" s="2">
        <v>108403.35</v>
      </c>
      <c r="F1678" s="2">
        <v>19646.64</v>
      </c>
      <c r="G1678" s="2">
        <v>0</v>
      </c>
      <c r="H1678" s="4">
        <v>0</v>
      </c>
      <c r="I1678" s="4">
        <v>0</v>
      </c>
      <c r="J1678" s="4">
        <v>0</v>
      </c>
      <c r="K1678" s="4">
        <v>128049.99</v>
      </c>
      <c r="L1678" s="4" t="s">
        <v>5106</v>
      </c>
      <c r="M1678" s="4" t="s">
        <v>5107</v>
      </c>
      <c r="N1678" s="4" t="s">
        <v>20</v>
      </c>
      <c r="O1678" s="4" t="s">
        <v>1677</v>
      </c>
      <c r="P1678" s="4" t="s">
        <v>1677</v>
      </c>
      <c r="Q1678" s="8" t="s">
        <v>144</v>
      </c>
      <c r="R1678" s="9">
        <f t="shared" si="27"/>
        <v>1.9017983003454193E-6</v>
      </c>
      <c r="S1678" s="55">
        <f>Tabla3[[#This Row],[Subtotal]]/12</f>
        <v>9033.6125000000011</v>
      </c>
    </row>
    <row r="1679" spans="1:19" x14ac:dyDescent="0.2">
      <c r="A1679" s="4">
        <v>1511</v>
      </c>
      <c r="B1679" s="2">
        <v>107003</v>
      </c>
      <c r="C1679" s="2">
        <v>0</v>
      </c>
      <c r="D1679" s="4" t="s">
        <v>5111</v>
      </c>
      <c r="E1679" s="2">
        <v>107003</v>
      </c>
      <c r="F1679" s="2">
        <v>20330.57</v>
      </c>
      <c r="G1679" s="2">
        <v>0</v>
      </c>
      <c r="H1679" s="4">
        <v>0</v>
      </c>
      <c r="I1679" s="4">
        <v>0</v>
      </c>
      <c r="J1679" s="4">
        <v>0</v>
      </c>
      <c r="K1679" s="4">
        <v>127333.57</v>
      </c>
      <c r="L1679" s="4" t="s">
        <v>5109</v>
      </c>
      <c r="M1679" s="4" t="s">
        <v>5110</v>
      </c>
      <c r="N1679" s="4" t="s">
        <v>20</v>
      </c>
      <c r="O1679" s="4" t="s">
        <v>3938</v>
      </c>
      <c r="P1679" s="4" t="s">
        <v>3938</v>
      </c>
      <c r="Q1679" s="8" t="s">
        <v>1378</v>
      </c>
      <c r="R1679" s="9">
        <f t="shared" si="27"/>
        <v>1.8772309484149788E-6</v>
      </c>
      <c r="S1679" s="55">
        <f>Tabla3[[#This Row],[Subtotal]]/12</f>
        <v>8916.9166666666661</v>
      </c>
    </row>
    <row r="1680" spans="1:19" x14ac:dyDescent="0.2">
      <c r="A1680" s="4">
        <v>1119</v>
      </c>
      <c r="B1680" s="2">
        <v>106176</v>
      </c>
      <c r="C1680" s="2">
        <v>0</v>
      </c>
      <c r="D1680" s="4" t="s">
        <v>5114</v>
      </c>
      <c r="E1680" s="2">
        <v>106176</v>
      </c>
      <c r="F1680" s="2">
        <v>19223.439999999999</v>
      </c>
      <c r="G1680" s="2">
        <v>0</v>
      </c>
      <c r="H1680" s="4">
        <v>0</v>
      </c>
      <c r="I1680" s="4">
        <v>0</v>
      </c>
      <c r="J1680" s="4">
        <v>0</v>
      </c>
      <c r="K1680" s="4">
        <v>125399.44</v>
      </c>
      <c r="L1680" s="4" t="s">
        <v>5112</v>
      </c>
      <c r="M1680" s="4" t="s">
        <v>5113</v>
      </c>
      <c r="N1680" s="4" t="s">
        <v>20</v>
      </c>
      <c r="O1680" s="4" t="s">
        <v>1677</v>
      </c>
      <c r="P1680" s="4" t="s">
        <v>1677</v>
      </c>
      <c r="Q1680" s="8" t="s">
        <v>144</v>
      </c>
      <c r="R1680" s="9">
        <f t="shared" si="27"/>
        <v>1.862722289832143E-6</v>
      </c>
      <c r="S1680" s="55">
        <f>Tabla3[[#This Row],[Subtotal]]/12</f>
        <v>8848</v>
      </c>
    </row>
    <row r="1681" spans="1:19" x14ac:dyDescent="0.2">
      <c r="A1681" s="4">
        <v>1240</v>
      </c>
      <c r="B1681" s="2">
        <v>106176</v>
      </c>
      <c r="C1681" s="2">
        <v>0</v>
      </c>
      <c r="D1681" s="4" t="s">
        <v>5117</v>
      </c>
      <c r="E1681" s="2">
        <v>106176</v>
      </c>
      <c r="F1681" s="2">
        <v>19223.439999999999</v>
      </c>
      <c r="G1681" s="2">
        <v>0</v>
      </c>
      <c r="H1681" s="4">
        <v>0</v>
      </c>
      <c r="I1681" s="4">
        <v>0</v>
      </c>
      <c r="J1681" s="4">
        <v>0</v>
      </c>
      <c r="K1681" s="4">
        <v>125399.44</v>
      </c>
      <c r="L1681" s="4" t="s">
        <v>5115</v>
      </c>
      <c r="M1681" s="4" t="s">
        <v>5116</v>
      </c>
      <c r="N1681" s="4" t="s">
        <v>20</v>
      </c>
      <c r="O1681" s="4" t="s">
        <v>1677</v>
      </c>
      <c r="P1681" s="4" t="s">
        <v>1677</v>
      </c>
      <c r="Q1681" s="8" t="s">
        <v>144</v>
      </c>
      <c r="R1681" s="9">
        <f t="shared" si="27"/>
        <v>1.862722289832143E-6</v>
      </c>
      <c r="S1681" s="55">
        <f>Tabla3[[#This Row],[Subtotal]]/12</f>
        <v>8848</v>
      </c>
    </row>
    <row r="1682" spans="1:19" x14ac:dyDescent="0.2">
      <c r="A1682" s="4">
        <v>373</v>
      </c>
      <c r="B1682" s="2">
        <v>104031</v>
      </c>
      <c r="C1682" s="2">
        <v>0</v>
      </c>
      <c r="D1682" s="4" t="s">
        <v>5120</v>
      </c>
      <c r="E1682" s="2">
        <v>104031</v>
      </c>
      <c r="F1682" s="2">
        <v>19765.89</v>
      </c>
      <c r="G1682" s="2">
        <v>0</v>
      </c>
      <c r="H1682" s="4">
        <v>0</v>
      </c>
      <c r="I1682" s="4">
        <v>0</v>
      </c>
      <c r="J1682" s="4">
        <v>0</v>
      </c>
      <c r="K1682" s="4">
        <v>123796.89</v>
      </c>
      <c r="L1682" s="4" t="s">
        <v>5118</v>
      </c>
      <c r="M1682" s="4" t="s">
        <v>5119</v>
      </c>
      <c r="N1682" s="4" t="s">
        <v>20</v>
      </c>
      <c r="O1682" s="4" t="s">
        <v>1157</v>
      </c>
      <c r="P1682" s="4" t="s">
        <v>1157</v>
      </c>
      <c r="Q1682" s="8" t="s">
        <v>100</v>
      </c>
      <c r="R1682" s="9">
        <f t="shared" si="27"/>
        <v>1.8250910048742433E-6</v>
      </c>
      <c r="S1682" s="55">
        <f>Tabla3[[#This Row],[Subtotal]]/12</f>
        <v>8669.25</v>
      </c>
    </row>
    <row r="1683" spans="1:19" x14ac:dyDescent="0.2">
      <c r="A1683" s="4">
        <v>1751</v>
      </c>
      <c r="B1683" s="2">
        <v>103403.5</v>
      </c>
      <c r="C1683" s="2">
        <v>0</v>
      </c>
      <c r="D1683" s="4" t="s">
        <v>5123</v>
      </c>
      <c r="E1683" s="2">
        <v>103403.5</v>
      </c>
      <c r="F1683" s="2">
        <v>19646.669999999998</v>
      </c>
      <c r="G1683" s="2">
        <v>0</v>
      </c>
      <c r="H1683" s="4">
        <v>0</v>
      </c>
      <c r="I1683" s="4">
        <v>0</v>
      </c>
      <c r="J1683" s="4">
        <v>0</v>
      </c>
      <c r="K1683" s="4">
        <v>123050.17</v>
      </c>
      <c r="L1683" s="4" t="s">
        <v>5121</v>
      </c>
      <c r="M1683" s="4" t="s">
        <v>5122</v>
      </c>
      <c r="N1683" s="4" t="s">
        <v>20</v>
      </c>
      <c r="O1683" s="4" t="s">
        <v>1677</v>
      </c>
      <c r="P1683" s="4" t="s">
        <v>1677</v>
      </c>
      <c r="Q1683" s="8" t="s">
        <v>144</v>
      </c>
      <c r="R1683" s="9">
        <f t="shared" si="27"/>
        <v>1.814082318948331E-6</v>
      </c>
      <c r="S1683" s="55">
        <f>Tabla3[[#This Row],[Subtotal]]/12</f>
        <v>8616.9583333333339</v>
      </c>
    </row>
    <row r="1684" spans="1:19" x14ac:dyDescent="0.2">
      <c r="A1684" s="4">
        <v>1401</v>
      </c>
      <c r="B1684" s="2">
        <v>101849.05</v>
      </c>
      <c r="C1684" s="2">
        <v>0</v>
      </c>
      <c r="D1684" s="4" t="s">
        <v>5126</v>
      </c>
      <c r="E1684" s="2">
        <v>101849.05</v>
      </c>
      <c r="F1684" s="2">
        <v>18401.32</v>
      </c>
      <c r="G1684" s="2">
        <v>0</v>
      </c>
      <c r="H1684" s="4">
        <v>0</v>
      </c>
      <c r="I1684" s="4">
        <v>0</v>
      </c>
      <c r="J1684" s="4">
        <v>0</v>
      </c>
      <c r="K1684" s="4">
        <v>120250.37</v>
      </c>
      <c r="L1684" s="4" t="s">
        <v>5124</v>
      </c>
      <c r="M1684" s="4" t="s">
        <v>5125</v>
      </c>
      <c r="N1684" s="4" t="s">
        <v>20</v>
      </c>
      <c r="O1684" s="4" t="s">
        <v>1677</v>
      </c>
      <c r="P1684" s="4" t="s">
        <v>1677</v>
      </c>
      <c r="Q1684" s="8" t="s">
        <v>144</v>
      </c>
      <c r="R1684" s="9">
        <f t="shared" si="27"/>
        <v>1.7868114793666029E-6</v>
      </c>
      <c r="S1684" s="55">
        <f>Tabla3[[#This Row],[Subtotal]]/12</f>
        <v>8487.4208333333336</v>
      </c>
    </row>
    <row r="1685" spans="1:19" x14ac:dyDescent="0.2">
      <c r="A1685" s="4">
        <v>135</v>
      </c>
      <c r="B1685" s="2">
        <v>101136</v>
      </c>
      <c r="C1685" s="2">
        <v>0</v>
      </c>
      <c r="D1685" s="4" t="s">
        <v>4645</v>
      </c>
      <c r="E1685" s="2">
        <v>101136</v>
      </c>
      <c r="F1685" s="2">
        <v>18265.84</v>
      </c>
      <c r="G1685" s="2">
        <v>0</v>
      </c>
      <c r="H1685" s="4">
        <v>0</v>
      </c>
      <c r="I1685" s="4">
        <v>0</v>
      </c>
      <c r="J1685" s="4">
        <v>0</v>
      </c>
      <c r="K1685" s="4">
        <v>119401.84</v>
      </c>
      <c r="L1685" s="4" t="s">
        <v>5127</v>
      </c>
      <c r="M1685" s="4" t="s">
        <v>4644</v>
      </c>
      <c r="N1685" s="4" t="s">
        <v>20</v>
      </c>
      <c r="O1685" s="4" t="s">
        <v>1677</v>
      </c>
      <c r="P1685" s="4" t="s">
        <v>1677</v>
      </c>
      <c r="Q1685" s="8" t="s">
        <v>144</v>
      </c>
      <c r="R1685" s="9">
        <f t="shared" si="27"/>
        <v>1.7743019279730223E-6</v>
      </c>
      <c r="S1685" s="55">
        <f>Tabla3[[#This Row],[Subtotal]]/12</f>
        <v>8428</v>
      </c>
    </row>
    <row r="1686" spans="1:19" x14ac:dyDescent="0.2">
      <c r="A1686" s="4">
        <v>1115</v>
      </c>
      <c r="B1686" s="2">
        <v>101134.47</v>
      </c>
      <c r="C1686" s="2">
        <v>0</v>
      </c>
      <c r="D1686" s="4" t="s">
        <v>5130</v>
      </c>
      <c r="E1686" s="2">
        <v>101134.47</v>
      </c>
      <c r="F1686" s="2">
        <v>19215.55</v>
      </c>
      <c r="G1686" s="2">
        <v>0</v>
      </c>
      <c r="H1686" s="4">
        <v>0</v>
      </c>
      <c r="I1686" s="4">
        <v>0</v>
      </c>
      <c r="J1686" s="4">
        <v>0</v>
      </c>
      <c r="K1686" s="4">
        <v>120350.02</v>
      </c>
      <c r="L1686" s="4" t="s">
        <v>5128</v>
      </c>
      <c r="M1686" s="4" t="s">
        <v>5129</v>
      </c>
      <c r="N1686" s="4" t="s">
        <v>20</v>
      </c>
      <c r="O1686" s="4" t="s">
        <v>1677</v>
      </c>
      <c r="P1686" s="4" t="s">
        <v>1677</v>
      </c>
      <c r="Q1686" s="8" t="s">
        <v>144</v>
      </c>
      <c r="R1686" s="9">
        <f t="shared" si="27"/>
        <v>1.7742750860774579E-6</v>
      </c>
      <c r="S1686" s="55">
        <f>Tabla3[[#This Row],[Subtotal]]/12</f>
        <v>8427.8724999999995</v>
      </c>
    </row>
    <row r="1687" spans="1:19" x14ac:dyDescent="0.2">
      <c r="A1687" s="4">
        <v>1634</v>
      </c>
      <c r="B1687" s="2">
        <v>100608</v>
      </c>
      <c r="C1687" s="2">
        <v>0</v>
      </c>
      <c r="D1687" s="4" t="s">
        <v>5133</v>
      </c>
      <c r="E1687" s="2">
        <v>100608</v>
      </c>
      <c r="F1687" s="2">
        <v>19115.52</v>
      </c>
      <c r="G1687" s="2">
        <v>0</v>
      </c>
      <c r="H1687" s="4">
        <v>0</v>
      </c>
      <c r="I1687" s="4">
        <v>0</v>
      </c>
      <c r="J1687" s="4">
        <v>0</v>
      </c>
      <c r="K1687" s="4">
        <v>119723.52</v>
      </c>
      <c r="L1687" s="4" t="s">
        <v>5131</v>
      </c>
      <c r="M1687" s="4" t="s">
        <v>5132</v>
      </c>
      <c r="N1687" s="4" t="s">
        <v>20</v>
      </c>
      <c r="O1687" s="4" t="s">
        <v>3938</v>
      </c>
      <c r="P1687" s="4" t="s">
        <v>3938</v>
      </c>
      <c r="Q1687" s="8" t="s">
        <v>1378</v>
      </c>
      <c r="R1687" s="9">
        <f t="shared" si="27"/>
        <v>1.7650388424449239E-6</v>
      </c>
      <c r="S1687" s="55">
        <f>Tabla3[[#This Row],[Subtotal]]/12</f>
        <v>8384</v>
      </c>
    </row>
    <row r="1688" spans="1:19" x14ac:dyDescent="0.2">
      <c r="A1688" s="4">
        <v>136</v>
      </c>
      <c r="B1688" s="2">
        <v>96024</v>
      </c>
      <c r="C1688" s="2">
        <v>0</v>
      </c>
      <c r="D1688" s="4" t="s">
        <v>5136</v>
      </c>
      <c r="E1688" s="2">
        <v>96024</v>
      </c>
      <c r="F1688" s="2">
        <v>18244.560000000001</v>
      </c>
      <c r="G1688" s="2">
        <v>0</v>
      </c>
      <c r="H1688" s="4">
        <v>0</v>
      </c>
      <c r="I1688" s="4">
        <v>0</v>
      </c>
      <c r="J1688" s="4">
        <v>0</v>
      </c>
      <c r="K1688" s="4">
        <v>114268.56</v>
      </c>
      <c r="L1688" s="4" t="s">
        <v>5134</v>
      </c>
      <c r="M1688" s="4" t="s">
        <v>5135</v>
      </c>
      <c r="N1688" s="4" t="s">
        <v>5137</v>
      </c>
      <c r="O1688" s="4" t="s">
        <v>1127</v>
      </c>
      <c r="P1688" s="4" t="s">
        <v>1127</v>
      </c>
      <c r="Q1688" s="8" t="s">
        <v>100</v>
      </c>
      <c r="R1688" s="9">
        <f t="shared" si="27"/>
        <v>1.6846184180873427E-6</v>
      </c>
      <c r="S1688" s="55">
        <f>Tabla3[[#This Row],[Subtotal]]/12</f>
        <v>8002</v>
      </c>
    </row>
    <row r="1689" spans="1:19" x14ac:dyDescent="0.2">
      <c r="A1689" s="4">
        <v>995</v>
      </c>
      <c r="B1689" s="2">
        <v>94495.7</v>
      </c>
      <c r="C1689" s="2">
        <v>0</v>
      </c>
      <c r="D1689" s="4" t="s">
        <v>5140</v>
      </c>
      <c r="E1689" s="2">
        <v>94495.7</v>
      </c>
      <c r="F1689" s="2">
        <v>17004.18</v>
      </c>
      <c r="G1689" s="2">
        <v>0</v>
      </c>
      <c r="H1689" s="4">
        <v>0</v>
      </c>
      <c r="I1689" s="4">
        <v>0</v>
      </c>
      <c r="J1689" s="4">
        <v>0</v>
      </c>
      <c r="K1689" s="4">
        <v>111499.88</v>
      </c>
      <c r="L1689" s="4" t="s">
        <v>5138</v>
      </c>
      <c r="M1689" s="4" t="s">
        <v>5139</v>
      </c>
      <c r="N1689" s="4" t="s">
        <v>20</v>
      </c>
      <c r="O1689" s="4" t="s">
        <v>1677</v>
      </c>
      <c r="P1689" s="4" t="s">
        <v>1677</v>
      </c>
      <c r="Q1689" s="8" t="s">
        <v>144</v>
      </c>
      <c r="R1689" s="9">
        <f t="shared" si="27"/>
        <v>1.6578063468513716E-6</v>
      </c>
      <c r="S1689" s="55">
        <f>Tabla3[[#This Row],[Subtotal]]/12</f>
        <v>7874.6416666666664</v>
      </c>
    </row>
    <row r="1690" spans="1:19" x14ac:dyDescent="0.2">
      <c r="A1690" s="4">
        <v>153</v>
      </c>
      <c r="B1690" s="2">
        <v>93283.83</v>
      </c>
      <c r="C1690" s="2">
        <v>0</v>
      </c>
      <c r="D1690" s="4" t="s">
        <v>5143</v>
      </c>
      <c r="E1690" s="2">
        <v>93283.83</v>
      </c>
      <c r="F1690" s="2">
        <v>17723.93</v>
      </c>
      <c r="G1690" s="2">
        <v>0</v>
      </c>
      <c r="H1690" s="4">
        <v>0</v>
      </c>
      <c r="I1690" s="4">
        <v>0</v>
      </c>
      <c r="J1690" s="4">
        <v>0</v>
      </c>
      <c r="K1690" s="4">
        <v>111007.76</v>
      </c>
      <c r="L1690" s="4" t="s">
        <v>5141</v>
      </c>
      <c r="M1690" s="4" t="s">
        <v>5142</v>
      </c>
      <c r="N1690" s="4" t="s">
        <v>221</v>
      </c>
      <c r="O1690" s="4" t="s">
        <v>900</v>
      </c>
      <c r="P1690" s="4" t="s">
        <v>900</v>
      </c>
      <c r="Q1690" s="8" t="s">
        <v>144</v>
      </c>
      <c r="R1690" s="9">
        <f t="shared" si="27"/>
        <v>1.6365456357549009E-6</v>
      </c>
      <c r="S1690" s="55">
        <f>Tabla3[[#This Row],[Subtotal]]/12</f>
        <v>7773.6525000000001</v>
      </c>
    </row>
    <row r="1691" spans="1:19" x14ac:dyDescent="0.2">
      <c r="A1691" s="4">
        <v>1092</v>
      </c>
      <c r="B1691" s="2">
        <v>92268.9</v>
      </c>
      <c r="C1691" s="2">
        <v>0</v>
      </c>
      <c r="D1691" s="4" t="s">
        <v>5146</v>
      </c>
      <c r="E1691" s="2">
        <v>92268.9</v>
      </c>
      <c r="F1691" s="2">
        <v>16581.09</v>
      </c>
      <c r="G1691" s="2">
        <v>0</v>
      </c>
      <c r="H1691" s="4">
        <v>0</v>
      </c>
      <c r="I1691" s="4">
        <v>0</v>
      </c>
      <c r="J1691" s="4">
        <v>0</v>
      </c>
      <c r="K1691" s="4">
        <v>108849.99</v>
      </c>
      <c r="L1691" s="4" t="s">
        <v>5144</v>
      </c>
      <c r="M1691" s="4" t="s">
        <v>5145</v>
      </c>
      <c r="N1691" s="4" t="s">
        <v>20</v>
      </c>
      <c r="O1691" s="4" t="s">
        <v>1677</v>
      </c>
      <c r="P1691" s="4" t="s">
        <v>1677</v>
      </c>
      <c r="Q1691" s="8" t="s">
        <v>144</v>
      </c>
      <c r="R1691" s="9">
        <f t="shared" si="27"/>
        <v>1.6187399853855204E-6</v>
      </c>
      <c r="S1691" s="55">
        <f>Tabla3[[#This Row],[Subtotal]]/12</f>
        <v>7689.0749999999998</v>
      </c>
    </row>
    <row r="1692" spans="1:19" x14ac:dyDescent="0.2">
      <c r="A1692" s="4">
        <v>1094</v>
      </c>
      <c r="B1692" s="2">
        <v>92100.84</v>
      </c>
      <c r="C1692" s="2">
        <v>0</v>
      </c>
      <c r="D1692" s="4" t="s">
        <v>5149</v>
      </c>
      <c r="E1692" s="2">
        <v>92100.84</v>
      </c>
      <c r="F1692" s="2">
        <v>17499.16</v>
      </c>
      <c r="G1692" s="2">
        <v>0</v>
      </c>
      <c r="H1692" s="4">
        <v>0</v>
      </c>
      <c r="I1692" s="4">
        <v>0</v>
      </c>
      <c r="J1692" s="4">
        <v>0</v>
      </c>
      <c r="K1692" s="4">
        <v>109600</v>
      </c>
      <c r="L1692" s="4" t="s">
        <v>5147</v>
      </c>
      <c r="M1692" s="4" t="s">
        <v>5148</v>
      </c>
      <c r="N1692" s="4" t="s">
        <v>20</v>
      </c>
      <c r="O1692" s="4" t="s">
        <v>1677</v>
      </c>
      <c r="P1692" s="4" t="s">
        <v>1677</v>
      </c>
      <c r="Q1692" s="8" t="s">
        <v>144</v>
      </c>
      <c r="R1692" s="9">
        <f t="shared" si="27"/>
        <v>1.6157915873668609E-6</v>
      </c>
      <c r="S1692" s="55">
        <f>Tabla3[[#This Row],[Subtotal]]/12</f>
        <v>7675.07</v>
      </c>
    </row>
    <row r="1693" spans="1:19" x14ac:dyDescent="0.2">
      <c r="A1693" s="4">
        <v>201</v>
      </c>
      <c r="B1693" s="2">
        <v>91176.48</v>
      </c>
      <c r="C1693" s="2">
        <v>0</v>
      </c>
      <c r="D1693" s="4" t="s">
        <v>5152</v>
      </c>
      <c r="E1693" s="2">
        <v>91176.48</v>
      </c>
      <c r="F1693" s="2">
        <v>17323.53</v>
      </c>
      <c r="G1693" s="2">
        <v>0</v>
      </c>
      <c r="H1693" s="4">
        <v>0</v>
      </c>
      <c r="I1693" s="4">
        <v>0</v>
      </c>
      <c r="J1693" s="4">
        <v>0</v>
      </c>
      <c r="K1693" s="4">
        <v>108500.01</v>
      </c>
      <c r="L1693" s="4" t="s">
        <v>5150</v>
      </c>
      <c r="M1693" s="4" t="s">
        <v>5151</v>
      </c>
      <c r="N1693" s="4" t="s">
        <v>20</v>
      </c>
      <c r="O1693" s="4" t="s">
        <v>1677</v>
      </c>
      <c r="P1693" s="4" t="s">
        <v>1677</v>
      </c>
      <c r="Q1693" s="8" t="s">
        <v>144</v>
      </c>
      <c r="R1693" s="9">
        <f t="shared" si="27"/>
        <v>1.599574871952556E-6</v>
      </c>
      <c r="S1693" s="55">
        <f>Tabla3[[#This Row],[Subtotal]]/12</f>
        <v>7598.04</v>
      </c>
    </row>
    <row r="1694" spans="1:19" x14ac:dyDescent="0.2">
      <c r="A1694" s="4">
        <v>531</v>
      </c>
      <c r="B1694" s="2">
        <v>90252.1</v>
      </c>
      <c r="C1694" s="2">
        <v>0</v>
      </c>
      <c r="D1694" s="4" t="s">
        <v>5155</v>
      </c>
      <c r="E1694" s="2">
        <v>90252.1</v>
      </c>
      <c r="F1694" s="2">
        <v>17147.900000000001</v>
      </c>
      <c r="G1694" s="2">
        <v>0</v>
      </c>
      <c r="H1694" s="4">
        <v>0</v>
      </c>
      <c r="I1694" s="4">
        <v>0</v>
      </c>
      <c r="J1694" s="4">
        <v>0</v>
      </c>
      <c r="K1694" s="4">
        <v>107400</v>
      </c>
      <c r="L1694" s="4" t="s">
        <v>5153</v>
      </c>
      <c r="M1694" s="4" t="s">
        <v>5154</v>
      </c>
      <c r="N1694" s="4" t="s">
        <v>332</v>
      </c>
      <c r="O1694" s="4" t="s">
        <v>1677</v>
      </c>
      <c r="P1694" s="4" t="s">
        <v>1677</v>
      </c>
      <c r="Q1694" s="8" t="s">
        <v>144</v>
      </c>
      <c r="R1694" s="9">
        <f t="shared" si="27"/>
        <v>1.5833578056637995E-6</v>
      </c>
      <c r="S1694" s="55">
        <f>Tabla3[[#This Row],[Subtotal]]/12</f>
        <v>7521.0083333333341</v>
      </c>
    </row>
    <row r="1695" spans="1:19" x14ac:dyDescent="0.2">
      <c r="A1695" s="4">
        <v>113</v>
      </c>
      <c r="B1695" s="2">
        <v>89461.9</v>
      </c>
      <c r="C1695" s="2">
        <v>0</v>
      </c>
      <c r="D1695" s="4" t="s">
        <v>5158</v>
      </c>
      <c r="E1695" s="2">
        <v>89461.9</v>
      </c>
      <c r="F1695" s="2">
        <v>16997.759999999998</v>
      </c>
      <c r="G1695" s="2">
        <v>0</v>
      </c>
      <c r="H1695" s="4">
        <v>0</v>
      </c>
      <c r="I1695" s="4">
        <v>0</v>
      </c>
      <c r="J1695" s="4">
        <v>0</v>
      </c>
      <c r="K1695" s="4">
        <v>106459.66</v>
      </c>
      <c r="L1695" s="4" t="s">
        <v>5156</v>
      </c>
      <c r="M1695" s="4" t="s">
        <v>5157</v>
      </c>
      <c r="N1695" s="4" t="s">
        <v>272</v>
      </c>
      <c r="O1695" s="4" t="s">
        <v>900</v>
      </c>
      <c r="P1695" s="4" t="s">
        <v>900</v>
      </c>
      <c r="Q1695" s="8" t="s">
        <v>144</v>
      </c>
      <c r="R1695" s="9">
        <f t="shared" si="27"/>
        <v>1.5694947560723157E-6</v>
      </c>
      <c r="S1695" s="55">
        <f>Tabla3[[#This Row],[Subtotal]]/12</f>
        <v>7455.1583333333328</v>
      </c>
    </row>
    <row r="1696" spans="1:19" x14ac:dyDescent="0.2">
      <c r="A1696" s="4">
        <v>1366</v>
      </c>
      <c r="B1696" s="2">
        <v>87810</v>
      </c>
      <c r="C1696" s="2">
        <v>0</v>
      </c>
      <c r="D1696" s="4" t="s">
        <v>5161</v>
      </c>
      <c r="E1696" s="2">
        <v>87810</v>
      </c>
      <c r="F1696" s="2">
        <v>16683.900000000001</v>
      </c>
      <c r="G1696" s="2">
        <v>0</v>
      </c>
      <c r="H1696" s="4">
        <v>0</v>
      </c>
      <c r="I1696" s="4">
        <v>0</v>
      </c>
      <c r="J1696" s="4">
        <v>0</v>
      </c>
      <c r="K1696" s="4">
        <v>104493.9</v>
      </c>
      <c r="L1696" s="4" t="s">
        <v>5159</v>
      </c>
      <c r="M1696" s="4" t="s">
        <v>5160</v>
      </c>
      <c r="N1696" s="4" t="s">
        <v>20</v>
      </c>
      <c r="O1696" s="4" t="s">
        <v>71</v>
      </c>
      <c r="P1696" s="4" t="s">
        <v>71</v>
      </c>
      <c r="Q1696" s="8" t="s">
        <v>100</v>
      </c>
      <c r="R1696" s="9">
        <f t="shared" si="27"/>
        <v>1.5405142807240853E-6</v>
      </c>
      <c r="S1696" s="55">
        <f>Tabla3[[#This Row],[Subtotal]]/12</f>
        <v>7317.5</v>
      </c>
    </row>
    <row r="1697" spans="1:19" x14ac:dyDescent="0.2">
      <c r="A1697" s="4">
        <v>1019</v>
      </c>
      <c r="B1697" s="2">
        <v>87268.91</v>
      </c>
      <c r="C1697" s="2">
        <v>0</v>
      </c>
      <c r="D1697" s="4" t="s">
        <v>5164</v>
      </c>
      <c r="E1697" s="2">
        <v>87268.91</v>
      </c>
      <c r="F1697" s="2">
        <v>16581.09</v>
      </c>
      <c r="G1697" s="2">
        <v>0</v>
      </c>
      <c r="H1697" s="4">
        <v>0</v>
      </c>
      <c r="I1697" s="4">
        <v>0</v>
      </c>
      <c r="J1697" s="4">
        <v>0</v>
      </c>
      <c r="K1697" s="4">
        <v>103850</v>
      </c>
      <c r="L1697" s="4" t="s">
        <v>5162</v>
      </c>
      <c r="M1697" s="4" t="s">
        <v>5163</v>
      </c>
      <c r="N1697" s="4" t="s">
        <v>272</v>
      </c>
      <c r="O1697" s="4" t="s">
        <v>1677</v>
      </c>
      <c r="P1697" s="4" t="s">
        <v>1677</v>
      </c>
      <c r="Q1697" s="8" t="s">
        <v>144</v>
      </c>
      <c r="R1697" s="9">
        <f t="shared" si="27"/>
        <v>1.5310215478672696E-6</v>
      </c>
      <c r="S1697" s="55">
        <f>Tabla3[[#This Row],[Subtotal]]/12</f>
        <v>7272.4091666666673</v>
      </c>
    </row>
    <row r="1698" spans="1:19" x14ac:dyDescent="0.2">
      <c r="A1698" s="4">
        <v>109</v>
      </c>
      <c r="B1698" s="2">
        <v>82900</v>
      </c>
      <c r="C1698" s="2">
        <v>0</v>
      </c>
      <c r="D1698" s="4" t="s">
        <v>5167</v>
      </c>
      <c r="E1698" s="2">
        <v>82900</v>
      </c>
      <c r="F1698" s="2">
        <v>14801</v>
      </c>
      <c r="G1698" s="2">
        <v>0</v>
      </c>
      <c r="H1698" s="4">
        <v>0</v>
      </c>
      <c r="I1698" s="4">
        <v>0</v>
      </c>
      <c r="J1698" s="4">
        <v>0</v>
      </c>
      <c r="K1698" s="4">
        <v>97701</v>
      </c>
      <c r="L1698" s="4" t="s">
        <v>5165</v>
      </c>
      <c r="M1698" s="4" t="s">
        <v>5166</v>
      </c>
      <c r="N1698" s="4" t="s">
        <v>20</v>
      </c>
      <c r="O1698" s="4" t="s">
        <v>1677</v>
      </c>
      <c r="P1698" s="4" t="s">
        <v>1677</v>
      </c>
      <c r="Q1698" s="8" t="s">
        <v>144</v>
      </c>
      <c r="R1698" s="9">
        <f t="shared" si="27"/>
        <v>1.4543746028018069E-6</v>
      </c>
      <c r="S1698" s="55">
        <f>Tabla3[[#This Row],[Subtotal]]/12</f>
        <v>6908.333333333333</v>
      </c>
    </row>
    <row r="1699" spans="1:19" x14ac:dyDescent="0.2">
      <c r="A1699" s="4">
        <v>505</v>
      </c>
      <c r="B1699" s="2">
        <v>81084</v>
      </c>
      <c r="C1699" s="2">
        <v>0</v>
      </c>
      <c r="D1699" s="4" t="s">
        <v>5170</v>
      </c>
      <c r="E1699" s="2">
        <v>81084</v>
      </c>
      <c r="F1699" s="2">
        <v>13125.96</v>
      </c>
      <c r="G1699" s="2">
        <v>0</v>
      </c>
      <c r="H1699" s="4">
        <v>0</v>
      </c>
      <c r="I1699" s="4">
        <v>0</v>
      </c>
      <c r="J1699" s="4">
        <v>0</v>
      </c>
      <c r="K1699" s="4">
        <v>94209.96</v>
      </c>
      <c r="L1699" s="4" t="s">
        <v>5168</v>
      </c>
      <c r="M1699" s="4" t="s">
        <v>5169</v>
      </c>
      <c r="N1699" s="4" t="s">
        <v>20</v>
      </c>
      <c r="O1699" s="4" t="s">
        <v>2863</v>
      </c>
      <c r="P1699" s="4" t="s">
        <v>2863</v>
      </c>
      <c r="Q1699" s="8" t="s">
        <v>100</v>
      </c>
      <c r="R1699" s="9">
        <f t="shared" si="27"/>
        <v>1.4225152025763778E-6</v>
      </c>
      <c r="S1699" s="55">
        <f>Tabla3[[#This Row],[Subtotal]]/12</f>
        <v>6757</v>
      </c>
    </row>
    <row r="1700" spans="1:19" x14ac:dyDescent="0.2">
      <c r="A1700" s="4">
        <v>1133</v>
      </c>
      <c r="B1700" s="2">
        <v>81012</v>
      </c>
      <c r="C1700" s="2">
        <v>0</v>
      </c>
      <c r="D1700" s="4" t="s">
        <v>5173</v>
      </c>
      <c r="E1700" s="2">
        <v>81012</v>
      </c>
      <c r="F1700" s="2">
        <v>15392.28</v>
      </c>
      <c r="G1700" s="2">
        <v>0</v>
      </c>
      <c r="H1700" s="4">
        <v>0</v>
      </c>
      <c r="I1700" s="4">
        <v>0</v>
      </c>
      <c r="J1700" s="4">
        <v>0</v>
      </c>
      <c r="K1700" s="4">
        <v>96404.28</v>
      </c>
      <c r="L1700" s="4" t="s">
        <v>5171</v>
      </c>
      <c r="M1700" s="4" t="s">
        <v>5172</v>
      </c>
      <c r="N1700" s="4" t="s">
        <v>20</v>
      </c>
      <c r="O1700" s="4" t="s">
        <v>3938</v>
      </c>
      <c r="P1700" s="4" t="s">
        <v>3938</v>
      </c>
      <c r="Q1700" s="8" t="s">
        <v>1378</v>
      </c>
      <c r="R1700" s="9">
        <f t="shared" si="27"/>
        <v>1.4212520545498188E-6</v>
      </c>
      <c r="S1700" s="55">
        <f>Tabla3[[#This Row],[Subtotal]]/12</f>
        <v>6751</v>
      </c>
    </row>
    <row r="1701" spans="1:19" x14ac:dyDescent="0.2">
      <c r="A1701" s="4">
        <v>1526</v>
      </c>
      <c r="B1701" s="2">
        <v>81008.399999999994</v>
      </c>
      <c r="C1701" s="2">
        <v>0</v>
      </c>
      <c r="D1701" s="4" t="s">
        <v>5176</v>
      </c>
      <c r="E1701" s="2">
        <v>81008.399999999994</v>
      </c>
      <c r="F1701" s="2">
        <v>15391.6</v>
      </c>
      <c r="G1701" s="2">
        <v>0</v>
      </c>
      <c r="H1701" s="4">
        <v>0</v>
      </c>
      <c r="I1701" s="4">
        <v>0</v>
      </c>
      <c r="J1701" s="4">
        <v>0</v>
      </c>
      <c r="K1701" s="4">
        <v>96400</v>
      </c>
      <c r="L1701" s="4" t="s">
        <v>5174</v>
      </c>
      <c r="M1701" s="4" t="s">
        <v>5175</v>
      </c>
      <c r="N1701" s="4" t="s">
        <v>20</v>
      </c>
      <c r="O1701" s="4" t="s">
        <v>1677</v>
      </c>
      <c r="P1701" s="4" t="s">
        <v>1677</v>
      </c>
      <c r="Q1701" s="8" t="s">
        <v>144</v>
      </c>
      <c r="R1701" s="9">
        <f t="shared" si="27"/>
        <v>1.4211888971484909E-6</v>
      </c>
      <c r="S1701" s="55">
        <f>Tabla3[[#This Row],[Subtotal]]/12</f>
        <v>6750.7</v>
      </c>
    </row>
    <row r="1702" spans="1:19" x14ac:dyDescent="0.2">
      <c r="A1702" s="4">
        <v>1191</v>
      </c>
      <c r="B1702" s="2">
        <v>80516</v>
      </c>
      <c r="C1702" s="2">
        <v>0</v>
      </c>
      <c r="D1702" s="4" t="s">
        <v>5179</v>
      </c>
      <c r="E1702" s="2">
        <v>80516</v>
      </c>
      <c r="F1702" s="2">
        <v>15298.04</v>
      </c>
      <c r="G1702" s="2">
        <v>0</v>
      </c>
      <c r="H1702" s="4">
        <v>0</v>
      </c>
      <c r="I1702" s="4">
        <v>0</v>
      </c>
      <c r="J1702" s="4">
        <v>0</v>
      </c>
      <c r="K1702" s="4">
        <v>95814.04</v>
      </c>
      <c r="L1702" s="4" t="s">
        <v>5177</v>
      </c>
      <c r="M1702" s="4" t="s">
        <v>5178</v>
      </c>
      <c r="N1702" s="4" t="s">
        <v>20</v>
      </c>
      <c r="O1702" s="4" t="s">
        <v>3938</v>
      </c>
      <c r="P1702" s="4" t="s">
        <v>3938</v>
      </c>
      <c r="Q1702" s="8" t="s">
        <v>1378</v>
      </c>
      <c r="R1702" s="9">
        <f t="shared" si="27"/>
        <v>1.4125503681446355E-6</v>
      </c>
      <c r="S1702" s="55">
        <f>Tabla3[[#This Row],[Subtotal]]/12</f>
        <v>6709.666666666667</v>
      </c>
    </row>
    <row r="1703" spans="1:19" x14ac:dyDescent="0.2">
      <c r="A1703" s="4">
        <v>432</v>
      </c>
      <c r="B1703" s="2">
        <v>78908</v>
      </c>
      <c r="C1703" s="2">
        <v>0</v>
      </c>
      <c r="D1703" s="4" t="s">
        <v>5182</v>
      </c>
      <c r="E1703" s="2">
        <v>78908</v>
      </c>
      <c r="F1703" s="2">
        <v>14042.52</v>
      </c>
      <c r="G1703" s="2">
        <v>0</v>
      </c>
      <c r="H1703" s="4">
        <v>0</v>
      </c>
      <c r="I1703" s="4">
        <v>0</v>
      </c>
      <c r="J1703" s="4">
        <v>0</v>
      </c>
      <c r="K1703" s="4">
        <v>92950.52</v>
      </c>
      <c r="L1703" s="4" t="s">
        <v>5180</v>
      </c>
      <c r="M1703" s="4" t="s">
        <v>5181</v>
      </c>
      <c r="N1703" s="4" t="s">
        <v>20</v>
      </c>
      <c r="O1703" s="4" t="s">
        <v>1677</v>
      </c>
      <c r="P1703" s="4" t="s">
        <v>1677</v>
      </c>
      <c r="Q1703" s="8" t="s">
        <v>144</v>
      </c>
      <c r="R1703" s="9">
        <f t="shared" si="27"/>
        <v>1.3843400622181543E-6</v>
      </c>
      <c r="S1703" s="55">
        <f>Tabla3[[#This Row],[Subtotal]]/12</f>
        <v>6575.666666666667</v>
      </c>
    </row>
    <row r="1704" spans="1:19" x14ac:dyDescent="0.2">
      <c r="A1704" s="4">
        <v>48</v>
      </c>
      <c r="B1704" s="2">
        <v>77310.929999999993</v>
      </c>
      <c r="C1704" s="2">
        <v>0</v>
      </c>
      <c r="D1704" s="4" t="s">
        <v>5185</v>
      </c>
      <c r="E1704" s="2">
        <v>77310.929999999993</v>
      </c>
      <c r="F1704" s="2">
        <v>14689.08</v>
      </c>
      <c r="G1704" s="2">
        <v>0</v>
      </c>
      <c r="H1704" s="4">
        <v>0</v>
      </c>
      <c r="I1704" s="4">
        <v>0</v>
      </c>
      <c r="J1704" s="4">
        <v>0</v>
      </c>
      <c r="K1704" s="4">
        <v>92000.01</v>
      </c>
      <c r="L1704" s="4" t="s">
        <v>5183</v>
      </c>
      <c r="M1704" s="4" t="s">
        <v>5184</v>
      </c>
      <c r="N1704" s="4" t="s">
        <v>20</v>
      </c>
      <c r="O1704" s="4" t="s">
        <v>1677</v>
      </c>
      <c r="P1704" s="4" t="s">
        <v>1677</v>
      </c>
      <c r="Q1704" s="8" t="s">
        <v>144</v>
      </c>
      <c r="R1704" s="9">
        <f t="shared" si="27"/>
        <v>1.3563215091795935E-6</v>
      </c>
      <c r="S1704" s="55">
        <f>Tabla3[[#This Row],[Subtotal]]/12</f>
        <v>6442.5774999999994</v>
      </c>
    </row>
    <row r="1705" spans="1:19" x14ac:dyDescent="0.2">
      <c r="A1705" s="4">
        <v>768</v>
      </c>
      <c r="B1705" s="2">
        <v>74091</v>
      </c>
      <c r="C1705" s="2">
        <v>0</v>
      </c>
      <c r="D1705" s="4" t="s">
        <v>5188</v>
      </c>
      <c r="E1705" s="2">
        <v>74091</v>
      </c>
      <c r="F1705" s="2">
        <v>14077.29</v>
      </c>
      <c r="G1705" s="2">
        <v>0</v>
      </c>
      <c r="H1705" s="4">
        <v>0</v>
      </c>
      <c r="I1705" s="4">
        <v>0</v>
      </c>
      <c r="J1705" s="4">
        <v>0</v>
      </c>
      <c r="K1705" s="4">
        <v>88168.29</v>
      </c>
      <c r="L1705" s="4" t="s">
        <v>5186</v>
      </c>
      <c r="M1705" s="4" t="s">
        <v>5187</v>
      </c>
      <c r="N1705" s="4" t="s">
        <v>20</v>
      </c>
      <c r="O1705" s="4" t="s">
        <v>3938</v>
      </c>
      <c r="P1705" s="4" t="s">
        <v>3938</v>
      </c>
      <c r="Q1705" s="8" t="s">
        <v>1378</v>
      </c>
      <c r="R1705" s="9">
        <f t="shared" si="27"/>
        <v>1.2998319504968478E-6</v>
      </c>
      <c r="S1705" s="55">
        <f>Tabla3[[#This Row],[Subtotal]]/12</f>
        <v>6174.25</v>
      </c>
    </row>
    <row r="1706" spans="1:19" x14ac:dyDescent="0.2">
      <c r="A1706" s="4">
        <v>1147</v>
      </c>
      <c r="B1706" s="2">
        <v>72603</v>
      </c>
      <c r="C1706" s="2">
        <v>0</v>
      </c>
      <c r="D1706" s="4" t="s">
        <v>5191</v>
      </c>
      <c r="E1706" s="2">
        <v>72603</v>
      </c>
      <c r="F1706" s="2">
        <v>13794.57</v>
      </c>
      <c r="G1706" s="2">
        <v>0</v>
      </c>
      <c r="H1706" s="4">
        <v>0</v>
      </c>
      <c r="I1706" s="4">
        <v>0</v>
      </c>
      <c r="J1706" s="4">
        <v>0</v>
      </c>
      <c r="K1706" s="4">
        <v>86397.57</v>
      </c>
      <c r="L1706" s="4" t="s">
        <v>5189</v>
      </c>
      <c r="M1706" s="4" t="s">
        <v>5190</v>
      </c>
      <c r="N1706" s="4" t="s">
        <v>20</v>
      </c>
      <c r="O1706" s="4" t="s">
        <v>3938</v>
      </c>
      <c r="P1706" s="4" t="s">
        <v>3938</v>
      </c>
      <c r="Q1706" s="8" t="s">
        <v>1378</v>
      </c>
      <c r="R1706" s="9">
        <f t="shared" si="27"/>
        <v>1.2737268912812977E-6</v>
      </c>
      <c r="S1706" s="55">
        <f>Tabla3[[#This Row],[Subtotal]]/12</f>
        <v>6050.25</v>
      </c>
    </row>
    <row r="1707" spans="1:19" x14ac:dyDescent="0.2">
      <c r="A1707" s="4">
        <v>876</v>
      </c>
      <c r="B1707" s="2">
        <v>68823.539999999994</v>
      </c>
      <c r="C1707" s="2">
        <v>0</v>
      </c>
      <c r="D1707" s="4" t="s">
        <v>5194</v>
      </c>
      <c r="E1707" s="2">
        <v>68823.539999999994</v>
      </c>
      <c r="F1707" s="2">
        <v>13076.47</v>
      </c>
      <c r="G1707" s="2">
        <v>0</v>
      </c>
      <c r="H1707" s="4">
        <v>0</v>
      </c>
      <c r="I1707" s="4">
        <v>0</v>
      </c>
      <c r="J1707" s="4">
        <v>0</v>
      </c>
      <c r="K1707" s="4">
        <v>81900.009999999995</v>
      </c>
      <c r="L1707" s="4" t="s">
        <v>5192</v>
      </c>
      <c r="M1707" s="4" t="s">
        <v>5193</v>
      </c>
      <c r="N1707" s="4" t="s">
        <v>20</v>
      </c>
      <c r="O1707" s="4" t="s">
        <v>1677</v>
      </c>
      <c r="P1707" s="4" t="s">
        <v>1677</v>
      </c>
      <c r="Q1707" s="8" t="s">
        <v>144</v>
      </c>
      <c r="R1707" s="9">
        <f t="shared" si="27"/>
        <v>1.2074210934971563E-6</v>
      </c>
      <c r="S1707" s="55">
        <f>Tabla3[[#This Row],[Subtotal]]/12</f>
        <v>5735.2949999999992</v>
      </c>
    </row>
    <row r="1708" spans="1:19" x14ac:dyDescent="0.2">
      <c r="A1708" s="4">
        <v>886</v>
      </c>
      <c r="B1708" s="2">
        <v>66450</v>
      </c>
      <c r="C1708" s="2">
        <v>0</v>
      </c>
      <c r="D1708" s="4" t="s">
        <v>5197</v>
      </c>
      <c r="E1708" s="2">
        <v>66450</v>
      </c>
      <c r="F1708" s="2">
        <v>12625.5</v>
      </c>
      <c r="G1708" s="2">
        <v>0</v>
      </c>
      <c r="H1708" s="4">
        <v>0</v>
      </c>
      <c r="I1708" s="4">
        <v>0</v>
      </c>
      <c r="J1708" s="4">
        <v>0</v>
      </c>
      <c r="K1708" s="4">
        <v>79075.5</v>
      </c>
      <c r="L1708" s="4" t="s">
        <v>5195</v>
      </c>
      <c r="M1708" s="4" t="s">
        <v>5196</v>
      </c>
      <c r="N1708" s="4" t="s">
        <v>5198</v>
      </c>
      <c r="O1708" s="4" t="s">
        <v>3938</v>
      </c>
      <c r="P1708" s="4" t="s">
        <v>3938</v>
      </c>
      <c r="Q1708" s="8" t="s">
        <v>1378</v>
      </c>
      <c r="R1708" s="9">
        <f t="shared" si="27"/>
        <v>1.165780366178288E-6</v>
      </c>
      <c r="S1708" s="55">
        <f>Tabla3[[#This Row],[Subtotal]]/12</f>
        <v>5537.5</v>
      </c>
    </row>
    <row r="1709" spans="1:19" x14ac:dyDescent="0.2">
      <c r="A1709" s="4">
        <v>283</v>
      </c>
      <c r="B1709" s="2">
        <v>66344.539999999994</v>
      </c>
      <c r="C1709" s="2">
        <v>0</v>
      </c>
      <c r="D1709" s="4" t="s">
        <v>5201</v>
      </c>
      <c r="E1709" s="2">
        <v>66344.539999999994</v>
      </c>
      <c r="F1709" s="2">
        <v>12605.46</v>
      </c>
      <c r="G1709" s="2">
        <v>0</v>
      </c>
      <c r="H1709" s="4">
        <v>0</v>
      </c>
      <c r="I1709" s="4">
        <v>0</v>
      </c>
      <c r="J1709" s="4">
        <v>0</v>
      </c>
      <c r="K1709" s="4">
        <v>78950</v>
      </c>
      <c r="L1709" s="4" t="s">
        <v>5199</v>
      </c>
      <c r="M1709" s="4" t="s">
        <v>5200</v>
      </c>
      <c r="N1709" s="4" t="s">
        <v>20</v>
      </c>
      <c r="O1709" s="4" t="s">
        <v>900</v>
      </c>
      <c r="P1709" s="4" t="s">
        <v>900</v>
      </c>
      <c r="Q1709" s="8" t="s">
        <v>144</v>
      </c>
      <c r="R1709" s="9">
        <f t="shared" si="27"/>
        <v>1.163930205193831E-6</v>
      </c>
      <c r="S1709" s="55">
        <f>Tabla3[[#This Row],[Subtotal]]/12</f>
        <v>5528.7116666666661</v>
      </c>
    </row>
    <row r="1710" spans="1:19" x14ac:dyDescent="0.2">
      <c r="A1710" s="4">
        <v>1134</v>
      </c>
      <c r="B1710" s="2">
        <v>64285.75</v>
      </c>
      <c r="C1710" s="2">
        <v>0</v>
      </c>
      <c r="D1710" s="4" t="s">
        <v>5204</v>
      </c>
      <c r="E1710" s="2">
        <v>64285.75</v>
      </c>
      <c r="F1710" s="2">
        <v>12214.29</v>
      </c>
      <c r="G1710" s="2">
        <v>0</v>
      </c>
      <c r="H1710" s="4">
        <v>0</v>
      </c>
      <c r="I1710" s="4">
        <v>0</v>
      </c>
      <c r="J1710" s="4">
        <v>0</v>
      </c>
      <c r="K1710" s="4">
        <v>76500.039999999994</v>
      </c>
      <c r="L1710" s="4" t="s">
        <v>5202</v>
      </c>
      <c r="M1710" s="4" t="s">
        <v>5203</v>
      </c>
      <c r="N1710" s="4" t="s">
        <v>20</v>
      </c>
      <c r="O1710" s="4" t="s">
        <v>1677</v>
      </c>
      <c r="P1710" s="4" t="s">
        <v>1677</v>
      </c>
      <c r="Q1710" s="8" t="s">
        <v>144</v>
      </c>
      <c r="R1710" s="9">
        <f t="shared" si="27"/>
        <v>1.1278113645605098E-6</v>
      </c>
      <c r="S1710" s="55">
        <f>Tabla3[[#This Row],[Subtotal]]/12</f>
        <v>5357.145833333333</v>
      </c>
    </row>
    <row r="1711" spans="1:19" x14ac:dyDescent="0.2">
      <c r="A1711" s="4">
        <v>13</v>
      </c>
      <c r="B1711" s="2">
        <v>63319</v>
      </c>
      <c r="C1711" s="2">
        <v>0</v>
      </c>
      <c r="D1711" s="4" t="s">
        <v>5207</v>
      </c>
      <c r="E1711" s="2">
        <v>63319</v>
      </c>
      <c r="F1711" s="2">
        <v>11080.61</v>
      </c>
      <c r="G1711" s="2">
        <v>0</v>
      </c>
      <c r="H1711" s="4">
        <v>0</v>
      </c>
      <c r="I1711" s="4">
        <v>0</v>
      </c>
      <c r="J1711" s="4">
        <v>0</v>
      </c>
      <c r="K1711" s="4">
        <v>74399.61</v>
      </c>
      <c r="L1711" s="4" t="s">
        <v>5205</v>
      </c>
      <c r="M1711" s="4" t="s">
        <v>5206</v>
      </c>
      <c r="N1711" s="4" t="s">
        <v>20</v>
      </c>
      <c r="O1711" s="4" t="s">
        <v>1677</v>
      </c>
      <c r="P1711" s="4" t="s">
        <v>1677</v>
      </c>
      <c r="Q1711" s="8" t="s">
        <v>144</v>
      </c>
      <c r="R1711" s="9">
        <f t="shared" si="27"/>
        <v>1.1108509707455684E-6</v>
      </c>
      <c r="S1711" s="55">
        <f>Tabla3[[#This Row],[Subtotal]]/12</f>
        <v>5276.583333333333</v>
      </c>
    </row>
    <row r="1712" spans="1:19" x14ac:dyDescent="0.2">
      <c r="A1712" s="4">
        <v>1466</v>
      </c>
      <c r="B1712" s="2">
        <v>63319</v>
      </c>
      <c r="C1712" s="2">
        <v>0</v>
      </c>
      <c r="D1712" s="4" t="s">
        <v>5210</v>
      </c>
      <c r="E1712" s="2">
        <v>63319</v>
      </c>
      <c r="F1712" s="2">
        <v>11080.61</v>
      </c>
      <c r="G1712" s="2">
        <v>0</v>
      </c>
      <c r="H1712" s="4">
        <v>0</v>
      </c>
      <c r="I1712" s="4">
        <v>0</v>
      </c>
      <c r="J1712" s="4">
        <v>0</v>
      </c>
      <c r="K1712" s="4">
        <v>74399.61</v>
      </c>
      <c r="L1712" s="4" t="s">
        <v>5208</v>
      </c>
      <c r="M1712" s="4" t="s">
        <v>5209</v>
      </c>
      <c r="N1712" s="4" t="s">
        <v>20</v>
      </c>
      <c r="O1712" s="4" t="s">
        <v>900</v>
      </c>
      <c r="P1712" s="4" t="s">
        <v>900</v>
      </c>
      <c r="Q1712" s="8" t="s">
        <v>144</v>
      </c>
      <c r="R1712" s="9">
        <f t="shared" si="27"/>
        <v>1.1108509707455684E-6</v>
      </c>
      <c r="S1712" s="55">
        <f>Tabla3[[#This Row],[Subtotal]]/12</f>
        <v>5276.583333333333</v>
      </c>
    </row>
    <row r="1713" spans="1:19" x14ac:dyDescent="0.2">
      <c r="A1713" s="4">
        <v>281</v>
      </c>
      <c r="B1713" s="2">
        <v>60102</v>
      </c>
      <c r="C1713" s="2">
        <v>0</v>
      </c>
      <c r="D1713" s="4" t="s">
        <v>5213</v>
      </c>
      <c r="E1713" s="2">
        <v>60102</v>
      </c>
      <c r="F1713" s="2">
        <v>11419.38</v>
      </c>
      <c r="G1713" s="2">
        <v>0</v>
      </c>
      <c r="H1713" s="4">
        <v>0</v>
      </c>
      <c r="I1713" s="4">
        <v>0</v>
      </c>
      <c r="J1713" s="4">
        <v>0</v>
      </c>
      <c r="K1713" s="4">
        <v>71521.38</v>
      </c>
      <c r="L1713" s="4" t="s">
        <v>5211</v>
      </c>
      <c r="M1713" s="4" t="s">
        <v>5212</v>
      </c>
      <c r="N1713" s="4"/>
      <c r="O1713" s="4" t="s">
        <v>3938</v>
      </c>
      <c r="P1713" s="4" t="s">
        <v>3938</v>
      </c>
      <c r="Q1713" s="8" t="s">
        <v>1378</v>
      </c>
      <c r="R1713" s="9">
        <f t="shared" si="27"/>
        <v>1.0544128151700146E-6</v>
      </c>
      <c r="S1713" s="55">
        <f>Tabla3[[#This Row],[Subtotal]]/12</f>
        <v>5008.5</v>
      </c>
    </row>
    <row r="1714" spans="1:19" x14ac:dyDescent="0.2">
      <c r="A1714" s="4">
        <v>155</v>
      </c>
      <c r="B1714" s="2">
        <v>59124</v>
      </c>
      <c r="C1714" s="2">
        <v>0</v>
      </c>
      <c r="D1714" s="4" t="s">
        <v>5216</v>
      </c>
      <c r="E1714" s="2">
        <v>59124</v>
      </c>
      <c r="F1714" s="2">
        <v>11233.56</v>
      </c>
      <c r="G1714" s="2">
        <v>0</v>
      </c>
      <c r="H1714" s="4">
        <v>0</v>
      </c>
      <c r="I1714" s="4">
        <v>0</v>
      </c>
      <c r="J1714" s="4">
        <v>0</v>
      </c>
      <c r="K1714" s="4">
        <v>70357.56</v>
      </c>
      <c r="L1714" s="4" t="s">
        <v>5214</v>
      </c>
      <c r="M1714" s="4" t="s">
        <v>5215</v>
      </c>
      <c r="N1714" s="4" t="s">
        <v>20</v>
      </c>
      <c r="O1714" s="4" t="s">
        <v>631</v>
      </c>
      <c r="P1714" s="4" t="s">
        <v>631</v>
      </c>
      <c r="Q1714" s="8" t="s">
        <v>100</v>
      </c>
      <c r="R1714" s="9">
        <f t="shared" si="27"/>
        <v>1.0372550544759233E-6</v>
      </c>
      <c r="S1714" s="55">
        <f>Tabla3[[#This Row],[Subtotal]]/12</f>
        <v>4927</v>
      </c>
    </row>
    <row r="1715" spans="1:19" x14ac:dyDescent="0.2">
      <c r="A1715" s="4">
        <v>81</v>
      </c>
      <c r="B1715" s="2">
        <v>58739.5</v>
      </c>
      <c r="C1715" s="2">
        <v>0</v>
      </c>
      <c r="D1715" s="4" t="s">
        <v>5219</v>
      </c>
      <c r="E1715" s="2">
        <v>58739.5</v>
      </c>
      <c r="F1715" s="2">
        <v>11160.51</v>
      </c>
      <c r="G1715" s="2">
        <v>0</v>
      </c>
      <c r="H1715" s="4">
        <v>0</v>
      </c>
      <c r="I1715" s="4">
        <v>0</v>
      </c>
      <c r="J1715" s="4">
        <v>0</v>
      </c>
      <c r="K1715" s="4">
        <v>69900.009999999995</v>
      </c>
      <c r="L1715" s="4" t="s">
        <v>5217</v>
      </c>
      <c r="M1715" s="4" t="s">
        <v>5218</v>
      </c>
      <c r="N1715" s="4" t="s">
        <v>20</v>
      </c>
      <c r="O1715" s="4" t="s">
        <v>1677</v>
      </c>
      <c r="P1715" s="4" t="s">
        <v>1677</v>
      </c>
      <c r="Q1715" s="8" t="s">
        <v>4652</v>
      </c>
      <c r="R1715" s="9">
        <f t="shared" si="27"/>
        <v>1.0305094931396471E-6</v>
      </c>
      <c r="S1715" s="55">
        <f>Tabla3[[#This Row],[Subtotal]]/12</f>
        <v>4894.958333333333</v>
      </c>
    </row>
    <row r="1716" spans="1:19" x14ac:dyDescent="0.2">
      <c r="A1716" s="4">
        <v>987</v>
      </c>
      <c r="B1716" s="2">
        <v>58319.33</v>
      </c>
      <c r="C1716" s="2">
        <v>0</v>
      </c>
      <c r="D1716" s="4" t="s">
        <v>5222</v>
      </c>
      <c r="E1716" s="2">
        <v>58319.33</v>
      </c>
      <c r="F1716" s="2">
        <v>11080.67</v>
      </c>
      <c r="G1716" s="2">
        <v>0</v>
      </c>
      <c r="H1716" s="4">
        <v>0</v>
      </c>
      <c r="I1716" s="4">
        <v>0</v>
      </c>
      <c r="J1716" s="4">
        <v>0</v>
      </c>
      <c r="K1716" s="4">
        <v>69400</v>
      </c>
      <c r="L1716" s="4" t="s">
        <v>5220</v>
      </c>
      <c r="M1716" s="4" t="s">
        <v>5221</v>
      </c>
      <c r="N1716" s="4" t="s">
        <v>20</v>
      </c>
      <c r="O1716" s="4" t="s">
        <v>1677</v>
      </c>
      <c r="P1716" s="4" t="s">
        <v>1677</v>
      </c>
      <c r="Q1716" s="8" t="s">
        <v>144</v>
      </c>
      <c r="R1716" s="9">
        <f t="shared" si="27"/>
        <v>1.0231381472185466E-6</v>
      </c>
      <c r="S1716" s="55">
        <f>Tabla3[[#This Row],[Subtotal]]/12</f>
        <v>4859.9441666666671</v>
      </c>
    </row>
    <row r="1717" spans="1:19" x14ac:dyDescent="0.2">
      <c r="A1717" s="4">
        <v>67</v>
      </c>
      <c r="B1717" s="2">
        <v>55588.24</v>
      </c>
      <c r="C1717" s="2">
        <v>0</v>
      </c>
      <c r="D1717" s="4" t="s">
        <v>5225</v>
      </c>
      <c r="E1717" s="2">
        <v>55588.24</v>
      </c>
      <c r="F1717" s="2">
        <v>10561.77</v>
      </c>
      <c r="G1717" s="2">
        <v>0</v>
      </c>
      <c r="H1717" s="4">
        <v>0</v>
      </c>
      <c r="I1717" s="4">
        <v>0</v>
      </c>
      <c r="J1717" s="4">
        <v>0</v>
      </c>
      <c r="K1717" s="4">
        <v>66150.009999999995</v>
      </c>
      <c r="L1717" s="4" t="s">
        <v>5223</v>
      </c>
      <c r="M1717" s="4" t="s">
        <v>5224</v>
      </c>
      <c r="N1717" s="4" t="s">
        <v>20</v>
      </c>
      <c r="O1717" s="4" t="s">
        <v>1677</v>
      </c>
      <c r="P1717" s="4" t="s">
        <v>1677</v>
      </c>
      <c r="Q1717" s="8" t="s">
        <v>144</v>
      </c>
      <c r="R1717" s="9">
        <f t="shared" si="27"/>
        <v>9.7522466188723185E-7</v>
      </c>
      <c r="S1717" s="55">
        <f>Tabla3[[#This Row],[Subtotal]]/12</f>
        <v>4632.3533333333335</v>
      </c>
    </row>
    <row r="1718" spans="1:19" x14ac:dyDescent="0.2">
      <c r="A1718" s="4">
        <v>379</v>
      </c>
      <c r="B1718" s="2">
        <v>53241</v>
      </c>
      <c r="C1718" s="2">
        <v>0</v>
      </c>
      <c r="D1718" s="4" t="s">
        <v>5228</v>
      </c>
      <c r="E1718" s="2">
        <v>53241</v>
      </c>
      <c r="F1718" s="2">
        <v>10115.790000000001</v>
      </c>
      <c r="G1718" s="2">
        <v>0</v>
      </c>
      <c r="H1718" s="4">
        <v>0</v>
      </c>
      <c r="I1718" s="4">
        <v>0</v>
      </c>
      <c r="J1718" s="4">
        <v>0</v>
      </c>
      <c r="K1718" s="4">
        <v>63356.79</v>
      </c>
      <c r="L1718" s="4" t="s">
        <v>5226</v>
      </c>
      <c r="M1718" s="4" t="s">
        <v>5227</v>
      </c>
      <c r="N1718" s="4" t="s">
        <v>20</v>
      </c>
      <c r="O1718" s="4" t="s">
        <v>1549</v>
      </c>
      <c r="P1718" s="4" t="s">
        <v>1549</v>
      </c>
      <c r="Q1718" s="8" t="s">
        <v>100</v>
      </c>
      <c r="R1718" s="9">
        <f t="shared" si="27"/>
        <v>9.3404533447250906E-7</v>
      </c>
      <c r="S1718" s="55">
        <f>Tabla3[[#This Row],[Subtotal]]/12</f>
        <v>4436.75</v>
      </c>
    </row>
    <row r="1719" spans="1:19" x14ac:dyDescent="0.2">
      <c r="A1719" s="4">
        <v>1064</v>
      </c>
      <c r="B1719" s="2">
        <v>51428.57</v>
      </c>
      <c r="C1719" s="2">
        <v>0</v>
      </c>
      <c r="D1719" s="4" t="s">
        <v>5231</v>
      </c>
      <c r="E1719" s="2">
        <v>51428.57</v>
      </c>
      <c r="F1719" s="2">
        <v>8821.43</v>
      </c>
      <c r="G1719" s="2">
        <v>0</v>
      </c>
      <c r="H1719" s="4">
        <v>0</v>
      </c>
      <c r="I1719" s="4">
        <v>0</v>
      </c>
      <c r="J1719" s="4">
        <v>0</v>
      </c>
      <c r="K1719" s="4">
        <v>60250</v>
      </c>
      <c r="L1719" s="4" t="s">
        <v>5229</v>
      </c>
      <c r="M1719" s="4" t="s">
        <v>5230</v>
      </c>
      <c r="N1719" s="4" t="s">
        <v>20</v>
      </c>
      <c r="O1719" s="4" t="s">
        <v>1677</v>
      </c>
      <c r="P1719" s="4" t="s">
        <v>1677</v>
      </c>
      <c r="Q1719" s="8" t="s">
        <v>144</v>
      </c>
      <c r="R1719" s="9">
        <f t="shared" si="27"/>
        <v>9.0224856533673012E-7</v>
      </c>
      <c r="S1719" s="55">
        <f>Tabla3[[#This Row],[Subtotal]]/12</f>
        <v>4285.7141666666666</v>
      </c>
    </row>
    <row r="1720" spans="1:19" x14ac:dyDescent="0.2">
      <c r="A1720" s="4">
        <v>1279</v>
      </c>
      <c r="B1720" s="2">
        <v>48823.519999999997</v>
      </c>
      <c r="C1720" s="2">
        <v>0</v>
      </c>
      <c r="D1720" s="4" t="s">
        <v>5234</v>
      </c>
      <c r="E1720" s="2">
        <v>48823.519999999997</v>
      </c>
      <c r="F1720" s="2">
        <v>9276.4699999999993</v>
      </c>
      <c r="G1720" s="2">
        <v>0</v>
      </c>
      <c r="H1720" s="4">
        <v>0</v>
      </c>
      <c r="I1720" s="4">
        <v>0</v>
      </c>
      <c r="J1720" s="4">
        <v>0</v>
      </c>
      <c r="K1720" s="4">
        <v>58099.99</v>
      </c>
      <c r="L1720" s="4" t="s">
        <v>5232</v>
      </c>
      <c r="M1720" s="4" t="s">
        <v>5233</v>
      </c>
      <c r="N1720" s="4" t="s">
        <v>20</v>
      </c>
      <c r="O1720" s="4" t="s">
        <v>1677</v>
      </c>
      <c r="P1720" s="4" t="s">
        <v>1677</v>
      </c>
      <c r="Q1720" s="8" t="s">
        <v>144</v>
      </c>
      <c r="R1720" s="9">
        <f t="shared" si="27"/>
        <v>8.5654629080079698E-7</v>
      </c>
      <c r="S1720" s="55">
        <f>Tabla3[[#This Row],[Subtotal]]/12</f>
        <v>4068.6266666666666</v>
      </c>
    </row>
    <row r="1721" spans="1:19" x14ac:dyDescent="0.2">
      <c r="A1721" s="4">
        <v>1063</v>
      </c>
      <c r="B1721" s="2">
        <v>46218.5</v>
      </c>
      <c r="C1721" s="2">
        <v>0</v>
      </c>
      <c r="D1721" s="4" t="s">
        <v>5237</v>
      </c>
      <c r="E1721" s="2">
        <v>46218.5</v>
      </c>
      <c r="F1721" s="2">
        <v>8781.52</v>
      </c>
      <c r="G1721" s="2">
        <v>0</v>
      </c>
      <c r="H1721" s="4">
        <v>0</v>
      </c>
      <c r="I1721" s="4">
        <v>0</v>
      </c>
      <c r="J1721" s="4">
        <v>0</v>
      </c>
      <c r="K1721" s="4">
        <v>55000.02</v>
      </c>
      <c r="L1721" s="4" t="s">
        <v>5235</v>
      </c>
      <c r="M1721" s="4" t="s">
        <v>5236</v>
      </c>
      <c r="N1721" s="4" t="s">
        <v>20</v>
      </c>
      <c r="O1721" s="4" t="s">
        <v>1677</v>
      </c>
      <c r="P1721" s="4" t="s">
        <v>1677</v>
      </c>
      <c r="Q1721" s="8" t="s">
        <v>144</v>
      </c>
      <c r="R1721" s="9">
        <f t="shared" si="27"/>
        <v>8.108445425765418E-7</v>
      </c>
      <c r="S1721" s="55">
        <f>Tabla3[[#This Row],[Subtotal]]/12</f>
        <v>3851.5416666666665</v>
      </c>
    </row>
    <row r="1722" spans="1:19" x14ac:dyDescent="0.2">
      <c r="A1722" s="4">
        <v>1017</v>
      </c>
      <c r="B1722" s="2">
        <v>46050.42</v>
      </c>
      <c r="C1722" s="2">
        <v>0</v>
      </c>
      <c r="D1722" s="4" t="s">
        <v>5240</v>
      </c>
      <c r="E1722" s="2">
        <v>46050.42</v>
      </c>
      <c r="F1722" s="2">
        <v>8749.58</v>
      </c>
      <c r="G1722" s="2">
        <v>0</v>
      </c>
      <c r="H1722" s="4">
        <v>0</v>
      </c>
      <c r="I1722" s="4">
        <v>0</v>
      </c>
      <c r="J1722" s="4">
        <v>0</v>
      </c>
      <c r="K1722" s="4">
        <v>54800</v>
      </c>
      <c r="L1722" s="4" t="s">
        <v>5238</v>
      </c>
      <c r="M1722" s="4" t="s">
        <v>5239</v>
      </c>
      <c r="N1722" s="4" t="s">
        <v>20</v>
      </c>
      <c r="O1722" s="4" t="s">
        <v>1677</v>
      </c>
      <c r="P1722" s="4" t="s">
        <v>1677</v>
      </c>
      <c r="Q1722" s="8" t="s">
        <v>144</v>
      </c>
      <c r="R1722" s="9">
        <f t="shared" si="27"/>
        <v>8.0789579368343045E-7</v>
      </c>
      <c r="S1722" s="55">
        <f>Tabla3[[#This Row],[Subtotal]]/12</f>
        <v>3837.5349999999999</v>
      </c>
    </row>
    <row r="1723" spans="1:19" x14ac:dyDescent="0.2">
      <c r="A1723" s="4">
        <v>1072</v>
      </c>
      <c r="B1723" s="2">
        <v>45125</v>
      </c>
      <c r="C1723" s="2">
        <v>0</v>
      </c>
      <c r="D1723" s="4" t="s">
        <v>5243</v>
      </c>
      <c r="E1723" s="2">
        <v>45125</v>
      </c>
      <c r="F1723" s="2">
        <v>7623.75</v>
      </c>
      <c r="G1723" s="2">
        <v>0</v>
      </c>
      <c r="H1723" s="4">
        <v>0</v>
      </c>
      <c r="I1723" s="4">
        <v>0</v>
      </c>
      <c r="J1723" s="4">
        <v>0</v>
      </c>
      <c r="K1723" s="4">
        <v>52748.75</v>
      </c>
      <c r="L1723" s="4" t="s">
        <v>5241</v>
      </c>
      <c r="M1723" s="4" t="s">
        <v>5242</v>
      </c>
      <c r="N1723" s="4" t="s">
        <v>20</v>
      </c>
      <c r="O1723" s="4" t="s">
        <v>1677</v>
      </c>
      <c r="P1723" s="4" t="s">
        <v>1677</v>
      </c>
      <c r="Q1723" s="8" t="s">
        <v>144</v>
      </c>
      <c r="R1723" s="9">
        <f t="shared" si="27"/>
        <v>7.9166048192317897E-7</v>
      </c>
      <c r="S1723" s="55">
        <f>Tabla3[[#This Row],[Subtotal]]/12</f>
        <v>3760.4166666666665</v>
      </c>
    </row>
    <row r="1724" spans="1:19" x14ac:dyDescent="0.2">
      <c r="A1724" s="4">
        <v>408</v>
      </c>
      <c r="B1724" s="2">
        <v>44286</v>
      </c>
      <c r="C1724" s="2">
        <v>0</v>
      </c>
      <c r="D1724" s="4" t="s">
        <v>5246</v>
      </c>
      <c r="E1724" s="2">
        <v>44286</v>
      </c>
      <c r="F1724" s="2">
        <v>7464.34</v>
      </c>
      <c r="G1724" s="2">
        <v>0</v>
      </c>
      <c r="H1724" s="4">
        <v>0</v>
      </c>
      <c r="I1724" s="4">
        <v>0</v>
      </c>
      <c r="J1724" s="4">
        <v>0</v>
      </c>
      <c r="K1724" s="4">
        <v>51750.34</v>
      </c>
      <c r="L1724" s="4" t="s">
        <v>5244</v>
      </c>
      <c r="M1724" s="4" t="s">
        <v>5245</v>
      </c>
      <c r="N1724" s="4" t="s">
        <v>20</v>
      </c>
      <c r="O1724" s="4" t="s">
        <v>1677</v>
      </c>
      <c r="P1724" s="4" t="s">
        <v>1677</v>
      </c>
      <c r="Q1724" s="8" t="s">
        <v>144</v>
      </c>
      <c r="R1724" s="9">
        <f t="shared" si="27"/>
        <v>7.7694129866924996E-7</v>
      </c>
      <c r="S1724" s="55">
        <f>Tabla3[[#This Row],[Subtotal]]/12</f>
        <v>3690.5</v>
      </c>
    </row>
    <row r="1725" spans="1:19" x14ac:dyDescent="0.2">
      <c r="A1725" s="4">
        <v>203</v>
      </c>
      <c r="B1725" s="2">
        <v>42941.38</v>
      </c>
      <c r="C1725" s="2">
        <v>0</v>
      </c>
      <c r="D1725" s="4" t="s">
        <v>5249</v>
      </c>
      <c r="E1725" s="2">
        <v>42941.38</v>
      </c>
      <c r="F1725" s="2">
        <v>8158.86</v>
      </c>
      <c r="G1725" s="2">
        <v>0</v>
      </c>
      <c r="H1725" s="4">
        <v>0</v>
      </c>
      <c r="I1725" s="4">
        <v>0</v>
      </c>
      <c r="J1725" s="4">
        <v>0</v>
      </c>
      <c r="K1725" s="4">
        <v>51100.24</v>
      </c>
      <c r="L1725" s="4" t="s">
        <v>5247</v>
      </c>
      <c r="M1725" s="4" t="s">
        <v>5248</v>
      </c>
      <c r="N1725" s="4" t="s">
        <v>20</v>
      </c>
      <c r="O1725" s="4" t="s">
        <v>1677</v>
      </c>
      <c r="P1725" s="4" t="s">
        <v>1677</v>
      </c>
      <c r="Q1725" s="8" t="s">
        <v>144</v>
      </c>
      <c r="R1725" s="9">
        <f t="shared" si="27"/>
        <v>7.5335165839881131E-7</v>
      </c>
      <c r="S1725" s="55">
        <f>Tabla3[[#This Row],[Subtotal]]/12</f>
        <v>3578.4483333333333</v>
      </c>
    </row>
    <row r="1726" spans="1:19" x14ac:dyDescent="0.2">
      <c r="A1726" s="4">
        <v>1006</v>
      </c>
      <c r="B1726" s="2">
        <v>42439</v>
      </c>
      <c r="C1726" s="2">
        <v>0</v>
      </c>
      <c r="D1726" s="4" t="s">
        <v>5252</v>
      </c>
      <c r="E1726" s="2">
        <v>42439</v>
      </c>
      <c r="F1726" s="2">
        <v>8063.41</v>
      </c>
      <c r="G1726" s="2">
        <v>0</v>
      </c>
      <c r="H1726" s="4">
        <v>0</v>
      </c>
      <c r="I1726" s="4">
        <v>0</v>
      </c>
      <c r="J1726" s="4">
        <v>0</v>
      </c>
      <c r="K1726" s="4">
        <v>50502.41</v>
      </c>
      <c r="L1726" s="4" t="s">
        <v>5250</v>
      </c>
      <c r="M1726" s="4" t="s">
        <v>5251</v>
      </c>
      <c r="N1726" s="4" t="s">
        <v>20</v>
      </c>
      <c r="O1726" s="4" t="s">
        <v>3938</v>
      </c>
      <c r="P1726" s="4" t="s">
        <v>3938</v>
      </c>
      <c r="Q1726" s="8" t="s">
        <v>1378</v>
      </c>
      <c r="R1726" s="9">
        <f t="shared" si="27"/>
        <v>7.445380430434968E-7</v>
      </c>
      <c r="S1726" s="55">
        <f>Tabla3[[#This Row],[Subtotal]]/12</f>
        <v>3536.5833333333335</v>
      </c>
    </row>
    <row r="1727" spans="1:19" x14ac:dyDescent="0.2">
      <c r="A1727" s="4">
        <v>1442</v>
      </c>
      <c r="B1727" s="2">
        <v>40008</v>
      </c>
      <c r="C1727" s="2">
        <v>0</v>
      </c>
      <c r="D1727" s="4" t="s">
        <v>5255</v>
      </c>
      <c r="E1727" s="2">
        <v>40008</v>
      </c>
      <c r="F1727" s="2">
        <v>7601.52</v>
      </c>
      <c r="G1727" s="2">
        <v>0</v>
      </c>
      <c r="H1727" s="4">
        <v>0</v>
      </c>
      <c r="I1727" s="4">
        <v>0</v>
      </c>
      <c r="J1727" s="4">
        <v>0</v>
      </c>
      <c r="K1727" s="4">
        <v>47609.52</v>
      </c>
      <c r="L1727" s="4" t="s">
        <v>5253</v>
      </c>
      <c r="M1727" s="4" t="s">
        <v>5254</v>
      </c>
      <c r="N1727" s="4" t="s">
        <v>20</v>
      </c>
      <c r="O1727" s="4" t="s">
        <v>3938</v>
      </c>
      <c r="P1727" s="4" t="s">
        <v>3938</v>
      </c>
      <c r="Q1727" s="8" t="s">
        <v>1378</v>
      </c>
      <c r="R1727" s="9">
        <f t="shared" si="27"/>
        <v>7.0188925342454391E-7</v>
      </c>
      <c r="S1727" s="55">
        <f>Tabla3[[#This Row],[Subtotal]]/12</f>
        <v>3334</v>
      </c>
    </row>
    <row r="1728" spans="1:19" x14ac:dyDescent="0.2">
      <c r="A1728" s="4">
        <v>503</v>
      </c>
      <c r="B1728" s="2">
        <v>38949.58</v>
      </c>
      <c r="C1728" s="2">
        <v>0</v>
      </c>
      <c r="D1728" s="4" t="s">
        <v>5258</v>
      </c>
      <c r="E1728" s="2">
        <v>38949.58</v>
      </c>
      <c r="F1728" s="2">
        <v>7400.42</v>
      </c>
      <c r="G1728" s="2">
        <v>0</v>
      </c>
      <c r="H1728" s="4">
        <v>0</v>
      </c>
      <c r="I1728" s="4">
        <v>0</v>
      </c>
      <c r="J1728" s="4">
        <v>0</v>
      </c>
      <c r="K1728" s="4">
        <v>46350</v>
      </c>
      <c r="L1728" s="4" t="s">
        <v>5256</v>
      </c>
      <c r="M1728" s="4" t="s">
        <v>5257</v>
      </c>
      <c r="N1728" s="4" t="s">
        <v>20</v>
      </c>
      <c r="O1728" s="4" t="s">
        <v>1677</v>
      </c>
      <c r="P1728" s="4" t="s">
        <v>1677</v>
      </c>
      <c r="Q1728" s="8" t="s">
        <v>144</v>
      </c>
      <c r="R1728" s="9">
        <f t="shared" si="27"/>
        <v>6.8332062655967676E-7</v>
      </c>
      <c r="S1728" s="55">
        <f>Tabla3[[#This Row],[Subtotal]]/12</f>
        <v>3245.7983333333336</v>
      </c>
    </row>
    <row r="1729" spans="1:19" x14ac:dyDescent="0.2">
      <c r="A1729" s="4">
        <v>89</v>
      </c>
      <c r="B1729" s="2">
        <v>35042</v>
      </c>
      <c r="C1729" s="2">
        <v>0</v>
      </c>
      <c r="D1729" s="4" t="s">
        <v>5261</v>
      </c>
      <c r="E1729" s="2">
        <v>35042</v>
      </c>
      <c r="F1729" s="2">
        <v>5707.98</v>
      </c>
      <c r="G1729" s="2">
        <v>0</v>
      </c>
      <c r="H1729" s="4">
        <v>0</v>
      </c>
      <c r="I1729" s="4">
        <v>0</v>
      </c>
      <c r="J1729" s="4">
        <v>0</v>
      </c>
      <c r="K1729" s="4">
        <v>40749.980000000003</v>
      </c>
      <c r="L1729" s="4" t="s">
        <v>5259</v>
      </c>
      <c r="M1729" s="4" t="s">
        <v>5260</v>
      </c>
      <c r="N1729" s="4" t="s">
        <v>20</v>
      </c>
      <c r="O1729" s="4" t="s">
        <v>900</v>
      </c>
      <c r="P1729" s="4" t="s">
        <v>900</v>
      </c>
      <c r="Q1729" s="8" t="s">
        <v>144</v>
      </c>
      <c r="R1729" s="9">
        <f t="shared" si="27"/>
        <v>6.1476712703716431E-7</v>
      </c>
      <c r="S1729" s="55">
        <f>Tabla3[[#This Row],[Subtotal]]/12</f>
        <v>2920.1666666666665</v>
      </c>
    </row>
    <row r="1730" spans="1:19" x14ac:dyDescent="0.2">
      <c r="A1730" s="4">
        <v>1743</v>
      </c>
      <c r="B1730" s="2">
        <v>31134.5</v>
      </c>
      <c r="C1730" s="2">
        <v>0</v>
      </c>
      <c r="D1730" s="4" t="s">
        <v>5264</v>
      </c>
      <c r="E1730" s="2">
        <v>31134.5</v>
      </c>
      <c r="F1730" s="2">
        <v>4965.5600000000004</v>
      </c>
      <c r="G1730" s="2">
        <v>0</v>
      </c>
      <c r="H1730" s="4">
        <v>0</v>
      </c>
      <c r="I1730" s="4">
        <v>0</v>
      </c>
      <c r="J1730" s="4">
        <v>0</v>
      </c>
      <c r="K1730" s="4">
        <v>36100.06</v>
      </c>
      <c r="L1730" s="4" t="s">
        <v>5262</v>
      </c>
      <c r="M1730" s="4" t="s">
        <v>5263</v>
      </c>
      <c r="N1730" s="4" t="s">
        <v>20</v>
      </c>
      <c r="O1730" s="4" t="s">
        <v>1677</v>
      </c>
      <c r="P1730" s="4" t="s">
        <v>1677</v>
      </c>
      <c r="Q1730" s="8" t="s">
        <v>144</v>
      </c>
      <c r="R1730" s="9">
        <f t="shared" si="27"/>
        <v>5.4621503101245906E-7</v>
      </c>
      <c r="S1730" s="55">
        <f>Tabla3[[#This Row],[Subtotal]]/12</f>
        <v>2594.5416666666665</v>
      </c>
    </row>
    <row r="1731" spans="1:19" x14ac:dyDescent="0.2">
      <c r="A1731" s="4">
        <v>1606</v>
      </c>
      <c r="B1731" s="2">
        <v>30902</v>
      </c>
      <c r="C1731" s="2">
        <v>0</v>
      </c>
      <c r="D1731" s="4" t="s">
        <v>5267</v>
      </c>
      <c r="E1731" s="2">
        <v>30902</v>
      </c>
      <c r="F1731" s="2">
        <v>5871.38</v>
      </c>
      <c r="G1731" s="2">
        <v>0</v>
      </c>
      <c r="H1731" s="4">
        <v>0</v>
      </c>
      <c r="I1731" s="4">
        <v>0</v>
      </c>
      <c r="J1731" s="4">
        <v>0</v>
      </c>
      <c r="K1731" s="4">
        <v>36773.379999999997</v>
      </c>
      <c r="L1731" s="4" t="s">
        <v>5265</v>
      </c>
      <c r="M1731" s="4" t="s">
        <v>5266</v>
      </c>
      <c r="N1731" s="4" t="s">
        <v>1143</v>
      </c>
      <c r="O1731" s="4" t="s">
        <v>340</v>
      </c>
      <c r="P1731" s="4" t="s">
        <v>340</v>
      </c>
      <c r="Q1731" s="8" t="s">
        <v>100</v>
      </c>
      <c r="R1731" s="9">
        <f t="shared" ref="R1731:R1756" si="28">E1731/$E$1757</f>
        <v>5.4213611551002945E-7</v>
      </c>
      <c r="S1731" s="55">
        <f>Tabla3[[#This Row],[Subtotal]]/12</f>
        <v>2575.1666666666665</v>
      </c>
    </row>
    <row r="1732" spans="1:19" x14ac:dyDescent="0.2">
      <c r="A1732" s="4">
        <v>1018</v>
      </c>
      <c r="B1732" s="2">
        <v>29243.68</v>
      </c>
      <c r="C1732" s="2">
        <v>0</v>
      </c>
      <c r="D1732" s="4" t="s">
        <v>5270</v>
      </c>
      <c r="E1732" s="2">
        <v>29243.68</v>
      </c>
      <c r="F1732" s="2">
        <v>5556.3</v>
      </c>
      <c r="G1732" s="2">
        <v>0</v>
      </c>
      <c r="H1732" s="4">
        <v>0</v>
      </c>
      <c r="I1732" s="4">
        <v>0</v>
      </c>
      <c r="J1732" s="4">
        <v>0</v>
      </c>
      <c r="K1732" s="4">
        <v>34799.980000000003</v>
      </c>
      <c r="L1732" s="4" t="s">
        <v>5268</v>
      </c>
      <c r="M1732" s="4" t="s">
        <v>5269</v>
      </c>
      <c r="N1732" s="4" t="s">
        <v>975</v>
      </c>
      <c r="O1732" s="4" t="s">
        <v>1677</v>
      </c>
      <c r="P1732" s="4" t="s">
        <v>1677</v>
      </c>
      <c r="Q1732" s="8" t="s">
        <v>144</v>
      </c>
      <c r="R1732" s="9">
        <f t="shared" si="28"/>
        <v>5.1304300946276412E-7</v>
      </c>
      <c r="S1732" s="55">
        <f>Tabla3[[#This Row],[Subtotal]]/12</f>
        <v>2436.9733333333334</v>
      </c>
    </row>
    <row r="1733" spans="1:19" x14ac:dyDescent="0.2">
      <c r="A1733" s="4">
        <v>1670</v>
      </c>
      <c r="B1733" s="2">
        <v>27004</v>
      </c>
      <c r="C1733" s="2">
        <v>0</v>
      </c>
      <c r="D1733" s="4" t="s">
        <v>5273</v>
      </c>
      <c r="E1733" s="2">
        <v>27004</v>
      </c>
      <c r="F1733" s="2">
        <v>5130.76</v>
      </c>
      <c r="G1733" s="2">
        <v>0</v>
      </c>
      <c r="H1733" s="4">
        <v>0</v>
      </c>
      <c r="I1733" s="4">
        <v>0</v>
      </c>
      <c r="J1733" s="4">
        <v>0</v>
      </c>
      <c r="K1733" s="4">
        <v>32134.76</v>
      </c>
      <c r="L1733" s="4" t="s">
        <v>5271</v>
      </c>
      <c r="M1733" s="4" t="s">
        <v>5272</v>
      </c>
      <c r="N1733" s="4" t="s">
        <v>1421</v>
      </c>
      <c r="O1733" s="4" t="s">
        <v>3938</v>
      </c>
      <c r="P1733" s="4" t="s">
        <v>3938</v>
      </c>
      <c r="Q1733" s="8" t="s">
        <v>1378</v>
      </c>
      <c r="R1733" s="9">
        <f t="shared" si="28"/>
        <v>4.737506848499396E-7</v>
      </c>
      <c r="S1733" s="55">
        <f>Tabla3[[#This Row],[Subtotal]]/12</f>
        <v>2250.3333333333335</v>
      </c>
    </row>
    <row r="1734" spans="1:19" x14ac:dyDescent="0.2">
      <c r="A1734" s="4">
        <v>369</v>
      </c>
      <c r="B1734" s="2">
        <v>24202</v>
      </c>
      <c r="C1734" s="2">
        <v>0</v>
      </c>
      <c r="D1734" s="4" t="s">
        <v>5276</v>
      </c>
      <c r="E1734" s="2">
        <v>24202</v>
      </c>
      <c r="F1734" s="2">
        <v>4598.38</v>
      </c>
      <c r="G1734" s="2">
        <v>0</v>
      </c>
      <c r="H1734" s="4">
        <v>0</v>
      </c>
      <c r="I1734" s="4">
        <v>0</v>
      </c>
      <c r="J1734" s="4">
        <v>0</v>
      </c>
      <c r="K1734" s="4">
        <v>28800.38</v>
      </c>
      <c r="L1734" s="4" t="s">
        <v>5274</v>
      </c>
      <c r="M1734" s="4" t="s">
        <v>5275</v>
      </c>
      <c r="N1734" s="4" t="s">
        <v>332</v>
      </c>
      <c r="O1734" s="4" t="s">
        <v>1677</v>
      </c>
      <c r="P1734" s="4" t="s">
        <v>1677</v>
      </c>
      <c r="Q1734" s="8" t="s">
        <v>144</v>
      </c>
      <c r="R1734" s="9">
        <f t="shared" si="28"/>
        <v>4.2459317414969035E-7</v>
      </c>
      <c r="S1734" s="55">
        <f>Tabla3[[#This Row],[Subtotal]]/12</f>
        <v>2016.8333333333333</v>
      </c>
    </row>
    <row r="1735" spans="1:19" x14ac:dyDescent="0.2">
      <c r="A1735" s="4">
        <v>202</v>
      </c>
      <c r="B1735" s="2">
        <v>21932.7</v>
      </c>
      <c r="C1735" s="2">
        <v>0</v>
      </c>
      <c r="D1735" s="4" t="s">
        <v>5279</v>
      </c>
      <c r="E1735" s="2">
        <v>21932.7</v>
      </c>
      <c r="F1735" s="2">
        <v>3217.21</v>
      </c>
      <c r="G1735" s="2">
        <v>0</v>
      </c>
      <c r="H1735" s="4">
        <v>0</v>
      </c>
      <c r="I1735" s="4">
        <v>0</v>
      </c>
      <c r="J1735" s="4">
        <v>0</v>
      </c>
      <c r="K1735" s="4">
        <v>25149.91</v>
      </c>
      <c r="L1735" s="4" t="s">
        <v>5277</v>
      </c>
      <c r="M1735" s="4" t="s">
        <v>5278</v>
      </c>
      <c r="N1735" s="4" t="s">
        <v>20</v>
      </c>
      <c r="O1735" s="4" t="s">
        <v>900</v>
      </c>
      <c r="P1735" s="4" t="s">
        <v>900</v>
      </c>
      <c r="Q1735" s="8" t="s">
        <v>144</v>
      </c>
      <c r="R1735" s="9">
        <f t="shared" si="28"/>
        <v>3.8478120447371764E-7</v>
      </c>
      <c r="S1735" s="55">
        <f>Tabla3[[#This Row],[Subtotal]]/12</f>
        <v>1827.7250000000001</v>
      </c>
    </row>
    <row r="1736" spans="1:19" x14ac:dyDescent="0.2">
      <c r="A1736" s="4">
        <v>1289</v>
      </c>
      <c r="B1736" s="2">
        <v>20798.32</v>
      </c>
      <c r="C1736" s="2">
        <v>0</v>
      </c>
      <c r="D1736" s="4" t="s">
        <v>5282</v>
      </c>
      <c r="E1736" s="2">
        <v>20798.32</v>
      </c>
      <c r="F1736" s="2">
        <v>3001.68</v>
      </c>
      <c r="G1736" s="2">
        <v>0</v>
      </c>
      <c r="H1736" s="4">
        <v>0</v>
      </c>
      <c r="I1736" s="4">
        <v>0</v>
      </c>
      <c r="J1736" s="4">
        <v>0</v>
      </c>
      <c r="K1736" s="4">
        <v>23800</v>
      </c>
      <c r="L1736" s="4" t="s">
        <v>5280</v>
      </c>
      <c r="M1736" s="4" t="s">
        <v>5281</v>
      </c>
      <c r="N1736" s="4" t="s">
        <v>20</v>
      </c>
      <c r="O1736" s="4" t="s">
        <v>1677</v>
      </c>
      <c r="P1736" s="4" t="s">
        <v>1677</v>
      </c>
      <c r="Q1736" s="8" t="s">
        <v>144</v>
      </c>
      <c r="R1736" s="9">
        <f t="shared" si="28"/>
        <v>3.6487995644083085E-7</v>
      </c>
      <c r="S1736" s="55">
        <f>Tabla3[[#This Row],[Subtotal]]/12</f>
        <v>1733.1933333333334</v>
      </c>
    </row>
    <row r="1737" spans="1:19" x14ac:dyDescent="0.2">
      <c r="A1737" s="4">
        <v>190</v>
      </c>
      <c r="B1737" s="2">
        <v>19394.96</v>
      </c>
      <c r="C1737" s="2">
        <v>0</v>
      </c>
      <c r="D1737" s="4" t="s">
        <v>5285</v>
      </c>
      <c r="E1737" s="2">
        <v>19394.96</v>
      </c>
      <c r="F1737" s="2">
        <v>2735.04</v>
      </c>
      <c r="G1737" s="2">
        <v>0</v>
      </c>
      <c r="H1737" s="4">
        <v>0</v>
      </c>
      <c r="I1737" s="4">
        <v>0</v>
      </c>
      <c r="J1737" s="4">
        <v>0</v>
      </c>
      <c r="K1737" s="4">
        <v>22130</v>
      </c>
      <c r="L1737" s="4" t="s">
        <v>5283</v>
      </c>
      <c r="M1737" s="4" t="s">
        <v>5284</v>
      </c>
      <c r="N1737" s="4" t="s">
        <v>20</v>
      </c>
      <c r="O1737" s="4" t="s">
        <v>1677</v>
      </c>
      <c r="P1737" s="4" t="s">
        <v>1677</v>
      </c>
      <c r="Q1737" s="8" t="s">
        <v>144</v>
      </c>
      <c r="R1737" s="9">
        <f t="shared" si="28"/>
        <v>3.4025979790539125E-7</v>
      </c>
      <c r="S1737" s="55">
        <f>Tabla3[[#This Row],[Subtotal]]/12</f>
        <v>1616.2466666666667</v>
      </c>
    </row>
    <row r="1738" spans="1:19" x14ac:dyDescent="0.2">
      <c r="A1738" s="4">
        <v>871</v>
      </c>
      <c r="B1738" s="2">
        <v>15798.32</v>
      </c>
      <c r="C1738" s="2">
        <v>0</v>
      </c>
      <c r="D1738" s="4" t="s">
        <v>5288</v>
      </c>
      <c r="E1738" s="2">
        <v>15798.32</v>
      </c>
      <c r="F1738" s="2">
        <v>3001.68</v>
      </c>
      <c r="G1738" s="2">
        <v>0</v>
      </c>
      <c r="H1738" s="4">
        <v>0</v>
      </c>
      <c r="I1738" s="4">
        <v>0</v>
      </c>
      <c r="J1738" s="4">
        <v>0</v>
      </c>
      <c r="K1738" s="4">
        <v>18800</v>
      </c>
      <c r="L1738" s="4" t="s">
        <v>5286</v>
      </c>
      <c r="M1738" s="4" t="s">
        <v>5287</v>
      </c>
      <c r="N1738" s="4" t="s">
        <v>20</v>
      </c>
      <c r="O1738" s="4" t="s">
        <v>1677</v>
      </c>
      <c r="P1738" s="4" t="s">
        <v>1677</v>
      </c>
      <c r="Q1738" s="8" t="s">
        <v>144</v>
      </c>
      <c r="R1738" s="9">
        <f t="shared" si="28"/>
        <v>2.7716134348535393E-7</v>
      </c>
      <c r="S1738" s="55">
        <f>Tabla3[[#This Row],[Subtotal]]/12</f>
        <v>1316.5266666666666</v>
      </c>
    </row>
    <row r="1739" spans="1:19" x14ac:dyDescent="0.2">
      <c r="A1739" s="4">
        <v>1579</v>
      </c>
      <c r="B1739" s="2">
        <v>15769.94</v>
      </c>
      <c r="C1739" s="2">
        <v>0</v>
      </c>
      <c r="D1739" s="4" t="s">
        <v>5291</v>
      </c>
      <c r="E1739" s="2">
        <v>15769.94</v>
      </c>
      <c r="F1739" s="2">
        <v>2996.29</v>
      </c>
      <c r="G1739" s="2">
        <v>0</v>
      </c>
      <c r="H1739" s="4">
        <v>0</v>
      </c>
      <c r="I1739" s="4">
        <v>0</v>
      </c>
      <c r="J1739" s="4">
        <v>0</v>
      </c>
      <c r="K1739" s="4">
        <v>18766.23</v>
      </c>
      <c r="L1739" s="4" t="s">
        <v>5289</v>
      </c>
      <c r="M1739" s="4" t="s">
        <v>5290</v>
      </c>
      <c r="N1739" s="4" t="s">
        <v>648</v>
      </c>
      <c r="O1739" s="4" t="s">
        <v>900</v>
      </c>
      <c r="P1739" s="4" t="s">
        <v>900</v>
      </c>
      <c r="Q1739" s="8" t="s">
        <v>144</v>
      </c>
      <c r="R1739" s="9">
        <f t="shared" si="28"/>
        <v>2.766634526382187E-7</v>
      </c>
      <c r="S1739" s="55">
        <f>Tabla3[[#This Row],[Subtotal]]/12</f>
        <v>1314.1616666666666</v>
      </c>
    </row>
    <row r="1740" spans="1:19" x14ac:dyDescent="0.2">
      <c r="A1740" s="4">
        <v>1007</v>
      </c>
      <c r="B1740" s="2">
        <v>14453.78</v>
      </c>
      <c r="C1740" s="2">
        <v>0</v>
      </c>
      <c r="D1740" s="4" t="s">
        <v>5294</v>
      </c>
      <c r="E1740" s="2">
        <v>14453.78</v>
      </c>
      <c r="F1740" s="2">
        <v>2746.22</v>
      </c>
      <c r="G1740" s="2">
        <v>0</v>
      </c>
      <c r="H1740" s="4">
        <v>0</v>
      </c>
      <c r="I1740" s="4">
        <v>0</v>
      </c>
      <c r="J1740" s="4">
        <v>0</v>
      </c>
      <c r="K1740" s="4">
        <v>17200</v>
      </c>
      <c r="L1740" s="4" t="s">
        <v>5292</v>
      </c>
      <c r="M1740" s="4" t="s">
        <v>5293</v>
      </c>
      <c r="N1740" s="4" t="s">
        <v>20</v>
      </c>
      <c r="O1740" s="4" t="s">
        <v>1677</v>
      </c>
      <c r="P1740" s="4" t="s">
        <v>1677</v>
      </c>
      <c r="Q1740" s="8" t="s">
        <v>144</v>
      </c>
      <c r="R1740" s="9">
        <f t="shared" si="28"/>
        <v>2.5357310671272259E-7</v>
      </c>
      <c r="S1740" s="55">
        <f>Tabla3[[#This Row],[Subtotal]]/12</f>
        <v>1204.4816666666668</v>
      </c>
    </row>
    <row r="1741" spans="1:19" x14ac:dyDescent="0.2">
      <c r="A1741" s="4">
        <v>162</v>
      </c>
      <c r="B1741" s="2">
        <v>0</v>
      </c>
      <c r="C1741" s="2">
        <v>0</v>
      </c>
      <c r="D1741" s="4" t="s">
        <v>5297</v>
      </c>
      <c r="E1741" s="2">
        <v>0</v>
      </c>
      <c r="F1741" s="2">
        <v>0</v>
      </c>
      <c r="G1741" s="2">
        <v>0</v>
      </c>
      <c r="H1741" s="4">
        <v>0</v>
      </c>
      <c r="I1741" s="4">
        <v>0</v>
      </c>
      <c r="J1741" s="4">
        <v>0</v>
      </c>
      <c r="K1741" s="4">
        <v>0</v>
      </c>
      <c r="L1741" s="4" t="s">
        <v>5295</v>
      </c>
      <c r="M1741" s="4" t="s">
        <v>5296</v>
      </c>
      <c r="N1741" s="4" t="s">
        <v>218</v>
      </c>
      <c r="O1741" s="4" t="s">
        <v>196</v>
      </c>
      <c r="P1741" s="4" t="s">
        <v>196</v>
      </c>
      <c r="Q1741" s="8" t="s">
        <v>100</v>
      </c>
      <c r="R1741" s="9">
        <f t="shared" si="28"/>
        <v>0</v>
      </c>
      <c r="S1741" s="55">
        <f>Tabla3[[#This Row],[Subtotal]]/12</f>
        <v>0</v>
      </c>
    </row>
    <row r="1742" spans="1:19" x14ac:dyDescent="0.2">
      <c r="A1742" s="4">
        <v>321</v>
      </c>
      <c r="B1742" s="2">
        <v>0</v>
      </c>
      <c r="C1742" s="2">
        <v>0</v>
      </c>
      <c r="D1742" s="4" t="s">
        <v>5300</v>
      </c>
      <c r="E1742" s="2">
        <v>0</v>
      </c>
      <c r="F1742" s="2">
        <v>0</v>
      </c>
      <c r="G1742" s="2">
        <v>0</v>
      </c>
      <c r="H1742" s="4">
        <v>0</v>
      </c>
      <c r="I1742" s="4">
        <v>0</v>
      </c>
      <c r="J1742" s="4">
        <v>0</v>
      </c>
      <c r="K1742" s="4">
        <v>0</v>
      </c>
      <c r="L1742" s="4" t="s">
        <v>5298</v>
      </c>
      <c r="M1742" s="4" t="s">
        <v>5299</v>
      </c>
      <c r="N1742" s="4" t="s">
        <v>20</v>
      </c>
      <c r="O1742" s="4" t="s">
        <v>257</v>
      </c>
      <c r="P1742" s="4" t="s">
        <v>257</v>
      </c>
      <c r="Q1742" s="8" t="s">
        <v>100</v>
      </c>
      <c r="R1742" s="9">
        <f t="shared" si="28"/>
        <v>0</v>
      </c>
      <c r="S1742" s="55">
        <f>Tabla3[[#This Row],[Subtotal]]/12</f>
        <v>0</v>
      </c>
    </row>
    <row r="1743" spans="1:19" x14ac:dyDescent="0.2">
      <c r="A1743" s="4">
        <v>341</v>
      </c>
      <c r="B1743" s="2">
        <v>0</v>
      </c>
      <c r="C1743" s="2">
        <v>0</v>
      </c>
      <c r="D1743" s="4" t="s">
        <v>5303</v>
      </c>
      <c r="E1743" s="2">
        <v>0</v>
      </c>
      <c r="F1743" s="2">
        <v>0</v>
      </c>
      <c r="G1743" s="2">
        <v>0</v>
      </c>
      <c r="H1743" s="4">
        <v>0</v>
      </c>
      <c r="I1743" s="4">
        <v>0</v>
      </c>
      <c r="J1743" s="4">
        <v>0</v>
      </c>
      <c r="K1743" s="4">
        <v>0</v>
      </c>
      <c r="L1743" s="4" t="s">
        <v>5301</v>
      </c>
      <c r="M1743" s="4" t="s">
        <v>5302</v>
      </c>
      <c r="N1743" s="4" t="s">
        <v>104</v>
      </c>
      <c r="O1743" s="4" t="s">
        <v>76</v>
      </c>
      <c r="P1743" s="4" t="s">
        <v>76</v>
      </c>
      <c r="Q1743" s="8" t="s">
        <v>408</v>
      </c>
      <c r="R1743" s="9">
        <f t="shared" si="28"/>
        <v>0</v>
      </c>
      <c r="S1743" s="55">
        <f>Tabla3[[#This Row],[Subtotal]]/12</f>
        <v>0</v>
      </c>
    </row>
    <row r="1744" spans="1:19" x14ac:dyDescent="0.2">
      <c r="A1744" s="4">
        <v>405</v>
      </c>
      <c r="B1744" s="2">
        <v>0</v>
      </c>
      <c r="C1744" s="2">
        <v>0</v>
      </c>
      <c r="D1744" s="4" t="s">
        <v>5306</v>
      </c>
      <c r="E1744" s="2">
        <v>0</v>
      </c>
      <c r="F1744" s="2">
        <v>0</v>
      </c>
      <c r="G1744" s="2">
        <v>0</v>
      </c>
      <c r="H1744" s="4">
        <v>0</v>
      </c>
      <c r="I1744" s="4">
        <v>0</v>
      </c>
      <c r="J1744" s="4">
        <v>0</v>
      </c>
      <c r="K1744" s="4">
        <v>0</v>
      </c>
      <c r="L1744" s="4" t="s">
        <v>5304</v>
      </c>
      <c r="M1744" s="4" t="s">
        <v>5305</v>
      </c>
      <c r="N1744" s="4" t="s">
        <v>20</v>
      </c>
      <c r="O1744" s="4" t="s">
        <v>2863</v>
      </c>
      <c r="P1744" s="4" t="s">
        <v>2863</v>
      </c>
      <c r="Q1744" s="8" t="s">
        <v>100</v>
      </c>
      <c r="R1744" s="9">
        <f t="shared" si="28"/>
        <v>0</v>
      </c>
      <c r="S1744" s="55">
        <f>Tabla3[[#This Row],[Subtotal]]/12</f>
        <v>0</v>
      </c>
    </row>
    <row r="1745" spans="1:19" x14ac:dyDescent="0.2">
      <c r="A1745" s="4">
        <v>455</v>
      </c>
      <c r="B1745" s="2">
        <v>0</v>
      </c>
      <c r="C1745" s="2">
        <v>0</v>
      </c>
      <c r="D1745" s="4" t="s">
        <v>5308</v>
      </c>
      <c r="E1745" s="2">
        <v>0</v>
      </c>
      <c r="F1745" s="2">
        <v>0</v>
      </c>
      <c r="G1745" s="2">
        <v>0</v>
      </c>
      <c r="H1745" s="4">
        <v>0</v>
      </c>
      <c r="I1745" s="4">
        <v>0</v>
      </c>
      <c r="J1745" s="4">
        <v>0</v>
      </c>
      <c r="K1745" s="4">
        <v>0</v>
      </c>
      <c r="L1745" s="4" t="s">
        <v>5307</v>
      </c>
      <c r="M1745" s="4" t="s">
        <v>5307</v>
      </c>
      <c r="N1745" s="4" t="s">
        <v>159</v>
      </c>
      <c r="O1745" s="4" t="s">
        <v>160</v>
      </c>
      <c r="P1745" s="4" t="s">
        <v>160</v>
      </c>
      <c r="Q1745" s="8" t="s">
        <v>100</v>
      </c>
      <c r="R1745" s="9">
        <f t="shared" si="28"/>
        <v>0</v>
      </c>
      <c r="S1745" s="55">
        <f>Tabla3[[#This Row],[Subtotal]]/12</f>
        <v>0</v>
      </c>
    </row>
    <row r="1746" spans="1:19" x14ac:dyDescent="0.2">
      <c r="A1746" s="4">
        <v>511</v>
      </c>
      <c r="B1746" s="2">
        <v>0</v>
      </c>
      <c r="C1746" s="2">
        <v>0</v>
      </c>
      <c r="D1746" s="4" t="s">
        <v>5311</v>
      </c>
      <c r="E1746" s="2">
        <v>0</v>
      </c>
      <c r="F1746" s="2">
        <v>0</v>
      </c>
      <c r="G1746" s="2">
        <v>0</v>
      </c>
      <c r="H1746" s="4">
        <v>0</v>
      </c>
      <c r="I1746" s="4">
        <v>0</v>
      </c>
      <c r="J1746" s="4">
        <v>0</v>
      </c>
      <c r="K1746" s="4">
        <v>0</v>
      </c>
      <c r="L1746" s="4" t="s">
        <v>5309</v>
      </c>
      <c r="M1746" s="4" t="s">
        <v>5310</v>
      </c>
      <c r="N1746" s="4" t="s">
        <v>5312</v>
      </c>
      <c r="O1746" s="4" t="s">
        <v>113</v>
      </c>
      <c r="P1746" s="4" t="s">
        <v>113</v>
      </c>
      <c r="Q1746" s="8" t="s">
        <v>100</v>
      </c>
      <c r="R1746" s="9">
        <f t="shared" si="28"/>
        <v>0</v>
      </c>
      <c r="S1746" s="55">
        <f>Tabla3[[#This Row],[Subtotal]]/12</f>
        <v>0</v>
      </c>
    </row>
    <row r="1747" spans="1:19" x14ac:dyDescent="0.2">
      <c r="A1747" s="4">
        <v>650</v>
      </c>
      <c r="B1747" s="2">
        <v>0</v>
      </c>
      <c r="C1747" s="2">
        <v>0</v>
      </c>
      <c r="D1747" s="4" t="s">
        <v>5315</v>
      </c>
      <c r="E1747" s="2">
        <v>0</v>
      </c>
      <c r="F1747" s="2">
        <v>0</v>
      </c>
      <c r="G1747" s="2">
        <v>0</v>
      </c>
      <c r="H1747" s="4">
        <v>0</v>
      </c>
      <c r="I1747" s="4">
        <v>0</v>
      </c>
      <c r="J1747" s="4">
        <v>0</v>
      </c>
      <c r="K1747" s="4">
        <v>0</v>
      </c>
      <c r="L1747" s="4" t="s">
        <v>5313</v>
      </c>
      <c r="M1747" s="4" t="s">
        <v>5314</v>
      </c>
      <c r="N1747" s="4" t="s">
        <v>20</v>
      </c>
      <c r="O1747" s="4" t="s">
        <v>692</v>
      </c>
      <c r="P1747" s="4" t="s">
        <v>692</v>
      </c>
      <c r="Q1747" s="8" t="s">
        <v>100</v>
      </c>
      <c r="R1747" s="9">
        <f t="shared" si="28"/>
        <v>0</v>
      </c>
      <c r="S1747" s="55">
        <f>Tabla3[[#This Row],[Subtotal]]/12</f>
        <v>0</v>
      </c>
    </row>
    <row r="1748" spans="1:19" x14ac:dyDescent="0.2">
      <c r="A1748" s="4">
        <v>1078</v>
      </c>
      <c r="B1748" s="2">
        <v>0</v>
      </c>
      <c r="C1748" s="2">
        <v>0</v>
      </c>
      <c r="D1748" s="4" t="s">
        <v>5318</v>
      </c>
      <c r="E1748" s="2">
        <v>0</v>
      </c>
      <c r="F1748" s="2">
        <v>0</v>
      </c>
      <c r="G1748" s="2">
        <v>0</v>
      </c>
      <c r="H1748" s="4">
        <v>0</v>
      </c>
      <c r="I1748" s="4">
        <v>0</v>
      </c>
      <c r="J1748" s="4">
        <v>0</v>
      </c>
      <c r="K1748" s="4">
        <v>0</v>
      </c>
      <c r="L1748" s="4" t="s">
        <v>5316</v>
      </c>
      <c r="M1748" s="4" t="s">
        <v>5317</v>
      </c>
      <c r="N1748" s="4" t="s">
        <v>468</v>
      </c>
      <c r="O1748" s="4" t="s">
        <v>105</v>
      </c>
      <c r="P1748" s="4" t="s">
        <v>105</v>
      </c>
      <c r="Q1748" s="8" t="s">
        <v>100</v>
      </c>
      <c r="R1748" s="9">
        <f t="shared" si="28"/>
        <v>0</v>
      </c>
      <c r="S1748" s="55">
        <f>Tabla3[[#This Row],[Subtotal]]/12</f>
        <v>0</v>
      </c>
    </row>
    <row r="1749" spans="1:19" x14ac:dyDescent="0.2">
      <c r="A1749" s="4">
        <v>1091</v>
      </c>
      <c r="B1749" s="2">
        <v>0</v>
      </c>
      <c r="C1749" s="2">
        <v>0</v>
      </c>
      <c r="D1749" s="4" t="s">
        <v>5321</v>
      </c>
      <c r="E1749" s="2">
        <v>0</v>
      </c>
      <c r="F1749" s="2">
        <v>0</v>
      </c>
      <c r="G1749" s="2">
        <v>0</v>
      </c>
      <c r="H1749" s="4">
        <v>0</v>
      </c>
      <c r="I1749" s="4">
        <v>0</v>
      </c>
      <c r="J1749" s="4">
        <v>0</v>
      </c>
      <c r="K1749" s="4">
        <v>0</v>
      </c>
      <c r="L1749" s="4" t="s">
        <v>5319</v>
      </c>
      <c r="M1749" s="4" t="s">
        <v>5320</v>
      </c>
      <c r="N1749" s="4" t="s">
        <v>332</v>
      </c>
      <c r="O1749" s="4" t="s">
        <v>1677</v>
      </c>
      <c r="P1749" s="4" t="s">
        <v>1677</v>
      </c>
      <c r="Q1749" s="8" t="s">
        <v>144</v>
      </c>
      <c r="R1749" s="9">
        <f t="shared" si="28"/>
        <v>0</v>
      </c>
      <c r="S1749" s="55">
        <f>Tabla3[[#This Row],[Subtotal]]/12</f>
        <v>0</v>
      </c>
    </row>
    <row r="1750" spans="1:19" x14ac:dyDescent="0.2">
      <c r="A1750" s="4">
        <v>1388</v>
      </c>
      <c r="B1750" s="2">
        <v>0</v>
      </c>
      <c r="C1750" s="2">
        <v>0</v>
      </c>
      <c r="D1750" s="4" t="s">
        <v>5324</v>
      </c>
      <c r="E1750" s="2">
        <v>0</v>
      </c>
      <c r="F1750" s="2">
        <v>0</v>
      </c>
      <c r="G1750" s="2">
        <v>0</v>
      </c>
      <c r="H1750" s="4">
        <v>0</v>
      </c>
      <c r="I1750" s="4">
        <v>0</v>
      </c>
      <c r="J1750" s="4">
        <v>0</v>
      </c>
      <c r="K1750" s="4">
        <v>0</v>
      </c>
      <c r="L1750" s="4" t="s">
        <v>5322</v>
      </c>
      <c r="M1750" s="4" t="s">
        <v>5323</v>
      </c>
      <c r="N1750" s="4" t="s">
        <v>127</v>
      </c>
      <c r="O1750" s="4" t="s">
        <v>67</v>
      </c>
      <c r="P1750" s="4" t="s">
        <v>67</v>
      </c>
      <c r="Q1750" s="8" t="s">
        <v>100</v>
      </c>
      <c r="R1750" s="9">
        <f t="shared" si="28"/>
        <v>0</v>
      </c>
      <c r="S1750" s="55">
        <f>Tabla3[[#This Row],[Subtotal]]/12</f>
        <v>0</v>
      </c>
    </row>
    <row r="1751" spans="1:19" x14ac:dyDescent="0.2">
      <c r="A1751" s="4">
        <v>1495</v>
      </c>
      <c r="B1751" s="2">
        <v>0</v>
      </c>
      <c r="C1751" s="2">
        <v>0</v>
      </c>
      <c r="D1751" s="4" t="s">
        <v>5327</v>
      </c>
      <c r="E1751" s="2">
        <v>0</v>
      </c>
      <c r="F1751" s="2">
        <v>0</v>
      </c>
      <c r="G1751" s="2">
        <v>0</v>
      </c>
      <c r="H1751" s="4">
        <v>0</v>
      </c>
      <c r="I1751" s="4">
        <v>0</v>
      </c>
      <c r="J1751" s="4">
        <v>0</v>
      </c>
      <c r="K1751" s="4">
        <v>0</v>
      </c>
      <c r="L1751" s="4" t="s">
        <v>5325</v>
      </c>
      <c r="M1751" s="4" t="s">
        <v>5326</v>
      </c>
      <c r="N1751" s="4" t="s">
        <v>20</v>
      </c>
      <c r="O1751" s="4" t="s">
        <v>631</v>
      </c>
      <c r="P1751" s="4" t="s">
        <v>631</v>
      </c>
      <c r="Q1751" s="8" t="s">
        <v>100</v>
      </c>
      <c r="R1751" s="9">
        <f t="shared" si="28"/>
        <v>0</v>
      </c>
      <c r="S1751" s="55">
        <f>Tabla3[[#This Row],[Subtotal]]/12</f>
        <v>0</v>
      </c>
    </row>
    <row r="1752" spans="1:19" x14ac:dyDescent="0.2">
      <c r="A1752" s="4">
        <v>1587</v>
      </c>
      <c r="B1752" s="2">
        <v>0</v>
      </c>
      <c r="C1752" s="2">
        <v>0</v>
      </c>
      <c r="D1752" s="4" t="s">
        <v>5330</v>
      </c>
      <c r="E1752" s="2">
        <v>0</v>
      </c>
      <c r="F1752" s="2">
        <v>0</v>
      </c>
      <c r="G1752" s="2">
        <v>0</v>
      </c>
      <c r="H1752" s="4">
        <v>0</v>
      </c>
      <c r="I1752" s="4">
        <v>0</v>
      </c>
      <c r="J1752" s="4">
        <v>0</v>
      </c>
      <c r="K1752" s="4">
        <v>0</v>
      </c>
      <c r="L1752" s="4" t="s">
        <v>5328</v>
      </c>
      <c r="M1752" s="4" t="s">
        <v>5329</v>
      </c>
      <c r="N1752" s="4" t="s">
        <v>127</v>
      </c>
      <c r="O1752" s="4" t="s">
        <v>67</v>
      </c>
      <c r="P1752" s="4" t="s">
        <v>67</v>
      </c>
      <c r="Q1752" s="8" t="s">
        <v>100</v>
      </c>
      <c r="R1752" s="9">
        <f t="shared" si="28"/>
        <v>0</v>
      </c>
      <c r="S1752" s="55">
        <f>Tabla3[[#This Row],[Subtotal]]/12</f>
        <v>0</v>
      </c>
    </row>
    <row r="1753" spans="1:19" x14ac:dyDescent="0.2">
      <c r="A1753" s="4">
        <v>1660</v>
      </c>
      <c r="B1753" s="2">
        <v>-0.15</v>
      </c>
      <c r="C1753" s="2">
        <v>0</v>
      </c>
      <c r="D1753" s="4" t="s">
        <v>5333</v>
      </c>
      <c r="E1753" s="2">
        <v>-0.15</v>
      </c>
      <c r="F1753" s="2">
        <v>-0.03</v>
      </c>
      <c r="G1753" s="2">
        <v>0</v>
      </c>
      <c r="H1753" s="4">
        <v>0</v>
      </c>
      <c r="I1753" s="4">
        <v>0</v>
      </c>
      <c r="J1753" s="4">
        <v>0</v>
      </c>
      <c r="K1753" s="4">
        <v>-0.18</v>
      </c>
      <c r="L1753" s="4" t="s">
        <v>5331</v>
      </c>
      <c r="M1753" s="4" t="s">
        <v>5332</v>
      </c>
      <c r="N1753" s="4" t="s">
        <v>5334</v>
      </c>
      <c r="O1753" s="4" t="s">
        <v>1188</v>
      </c>
      <c r="P1753" s="4" t="s">
        <v>1188</v>
      </c>
      <c r="Q1753" s="8" t="s">
        <v>100</v>
      </c>
      <c r="R1753" s="9">
        <f t="shared" si="28"/>
        <v>-2.6315583886643068E-12</v>
      </c>
      <c r="S1753" s="55">
        <f>Tabla3[[#This Row],[Subtotal]]/12</f>
        <v>-1.2499999999999999E-2</v>
      </c>
    </row>
    <row r="1754" spans="1:19" x14ac:dyDescent="0.2">
      <c r="A1754" s="4">
        <v>1456</v>
      </c>
      <c r="B1754" s="2">
        <v>-57850</v>
      </c>
      <c r="C1754" s="2">
        <v>0</v>
      </c>
      <c r="D1754" s="4" t="s">
        <v>5337</v>
      </c>
      <c r="E1754" s="2">
        <v>-57850</v>
      </c>
      <c r="F1754" s="2">
        <v>-10991.5</v>
      </c>
      <c r="G1754" s="2">
        <v>0</v>
      </c>
      <c r="H1754" s="4">
        <v>0</v>
      </c>
      <c r="I1754" s="4">
        <v>0</v>
      </c>
      <c r="J1754" s="4">
        <v>0</v>
      </c>
      <c r="K1754" s="4">
        <v>-68841.5</v>
      </c>
      <c r="L1754" s="4" t="s">
        <v>5335</v>
      </c>
      <c r="M1754" s="4" t="s">
        <v>5336</v>
      </c>
      <c r="N1754" s="4" t="s">
        <v>2167</v>
      </c>
      <c r="O1754" s="4" t="s">
        <v>105</v>
      </c>
      <c r="P1754" s="4" t="s">
        <v>105</v>
      </c>
      <c r="Q1754" s="8" t="s">
        <v>100</v>
      </c>
      <c r="R1754" s="9">
        <f t="shared" si="28"/>
        <v>-1.0149043518948677E-6</v>
      </c>
      <c r="S1754" s="55">
        <f>Tabla3[[#This Row],[Subtotal]]/12</f>
        <v>-4820.833333333333</v>
      </c>
    </row>
    <row r="1755" spans="1:19" x14ac:dyDescent="0.2">
      <c r="A1755" s="4">
        <v>934</v>
      </c>
      <c r="B1755" s="2">
        <v>-235652</v>
      </c>
      <c r="C1755" s="2">
        <v>0</v>
      </c>
      <c r="D1755" s="4" t="s">
        <v>2258</v>
      </c>
      <c r="E1755" s="2">
        <v>-235652</v>
      </c>
      <c r="F1755" s="2">
        <v>-44773.88</v>
      </c>
      <c r="G1755" s="2">
        <v>0</v>
      </c>
      <c r="H1755" s="4">
        <v>0</v>
      </c>
      <c r="I1755" s="4">
        <v>0</v>
      </c>
      <c r="J1755" s="4">
        <v>0</v>
      </c>
      <c r="K1755" s="4">
        <v>-280425.88</v>
      </c>
      <c r="L1755" s="4" t="s">
        <v>2256</v>
      </c>
      <c r="M1755" s="4" t="s">
        <v>2257</v>
      </c>
      <c r="N1755" s="4" t="s">
        <v>20</v>
      </c>
      <c r="O1755" s="4" t="s">
        <v>1517</v>
      </c>
      <c r="P1755" s="4" t="s">
        <v>603</v>
      </c>
      <c r="Q1755" s="8" t="s">
        <v>100</v>
      </c>
      <c r="R1755" s="9">
        <f t="shared" si="28"/>
        <v>-4.1342133160368084E-6</v>
      </c>
      <c r="S1755" s="55">
        <f>Tabla3[[#This Row],[Subtotal]]/12</f>
        <v>-19637.666666666668</v>
      </c>
    </row>
    <row r="1756" spans="1:19" x14ac:dyDescent="0.2">
      <c r="A1756" s="4">
        <v>393</v>
      </c>
      <c r="B1756" s="2">
        <v>-1477962</v>
      </c>
      <c r="C1756" s="2">
        <v>0</v>
      </c>
      <c r="D1756" s="4" t="s">
        <v>5339</v>
      </c>
      <c r="E1756" s="2">
        <v>-1477962</v>
      </c>
      <c r="F1756" s="2">
        <v>-280812.78000000003</v>
      </c>
      <c r="G1756" s="2">
        <v>-40812.75</v>
      </c>
      <c r="H1756" s="4">
        <v>-42121.919999999998</v>
      </c>
      <c r="I1756" s="4">
        <v>0</v>
      </c>
      <c r="J1756" s="4">
        <v>-82934.67</v>
      </c>
      <c r="K1756" s="4">
        <v>-1675840.11</v>
      </c>
      <c r="L1756" s="4" t="s">
        <v>5338</v>
      </c>
      <c r="M1756" s="4" t="s">
        <v>137</v>
      </c>
      <c r="N1756" s="4" t="s">
        <v>293</v>
      </c>
      <c r="O1756" s="4" t="s">
        <v>229</v>
      </c>
      <c r="P1756" s="4" t="s">
        <v>229</v>
      </c>
      <c r="Q1756" s="8" t="s">
        <v>22</v>
      </c>
      <c r="R1756" s="9">
        <f t="shared" si="28"/>
        <v>-2.5928955328180509E-5</v>
      </c>
      <c r="S1756" s="55">
        <f>Tabla3[[#This Row],[Subtotal]]/12</f>
        <v>-123163.5</v>
      </c>
    </row>
    <row r="1757" spans="1:19" x14ac:dyDescent="0.2">
      <c r="E1757" s="3">
        <f>SUM(E2:E1753)</f>
        <v>57000445305.009972</v>
      </c>
      <c r="S1757" s="58">
        <f>Tabla3[[#This Row],[Subtotal]]/12</f>
        <v>4750037108.7508307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CD21-289C-AE46-AE29-9FBDF16A7EC9}">
  <dimension ref="B1:R45"/>
  <sheetViews>
    <sheetView topLeftCell="C19" zoomScale="136" zoomScaleNormal="170" workbookViewId="0">
      <selection activeCell="R32" sqref="R32:R36"/>
    </sheetView>
  </sheetViews>
  <sheetFormatPr baseColWidth="10" defaultRowHeight="15" x14ac:dyDescent="0.2"/>
  <cols>
    <col min="2" max="2" width="19" bestFit="1" customWidth="1"/>
    <col min="3" max="3" width="37" bestFit="1" customWidth="1"/>
    <col min="4" max="4" width="17.5" bestFit="1" customWidth="1"/>
    <col min="6" max="6" width="19" bestFit="1" customWidth="1"/>
    <col min="7" max="7" width="16" bestFit="1" customWidth="1"/>
    <col min="8" max="8" width="16" style="16" bestFit="1" customWidth="1"/>
    <col min="9" max="10" width="11.83203125" customWidth="1"/>
    <col min="11" max="11" width="3.83203125" customWidth="1"/>
    <col min="12" max="12" width="16.1640625" bestFit="1" customWidth="1"/>
    <col min="13" max="13" width="16.33203125" bestFit="1" customWidth="1"/>
    <col min="14" max="15" width="15" bestFit="1" customWidth="1"/>
    <col min="16" max="16" width="12" bestFit="1" customWidth="1"/>
    <col min="17" max="17" width="22.5" bestFit="1" customWidth="1"/>
  </cols>
  <sheetData>
    <row r="1" spans="2:18" ht="16" thickBot="1" x14ac:dyDescent="0.25"/>
    <row r="2" spans="2:18" ht="16" thickBot="1" x14ac:dyDescent="0.25">
      <c r="B2" s="75" t="s">
        <v>7398</v>
      </c>
      <c r="C2" s="75"/>
      <c r="D2" s="75"/>
      <c r="F2" s="75" t="s">
        <v>7399</v>
      </c>
      <c r="G2" s="75"/>
      <c r="H2" s="75"/>
      <c r="I2" s="75"/>
      <c r="L2" s="77" t="s">
        <v>7400</v>
      </c>
      <c r="M2" s="77"/>
      <c r="N2" s="77"/>
      <c r="O2" s="77"/>
      <c r="P2" s="77"/>
      <c r="Q2" s="77"/>
    </row>
    <row r="3" spans="2:18" ht="16" thickBot="1" x14ac:dyDescent="0.25">
      <c r="B3" s="5" t="s">
        <v>5341</v>
      </c>
      <c r="C3" s="5" t="s">
        <v>5354</v>
      </c>
      <c r="D3" s="5" t="s">
        <v>5355</v>
      </c>
      <c r="F3" s="5" t="s">
        <v>5341</v>
      </c>
      <c r="G3" s="5" t="s">
        <v>7395</v>
      </c>
      <c r="H3" s="5" t="s">
        <v>7396</v>
      </c>
      <c r="I3" s="5" t="s">
        <v>7397</v>
      </c>
      <c r="L3" s="21" t="s">
        <v>5341</v>
      </c>
      <c r="M3" s="21" t="s">
        <v>5357</v>
      </c>
      <c r="N3" s="21" t="s">
        <v>7395</v>
      </c>
      <c r="O3" s="21" t="s">
        <v>7396</v>
      </c>
      <c r="P3" s="21" t="s">
        <v>7397</v>
      </c>
      <c r="Q3" s="21" t="s">
        <v>7405</v>
      </c>
    </row>
    <row r="4" spans="2:18" ht="16" thickBot="1" x14ac:dyDescent="0.25">
      <c r="B4" s="11" t="s">
        <v>5343</v>
      </c>
      <c r="C4" s="10">
        <v>0.24249999999999999</v>
      </c>
      <c r="D4" s="2">
        <v>13823</v>
      </c>
      <c r="F4" s="14" t="s">
        <v>5343</v>
      </c>
      <c r="G4" s="15">
        <v>11489023266</v>
      </c>
      <c r="H4" s="15">
        <v>13823417353</v>
      </c>
      <c r="I4" s="18">
        <f>(H4-G4)/H4</f>
        <v>0.168872430556644</v>
      </c>
      <c r="K4" s="78" t="s">
        <v>7428</v>
      </c>
      <c r="L4" s="76" t="s">
        <v>5343</v>
      </c>
      <c r="M4" s="22" t="s">
        <v>5358</v>
      </c>
      <c r="N4" s="23">
        <v>6927872874</v>
      </c>
      <c r="O4" s="23">
        <v>7558893415</v>
      </c>
      <c r="P4" s="24">
        <f>(O4-N4)/O4</f>
        <v>8.3480544883433844E-2</v>
      </c>
      <c r="Q4" s="63">
        <f>O4/'2025'!$E$1757</f>
        <v>0.13261112916841761</v>
      </c>
      <c r="R4" s="73">
        <f>SUM(Q4:Q8)</f>
        <v>0.24233774410155171</v>
      </c>
    </row>
    <row r="5" spans="2:18" ht="16" thickBot="1" x14ac:dyDescent="0.25">
      <c r="B5" s="11" t="s">
        <v>5342</v>
      </c>
      <c r="C5" s="10">
        <v>0.13800000000000001</v>
      </c>
      <c r="D5" s="2">
        <v>7866</v>
      </c>
      <c r="F5" s="14" t="s">
        <v>5342</v>
      </c>
      <c r="G5" s="15">
        <v>7367703218</v>
      </c>
      <c r="H5" s="15">
        <v>8238296111</v>
      </c>
      <c r="I5" s="18">
        <f>(H5-G5)/H5</f>
        <v>0.10567632933678608</v>
      </c>
      <c r="K5" s="78"/>
      <c r="L5" s="76"/>
      <c r="M5" s="22" t="s">
        <v>7402</v>
      </c>
      <c r="N5" s="23">
        <v>2018866302</v>
      </c>
      <c r="O5" s="23">
        <v>2816248608</v>
      </c>
      <c r="P5" s="24">
        <f>(O5-N5)/O5</f>
        <v>0.283136333821847</v>
      </c>
      <c r="Q5" s="63">
        <f>O5/'2025'!$E$1757</f>
        <v>4.9407484326310515E-2</v>
      </c>
      <c r="R5" s="74"/>
    </row>
    <row r="6" spans="2:18" ht="16" thickBot="1" x14ac:dyDescent="0.25">
      <c r="B6" s="11" t="s">
        <v>5344</v>
      </c>
      <c r="C6" s="10">
        <v>0.13539999999999999</v>
      </c>
      <c r="D6" s="2">
        <v>7718</v>
      </c>
      <c r="F6" s="14" t="s">
        <v>5344</v>
      </c>
      <c r="G6" s="15">
        <v>7056073629</v>
      </c>
      <c r="H6" s="15">
        <v>7718923702</v>
      </c>
      <c r="I6" s="18">
        <f>(H6-G6)/H6</f>
        <v>8.5873380615001188E-2</v>
      </c>
      <c r="K6" s="78"/>
      <c r="L6" s="76"/>
      <c r="M6" s="22" t="s">
        <v>7401</v>
      </c>
      <c r="N6" s="23">
        <v>1748089511</v>
      </c>
      <c r="O6" s="23">
        <v>2246645092</v>
      </c>
      <c r="P6" s="24">
        <f>(O6-N6)/O6</f>
        <v>0.22191114332000597</v>
      </c>
      <c r="Q6" s="63">
        <f>O6/'2025'!$E$1757</f>
        <v>3.9414518254693956E-2</v>
      </c>
      <c r="R6" s="74"/>
    </row>
    <row r="7" spans="2:18" ht="16" thickBot="1" x14ac:dyDescent="0.25">
      <c r="B7" s="11" t="s">
        <v>5345</v>
      </c>
      <c r="C7" s="10">
        <v>0.12</v>
      </c>
      <c r="D7" s="2">
        <v>6841</v>
      </c>
      <c r="F7" s="14" t="s">
        <v>5345</v>
      </c>
      <c r="G7" s="15">
        <v>5468134228</v>
      </c>
      <c r="H7" s="15">
        <v>6841728666</v>
      </c>
      <c r="I7" s="18">
        <f>(H7-G7)/H7</f>
        <v>0.20076716061922822</v>
      </c>
      <c r="K7" s="78"/>
      <c r="L7" s="76"/>
      <c r="M7" s="22" t="s">
        <v>7403</v>
      </c>
      <c r="N7" s="23">
        <v>733534298</v>
      </c>
      <c r="O7" s="23">
        <v>1101381379</v>
      </c>
      <c r="P7" s="24">
        <f>(O7-N7)/O7</f>
        <v>0.33398701668080411</v>
      </c>
      <c r="Q7" s="63">
        <f>O7/'2025'!$E$1757</f>
        <v>1.9322329380174082E-2</v>
      </c>
      <c r="R7" s="74"/>
    </row>
    <row r="8" spans="2:18" ht="16" thickBot="1" x14ac:dyDescent="0.25">
      <c r="B8" s="11" t="s">
        <v>5346</v>
      </c>
      <c r="C8" s="10">
        <v>0.1026</v>
      </c>
      <c r="D8" s="2">
        <v>5847</v>
      </c>
      <c r="F8" s="14" t="s">
        <v>5346</v>
      </c>
      <c r="G8" s="15">
        <v>5584181528</v>
      </c>
      <c r="H8" s="15">
        <v>5847496154</v>
      </c>
      <c r="I8" s="18">
        <f t="shared" ref="I8:I15" si="0">(H8-G8)/H8</f>
        <v>4.503032051075035E-2</v>
      </c>
      <c r="K8" s="78"/>
      <c r="L8" s="76"/>
      <c r="M8" s="22" t="s">
        <v>7404</v>
      </c>
      <c r="N8" s="23">
        <v>60669280</v>
      </c>
      <c r="O8" s="23">
        <v>90190834</v>
      </c>
      <c r="P8" s="24">
        <f>(O8-N8)/O8</f>
        <v>0.32732321778951506</v>
      </c>
      <c r="Q8" s="63">
        <f>O8/'2025'!$E$1757</f>
        <v>1.5822829719555332E-3</v>
      </c>
      <c r="R8" s="74"/>
    </row>
    <row r="9" spans="2:18" ht="16" thickBot="1" x14ac:dyDescent="0.25">
      <c r="B9" s="11" t="s">
        <v>5353</v>
      </c>
      <c r="C9" s="10">
        <v>4.7899999999999998E-2</v>
      </c>
      <c r="D9" s="2">
        <v>2732</v>
      </c>
      <c r="F9" s="14" t="s">
        <v>5353</v>
      </c>
      <c r="G9" s="15">
        <v>2544954537</v>
      </c>
      <c r="H9" s="15">
        <v>2732456699</v>
      </c>
      <c r="I9" s="18">
        <f t="shared" si="0"/>
        <v>6.8620359864666969E-2</v>
      </c>
      <c r="K9" s="78"/>
      <c r="L9" s="79" t="s">
        <v>5344</v>
      </c>
      <c r="M9" s="19" t="s">
        <v>7407</v>
      </c>
      <c r="N9" s="20">
        <v>2936016665</v>
      </c>
      <c r="O9" s="20">
        <v>3327966394</v>
      </c>
      <c r="P9" s="25">
        <f>(O9-N9)/O11</f>
        <v>0.35945674508406311</v>
      </c>
      <c r="Q9" s="68">
        <f>O9/'2025'!$E$1757</f>
        <v>5.8384919208824028E-2</v>
      </c>
      <c r="R9" s="73">
        <f>SUM(Q9:Q11)</f>
        <v>0.13541865612971898</v>
      </c>
    </row>
    <row r="10" spans="2:18" ht="16" thickBot="1" x14ac:dyDescent="0.25">
      <c r="B10" s="11" t="s">
        <v>5356</v>
      </c>
      <c r="C10" s="10">
        <v>4.4900000000000002E-2</v>
      </c>
      <c r="D10" s="2">
        <v>2558</v>
      </c>
      <c r="F10" s="14" t="s">
        <v>5356</v>
      </c>
      <c r="G10" s="15">
        <v>2423357672</v>
      </c>
      <c r="H10" s="15">
        <v>2558604467</v>
      </c>
      <c r="I10" s="18">
        <f t="shared" si="0"/>
        <v>5.2859594651837212E-2</v>
      </c>
      <c r="K10" s="78"/>
      <c r="L10" s="79"/>
      <c r="M10" s="19" t="s">
        <v>7408</v>
      </c>
      <c r="N10" s="20">
        <v>3128272264</v>
      </c>
      <c r="O10" s="20">
        <v>3300562610</v>
      </c>
      <c r="P10" s="25">
        <f>(O10-N10)/O9</f>
        <v>5.1770458472964978E-2</v>
      </c>
      <c r="Q10" s="68">
        <f>O10/'2025'!$E$1757</f>
        <v>5.7904154824381729E-2</v>
      </c>
      <c r="R10" s="74"/>
    </row>
    <row r="11" spans="2:18" ht="16" thickBot="1" x14ac:dyDescent="0.25">
      <c r="B11" s="11" t="s">
        <v>5348</v>
      </c>
      <c r="C11" s="10">
        <v>3.9800000000000002E-2</v>
      </c>
      <c r="D11" s="2">
        <v>2269</v>
      </c>
      <c r="F11" s="14" t="s">
        <v>5348</v>
      </c>
      <c r="G11" s="15">
        <v>2123335456</v>
      </c>
      <c r="H11" s="15">
        <v>2269767081</v>
      </c>
      <c r="I11" s="18">
        <f t="shared" si="0"/>
        <v>6.4513943402283405E-2</v>
      </c>
      <c r="K11" s="78"/>
      <c r="L11" s="79"/>
      <c r="M11" s="19" t="s">
        <v>7406</v>
      </c>
      <c r="N11" s="20">
        <v>991774699</v>
      </c>
      <c r="O11" s="20">
        <v>1090394698</v>
      </c>
      <c r="P11" s="25">
        <f>(O11-N11)/O10</f>
        <v>2.9879754045932187E-2</v>
      </c>
      <c r="Q11" s="68">
        <f>O11/'2025'!$E$1757</f>
        <v>1.9129582096513224E-2</v>
      </c>
      <c r="R11" s="74"/>
    </row>
    <row r="12" spans="2:18" ht="16" thickBot="1" x14ac:dyDescent="0.25">
      <c r="B12" s="11" t="s">
        <v>5347</v>
      </c>
      <c r="C12" s="10">
        <v>3.1600000000000003E-2</v>
      </c>
      <c r="D12" s="2">
        <v>1801</v>
      </c>
      <c r="F12" s="14" t="s">
        <v>5347</v>
      </c>
      <c r="G12" s="15">
        <v>1101238952</v>
      </c>
      <c r="H12" s="15">
        <v>1429925803</v>
      </c>
      <c r="I12" s="18">
        <f>(H12-G12)/H12</f>
        <v>0.22986287142340631</v>
      </c>
      <c r="K12" s="78"/>
      <c r="L12" s="80" t="s">
        <v>5345</v>
      </c>
      <c r="M12" s="26" t="s">
        <v>7412</v>
      </c>
      <c r="N12" s="27">
        <v>2914498252</v>
      </c>
      <c r="O12" s="27">
        <v>3803245626</v>
      </c>
      <c r="P12" s="28">
        <f t="shared" ref="P12:P45" si="1">(O12-N12)/O12</f>
        <v>0.23368129786945294</v>
      </c>
      <c r="Q12" s="65">
        <f>O12/'2025'!$E$1757</f>
        <v>6.6723086208340887E-2</v>
      </c>
      <c r="R12" s="73">
        <f>SUM(Q12:Q16)</f>
        <v>0.12002938975984905</v>
      </c>
    </row>
    <row r="13" spans="2:18" ht="16" thickBot="1" x14ac:dyDescent="0.25">
      <c r="B13" s="11" t="s">
        <v>5349</v>
      </c>
      <c r="C13" s="10">
        <v>2.9600000000000001E-2</v>
      </c>
      <c r="D13" s="2">
        <v>1687</v>
      </c>
      <c r="F13" s="14" t="s">
        <v>5349</v>
      </c>
      <c r="G13" s="15">
        <v>1476650679</v>
      </c>
      <c r="H13" s="15">
        <v>1687814401</v>
      </c>
      <c r="I13" s="18">
        <f t="shared" si="0"/>
        <v>0.1251107478848914</v>
      </c>
      <c r="K13" s="78"/>
      <c r="L13" s="80"/>
      <c r="M13" s="26" t="s">
        <v>7413</v>
      </c>
      <c r="N13" s="27">
        <v>1157826909</v>
      </c>
      <c r="O13" s="27">
        <v>1342010763</v>
      </c>
      <c r="P13" s="28">
        <f t="shared" si="1"/>
        <v>0.1372446921277039</v>
      </c>
      <c r="Q13" s="65">
        <f>O13/'2025'!$E$1757</f>
        <v>2.3543864540336246E-2</v>
      </c>
      <c r="R13" s="74"/>
    </row>
    <row r="14" spans="2:18" ht="16" thickBot="1" x14ac:dyDescent="0.25">
      <c r="B14" s="11" t="s">
        <v>5350</v>
      </c>
      <c r="C14" s="10">
        <v>2.7099999999999999E-2</v>
      </c>
      <c r="D14" s="2">
        <v>1545</v>
      </c>
      <c r="F14" s="14" t="s">
        <v>5350</v>
      </c>
      <c r="G14" s="15">
        <v>1587407347</v>
      </c>
      <c r="H14" s="15">
        <v>1545341238</v>
      </c>
      <c r="I14" s="18">
        <f>(H14-G14)/H14</f>
        <v>-2.7221242768647323E-2</v>
      </c>
      <c r="K14" s="78"/>
      <c r="L14" s="80"/>
      <c r="M14" s="26" t="s">
        <v>7409</v>
      </c>
      <c r="N14" s="27">
        <v>867458814</v>
      </c>
      <c r="O14" s="27">
        <v>1055139783</v>
      </c>
      <c r="P14" s="28">
        <f t="shared" si="1"/>
        <v>0.17787308565541973</v>
      </c>
      <c r="Q14" s="65">
        <f>O14/'2025'!$E$1757</f>
        <v>1.8511079647780575E-2</v>
      </c>
      <c r="R14" s="74"/>
    </row>
    <row r="15" spans="2:18" ht="16" thickBot="1" x14ac:dyDescent="0.25">
      <c r="B15" s="11" t="s">
        <v>5351</v>
      </c>
      <c r="C15" s="10">
        <v>1.7899999999999999E-2</v>
      </c>
      <c r="D15" s="2">
        <v>1022</v>
      </c>
      <c r="F15" s="14" t="s">
        <v>5351</v>
      </c>
      <c r="G15" s="15">
        <v>952099324</v>
      </c>
      <c r="H15" s="15">
        <v>1022425687</v>
      </c>
      <c r="I15" s="18">
        <f t="shared" si="0"/>
        <v>6.8783838174441322E-2</v>
      </c>
      <c r="K15" s="78"/>
      <c r="L15" s="80"/>
      <c r="M15" s="59" t="s">
        <v>7411</v>
      </c>
      <c r="N15" s="60">
        <v>326326498</v>
      </c>
      <c r="O15" s="60">
        <v>370177128</v>
      </c>
      <c r="P15" s="61">
        <f t="shared" si="1"/>
        <v>0.11845850724737375</v>
      </c>
      <c r="Q15" s="66">
        <f>O15/'2025'!$E$1757</f>
        <v>6.4942848432004057E-3</v>
      </c>
      <c r="R15" s="74"/>
    </row>
    <row r="16" spans="2:18" ht="16" thickBot="1" x14ac:dyDescent="0.25">
      <c r="B16" s="5" t="s">
        <v>5352</v>
      </c>
      <c r="C16" s="12">
        <f>SUM(C4:C15)</f>
        <v>0.97729999999999995</v>
      </c>
      <c r="D16" s="13">
        <f>SUM(D4:D15)</f>
        <v>55709</v>
      </c>
      <c r="F16" s="5" t="s">
        <v>5352</v>
      </c>
      <c r="G16" s="6">
        <f>SUM(G4:G15)</f>
        <v>49174159836</v>
      </c>
      <c r="H16" s="17">
        <f>SUM(H4:H15)</f>
        <v>55716197362</v>
      </c>
      <c r="K16" s="78"/>
      <c r="L16" s="80"/>
      <c r="M16" s="59" t="s">
        <v>7410</v>
      </c>
      <c r="N16" s="60">
        <v>202023754</v>
      </c>
      <c r="O16" s="60">
        <v>271155366</v>
      </c>
      <c r="P16" s="61">
        <f t="shared" si="1"/>
        <v>0.25495203366176422</v>
      </c>
      <c r="Q16" s="66">
        <f>O16/'2025'!$E$1757</f>
        <v>4.7570745201909364E-3</v>
      </c>
      <c r="R16" s="74"/>
    </row>
    <row r="17" spans="2:18" ht="16" thickBot="1" x14ac:dyDescent="0.25">
      <c r="K17" s="78"/>
      <c r="L17" s="87" t="s">
        <v>5346</v>
      </c>
      <c r="M17" s="29" t="s">
        <v>5359</v>
      </c>
      <c r="N17" s="30">
        <v>4248642582</v>
      </c>
      <c r="O17" s="30">
        <v>4388642074</v>
      </c>
      <c r="P17" s="31">
        <f t="shared" si="1"/>
        <v>3.1900412391662268E-2</v>
      </c>
      <c r="Q17" s="64">
        <f>O17/'2025'!$E$1757</f>
        <v>7.6993119097865478E-2</v>
      </c>
      <c r="R17" s="73">
        <f>SUM(Q17:Q21)</f>
        <v>0.10258685037827314</v>
      </c>
    </row>
    <row r="18" spans="2:18" ht="16" thickBot="1" x14ac:dyDescent="0.25">
      <c r="K18" s="78"/>
      <c r="L18" s="87"/>
      <c r="M18" s="29" t="s">
        <v>7415</v>
      </c>
      <c r="N18" s="30">
        <v>864987728</v>
      </c>
      <c r="O18" s="30">
        <v>892894634</v>
      </c>
      <c r="P18" s="31">
        <f t="shared" si="1"/>
        <v>3.1254422344305408E-2</v>
      </c>
      <c r="Q18" s="64">
        <f>O18/'2025'!$E$1757</f>
        <v>1.566469576197364E-2</v>
      </c>
      <c r="R18" s="74"/>
    </row>
    <row r="19" spans="2:18" ht="16" thickBot="1" x14ac:dyDescent="0.25">
      <c r="K19" s="78"/>
      <c r="L19" s="87"/>
      <c r="M19" s="29" t="s">
        <v>7417</v>
      </c>
      <c r="N19" s="30">
        <v>342602428</v>
      </c>
      <c r="O19" s="30">
        <v>450234194</v>
      </c>
      <c r="P19" s="31">
        <f t="shared" si="1"/>
        <v>0.2390572893714954</v>
      </c>
      <c r="Q19" s="64">
        <f>O19/'2025'!$E$1757</f>
        <v>7.8987838005614205E-3</v>
      </c>
      <c r="R19" s="74"/>
    </row>
    <row r="20" spans="2:18" ht="16" thickBot="1" x14ac:dyDescent="0.25">
      <c r="K20" s="78"/>
      <c r="L20" s="87"/>
      <c r="M20" s="29" t="s">
        <v>7414</v>
      </c>
      <c r="N20" s="30">
        <v>109771657</v>
      </c>
      <c r="O20" s="30">
        <v>103293534</v>
      </c>
      <c r="P20" s="31">
        <f t="shared" si="1"/>
        <v>-6.2715668146275258E-2</v>
      </c>
      <c r="Q20" s="64">
        <f>O20/'2025'!$E$1757</f>
        <v>1.8121531059498786E-3</v>
      </c>
      <c r="R20" s="74"/>
    </row>
    <row r="21" spans="2:18" ht="16" thickBot="1" x14ac:dyDescent="0.25">
      <c r="B21" s="82" t="s">
        <v>7444</v>
      </c>
      <c r="C21" s="82"/>
      <c r="K21" s="78"/>
      <c r="L21" s="87"/>
      <c r="M21" s="29" t="s">
        <v>7416</v>
      </c>
      <c r="N21" s="30">
        <v>18177132</v>
      </c>
      <c r="O21" s="30">
        <v>12431718</v>
      </c>
      <c r="P21" s="31">
        <f t="shared" si="1"/>
        <v>-0.46215768407874119</v>
      </c>
      <c r="Q21" s="64">
        <f>O21/'2025'!$E$1757</f>
        <v>2.1809861192272707E-4</v>
      </c>
      <c r="R21" s="74"/>
    </row>
    <row r="22" spans="2:18" ht="16" thickBot="1" x14ac:dyDescent="0.25">
      <c r="B22" s="21" t="s">
        <v>7445</v>
      </c>
      <c r="C22" s="52" t="s">
        <v>2252</v>
      </c>
      <c r="K22" s="78"/>
      <c r="L22" s="88" t="s">
        <v>5347</v>
      </c>
      <c r="M22" s="35" t="s">
        <v>7426</v>
      </c>
      <c r="N22" s="36">
        <v>556794398</v>
      </c>
      <c r="O22" s="36">
        <v>689396605</v>
      </c>
      <c r="P22" s="37">
        <f>(O22-N22)/O22</f>
        <v>0.19234531478436856</v>
      </c>
      <c r="Q22" s="67">
        <f>O22/'2025'!$E$1757</f>
        <v>1.2094582793362958E-2</v>
      </c>
      <c r="R22" s="73">
        <f>SUM(Q22:Q24)</f>
        <v>2.5086221613681303E-2</v>
      </c>
    </row>
    <row r="23" spans="2:18" ht="16" thickBot="1" x14ac:dyDescent="0.25">
      <c r="B23" s="21" t="s">
        <v>7395</v>
      </c>
      <c r="C23" s="51">
        <f>VLOOKUP(C22,'2024'!D1:E2033,2,FALSE)</f>
        <v>30146177.280000001</v>
      </c>
      <c r="K23" s="78"/>
      <c r="L23" s="88"/>
      <c r="M23" s="35" t="s">
        <v>7425</v>
      </c>
      <c r="N23" s="36">
        <v>378092078</v>
      </c>
      <c r="O23" s="36">
        <v>479462732</v>
      </c>
      <c r="P23" s="37">
        <f>(O23-N23)/O23</f>
        <v>0.2114255128383993</v>
      </c>
      <c r="Q23" s="67">
        <f>O23/'2025'!$E$1757</f>
        <v>8.4115611629767099E-3</v>
      </c>
      <c r="R23" s="74"/>
    </row>
    <row r="24" spans="2:18" ht="16" thickBot="1" x14ac:dyDescent="0.25">
      <c r="B24" s="21" t="s">
        <v>7396</v>
      </c>
      <c r="C24" s="51">
        <f>VLOOKUP(C22,'2025'!D2:E2034,2,FALSE)</f>
        <v>10466798.439999999</v>
      </c>
      <c r="K24" s="78"/>
      <c r="L24" s="88"/>
      <c r="M24" s="35" t="s">
        <v>7427</v>
      </c>
      <c r="N24" s="36">
        <v>166352476</v>
      </c>
      <c r="O24" s="36">
        <v>261066466</v>
      </c>
      <c r="P24" s="37">
        <f t="shared" si="1"/>
        <v>0.36279646118931264</v>
      </c>
      <c r="Q24" s="67">
        <f>O24/'2025'!$E$1757</f>
        <v>4.5800776573416335E-3</v>
      </c>
      <c r="R24" s="74"/>
    </row>
    <row r="25" spans="2:18" ht="16" thickBot="1" x14ac:dyDescent="0.25">
      <c r="B25" s="50" t="s">
        <v>7446</v>
      </c>
      <c r="C25" s="53">
        <f>(C24-C23)/C24</f>
        <v>-1.8801717595700644</v>
      </c>
      <c r="K25" s="85" t="s">
        <v>7443</v>
      </c>
      <c r="L25" s="89" t="s">
        <v>5348</v>
      </c>
      <c r="M25" s="32" t="s">
        <v>7418</v>
      </c>
      <c r="N25" s="33">
        <v>93310279</v>
      </c>
      <c r="O25" s="33">
        <v>90018093</v>
      </c>
      <c r="P25" s="34">
        <f t="shared" si="1"/>
        <v>-3.6572492154438328E-2</v>
      </c>
      <c r="Q25" s="69">
        <f>O25/'2025'!$E$1757</f>
        <v>1.5792524517714249E-3</v>
      </c>
      <c r="R25" s="73">
        <f>SUM(Q25:Q31)</f>
        <v>3.9820164015464315E-2</v>
      </c>
    </row>
    <row r="26" spans="2:18" ht="16" thickBot="1" x14ac:dyDescent="0.25">
      <c r="K26" s="86"/>
      <c r="L26" s="90"/>
      <c r="M26" s="32" t="s">
        <v>7419</v>
      </c>
      <c r="N26" s="33">
        <v>34960963</v>
      </c>
      <c r="O26" s="33">
        <v>35709766</v>
      </c>
      <c r="P26" s="34">
        <f t="shared" si="1"/>
        <v>2.0969137686312478E-2</v>
      </c>
      <c r="Q26" s="69">
        <f>O26/'2025'!$E$1757</f>
        <v>6.2648222849692964E-4</v>
      </c>
      <c r="R26" s="74"/>
    </row>
    <row r="27" spans="2:18" ht="16" thickBot="1" x14ac:dyDescent="0.25">
      <c r="K27" s="86"/>
      <c r="L27" s="90"/>
      <c r="M27" s="32" t="s">
        <v>7420</v>
      </c>
      <c r="N27" s="33">
        <v>1141683970</v>
      </c>
      <c r="O27" s="33">
        <v>1282647094</v>
      </c>
      <c r="P27" s="34">
        <f>(O27-N27)/O27</f>
        <v>0.10990016245263484</v>
      </c>
      <c r="Q27" s="69">
        <f>O27/'2025'!$E$1757</f>
        <v>2.2502404799410639E-2</v>
      </c>
      <c r="R27" s="74"/>
    </row>
    <row r="28" spans="2:18" ht="16" thickBot="1" x14ac:dyDescent="0.25">
      <c r="K28" s="86"/>
      <c r="L28" s="90"/>
      <c r="M28" s="32" t="s">
        <v>7421</v>
      </c>
      <c r="N28" s="33">
        <v>386935898</v>
      </c>
      <c r="O28" s="33">
        <v>335985167</v>
      </c>
      <c r="P28" s="34">
        <f t="shared" si="1"/>
        <v>-0.1516457748862467</v>
      </c>
      <c r="Q28" s="69">
        <f>O28/'2025'!$E$1757</f>
        <v>5.8944305645708536E-3</v>
      </c>
      <c r="R28" s="74"/>
    </row>
    <row r="29" spans="2:18" ht="16" thickBot="1" x14ac:dyDescent="0.25">
      <c r="K29" s="86"/>
      <c r="L29" s="90"/>
      <c r="M29" s="32" t="s">
        <v>7422</v>
      </c>
      <c r="N29" s="33">
        <v>124839552</v>
      </c>
      <c r="O29" s="33">
        <v>146275291</v>
      </c>
      <c r="P29" s="34">
        <f t="shared" si="1"/>
        <v>0.14654381374636952</v>
      </c>
      <c r="Q29" s="69">
        <f>O29/'2025'!$E$1757</f>
        <v>2.5662131272357505E-3</v>
      </c>
      <c r="R29" s="74"/>
    </row>
    <row r="30" spans="2:18" ht="16" thickBot="1" x14ac:dyDescent="0.25">
      <c r="K30" s="86"/>
      <c r="L30" s="90"/>
      <c r="M30" s="32" t="s">
        <v>7423</v>
      </c>
      <c r="N30" s="33">
        <v>160721572</v>
      </c>
      <c r="O30" s="33">
        <v>165918418</v>
      </c>
      <c r="P30" s="34">
        <f t="shared" si="1"/>
        <v>3.1321694496870139E-2</v>
      </c>
      <c r="Q30" s="69">
        <f>O30/'2025'!$E$1757</f>
        <v>2.9108266981454061E-3</v>
      </c>
      <c r="R30" s="74"/>
    </row>
    <row r="31" spans="2:18" ht="16" thickBot="1" x14ac:dyDescent="0.25">
      <c r="K31" s="86"/>
      <c r="L31" s="91"/>
      <c r="M31" s="32" t="s">
        <v>7424</v>
      </c>
      <c r="N31" s="33">
        <v>177883222</v>
      </c>
      <c r="O31" s="33">
        <v>213213252</v>
      </c>
      <c r="P31" s="34">
        <f t="shared" si="1"/>
        <v>0.16570278661665927</v>
      </c>
      <c r="Q31" s="69">
        <f>O31/'2025'!$E$1757</f>
        <v>3.7405541458333121E-3</v>
      </c>
      <c r="R31" s="74"/>
    </row>
    <row r="32" spans="2:18" ht="16" thickBot="1" x14ac:dyDescent="0.25">
      <c r="K32" s="86"/>
      <c r="L32" s="81" t="s">
        <v>5349</v>
      </c>
      <c r="M32" s="38" t="s">
        <v>7429</v>
      </c>
      <c r="N32" s="42">
        <v>823520526</v>
      </c>
      <c r="O32" s="42">
        <v>872573530</v>
      </c>
      <c r="P32" s="43">
        <f t="shared" si="1"/>
        <v>5.6216470375854741E-2</v>
      </c>
      <c r="Q32" s="70">
        <f>O32/'2025'!$E$1757</f>
        <v>1.5308187950652842E-2</v>
      </c>
      <c r="R32" s="73">
        <f>SUM(Q32:Q36)</f>
        <v>2.9610547636399816E-2</v>
      </c>
    </row>
    <row r="33" spans="11:18" ht="16" thickBot="1" x14ac:dyDescent="0.25">
      <c r="K33" s="86"/>
      <c r="L33" s="81"/>
      <c r="M33" s="38" t="s">
        <v>7430</v>
      </c>
      <c r="N33" s="42">
        <v>76148423</v>
      </c>
      <c r="O33" s="42">
        <v>142651404</v>
      </c>
      <c r="P33" s="43">
        <f t="shared" si="1"/>
        <v>0.46619226404529462</v>
      </c>
      <c r="Q33" s="70">
        <f>O33/'2025'!$E$1757</f>
        <v>2.502636659006274E-3</v>
      </c>
      <c r="R33" s="74"/>
    </row>
    <row r="34" spans="11:18" ht="16" thickBot="1" x14ac:dyDescent="0.25">
      <c r="K34" s="86"/>
      <c r="L34" s="81"/>
      <c r="M34" s="38" t="s">
        <v>7431</v>
      </c>
      <c r="N34" s="42">
        <v>154808223</v>
      </c>
      <c r="O34" s="42">
        <v>145783896</v>
      </c>
      <c r="P34" s="43">
        <f t="shared" si="1"/>
        <v>-6.1902084164357905E-2</v>
      </c>
      <c r="Q34" s="70">
        <f>O34/'2025'!$E$1757</f>
        <v>2.5575922296730991E-3</v>
      </c>
      <c r="R34" s="74"/>
    </row>
    <row r="35" spans="11:18" ht="16" thickBot="1" x14ac:dyDescent="0.25">
      <c r="K35" s="86"/>
      <c r="L35" s="81"/>
      <c r="M35" s="38" t="s">
        <v>7432</v>
      </c>
      <c r="N35" s="42">
        <v>46668269</v>
      </c>
      <c r="O35" s="42">
        <v>39177746</v>
      </c>
      <c r="P35" s="43">
        <f t="shared" si="1"/>
        <v>-0.19119331163155737</v>
      </c>
      <c r="Q35" s="70">
        <f>O35/'2025'!$E$1757</f>
        <v>6.8732350756839659E-4</v>
      </c>
      <c r="R35" s="74"/>
    </row>
    <row r="36" spans="11:18" ht="16" thickBot="1" x14ac:dyDescent="0.25">
      <c r="K36" s="86"/>
      <c r="L36" s="81"/>
      <c r="M36" s="38" t="s">
        <v>7433</v>
      </c>
      <c r="N36" s="42">
        <v>375505249</v>
      </c>
      <c r="O36" s="42">
        <v>487627825</v>
      </c>
      <c r="P36" s="43">
        <f t="shared" si="1"/>
        <v>0.22993473762494993</v>
      </c>
      <c r="Q36" s="70">
        <f>O36/'2025'!$E$1757</f>
        <v>8.5548072894992035E-3</v>
      </c>
      <c r="R36" s="74"/>
    </row>
    <row r="37" spans="11:18" ht="16" thickBot="1" x14ac:dyDescent="0.25">
      <c r="K37" s="86"/>
      <c r="L37" s="83" t="s">
        <v>5350</v>
      </c>
      <c r="M37" s="44" t="s">
        <v>7434</v>
      </c>
      <c r="N37" s="45">
        <v>895985135</v>
      </c>
      <c r="O37" s="45">
        <v>846450739</v>
      </c>
      <c r="P37" s="46">
        <f t="shared" si="1"/>
        <v>-5.852011666800612E-2</v>
      </c>
      <c r="Q37" s="71">
        <f>O37/'2025'!$E$1757</f>
        <v>1.484989695204368E-2</v>
      </c>
      <c r="R37" s="73">
        <f>SUM(Q37:Q39)</f>
        <v>2.7111037988051902E-2</v>
      </c>
    </row>
    <row r="38" spans="11:18" ht="16" thickBot="1" x14ac:dyDescent="0.25">
      <c r="K38" s="86"/>
      <c r="L38" s="83"/>
      <c r="M38" s="44" t="s">
        <v>7435</v>
      </c>
      <c r="N38" s="45">
        <v>433051305</v>
      </c>
      <c r="O38" s="45">
        <v>456230961</v>
      </c>
      <c r="P38" s="46">
        <f t="shared" si="1"/>
        <v>5.0806845614320334E-2</v>
      </c>
      <c r="Q38" s="71">
        <f>O38/'2025'!$E$1757</f>
        <v>8.0039894172528551E-3</v>
      </c>
      <c r="R38" s="74"/>
    </row>
    <row r="39" spans="11:18" ht="16" thickBot="1" x14ac:dyDescent="0.25">
      <c r="K39" s="86"/>
      <c r="L39" s="83"/>
      <c r="M39" s="44" t="s">
        <v>7436</v>
      </c>
      <c r="N39" s="45">
        <v>258370907</v>
      </c>
      <c r="O39" s="45">
        <v>242659538</v>
      </c>
      <c r="P39" s="46">
        <f t="shared" si="1"/>
        <v>-6.4746554491503239E-2</v>
      </c>
      <c r="Q39" s="71">
        <f>O39/'2025'!$E$1757</f>
        <v>4.2571516187553679E-3</v>
      </c>
      <c r="R39" s="74"/>
    </row>
    <row r="40" spans="11:18" ht="16" thickBot="1" x14ac:dyDescent="0.25">
      <c r="K40" s="86"/>
      <c r="L40" s="84" t="s">
        <v>5351</v>
      </c>
      <c r="M40" s="39" t="s">
        <v>7437</v>
      </c>
      <c r="N40" s="40">
        <v>62567596</v>
      </c>
      <c r="O40" s="40">
        <v>63810617</v>
      </c>
      <c r="P40" s="41">
        <f t="shared" si="1"/>
        <v>1.9479846120278071E-2</v>
      </c>
      <c r="Q40" s="72">
        <f>O40/'2025'!$E$1757</f>
        <v>1.119475763014635E-3</v>
      </c>
      <c r="R40" s="73">
        <f>SUM(Q40:Q45)</f>
        <v>1.7937205236362164E-2</v>
      </c>
    </row>
    <row r="41" spans="11:18" ht="16" thickBot="1" x14ac:dyDescent="0.25">
      <c r="K41" s="86"/>
      <c r="L41" s="84"/>
      <c r="M41" s="39" t="s">
        <v>7438</v>
      </c>
      <c r="N41" s="40">
        <v>175565667</v>
      </c>
      <c r="O41" s="40">
        <v>240169438</v>
      </c>
      <c r="P41" s="41">
        <f t="shared" si="1"/>
        <v>0.26899247272252852</v>
      </c>
      <c r="Q41" s="72">
        <f>O41/'2025'!$E$1757</f>
        <v>4.2134659951312808E-3</v>
      </c>
      <c r="R41" s="74"/>
    </row>
    <row r="42" spans="11:18" ht="16" thickBot="1" x14ac:dyDescent="0.25">
      <c r="K42" s="86"/>
      <c r="L42" s="84"/>
      <c r="M42" s="39" t="s">
        <v>7439</v>
      </c>
      <c r="N42" s="40">
        <v>345830620</v>
      </c>
      <c r="O42" s="40">
        <v>333082633</v>
      </c>
      <c r="P42" s="41">
        <f t="shared" si="1"/>
        <v>-3.827274597051717E-2</v>
      </c>
      <c r="Q42" s="72">
        <f>O42/'2025'!$E$1757</f>
        <v>5.8435093132636314E-3</v>
      </c>
      <c r="R42" s="74"/>
    </row>
    <row r="43" spans="11:18" ht="16" thickBot="1" x14ac:dyDescent="0.25">
      <c r="K43" s="86"/>
      <c r="L43" s="84"/>
      <c r="M43" s="39" t="s">
        <v>7440</v>
      </c>
      <c r="N43" s="40">
        <v>174374765</v>
      </c>
      <c r="O43" s="40">
        <v>171045695</v>
      </c>
      <c r="P43" s="41">
        <f t="shared" si="1"/>
        <v>-1.9463044655990903E-2</v>
      </c>
      <c r="Q43" s="72">
        <f>O43/'2025'!$E$1757</f>
        <v>3.0007782234811099E-3</v>
      </c>
      <c r="R43" s="74"/>
    </row>
    <row r="44" spans="11:18" ht="16" thickBot="1" x14ac:dyDescent="0.25">
      <c r="K44" s="86"/>
      <c r="L44" s="84"/>
      <c r="M44" s="39" t="s">
        <v>7441</v>
      </c>
      <c r="N44" s="40">
        <v>72842817</v>
      </c>
      <c r="O44" s="40">
        <v>73534609</v>
      </c>
      <c r="P44" s="41">
        <f t="shared" si="1"/>
        <v>9.4077062407444088E-3</v>
      </c>
      <c r="Q44" s="72">
        <f>O44/'2025'!$E$1757</f>
        <v>1.2900707811406655E-3</v>
      </c>
      <c r="R44" s="74"/>
    </row>
    <row r="45" spans="11:18" ht="16" thickBot="1" x14ac:dyDescent="0.25">
      <c r="K45" s="86"/>
      <c r="L45" s="84"/>
      <c r="M45" s="39" t="s">
        <v>7442</v>
      </c>
      <c r="N45" s="40">
        <v>120947859</v>
      </c>
      <c r="O45" s="40">
        <v>140785694</v>
      </c>
      <c r="P45" s="41">
        <f t="shared" si="1"/>
        <v>0.14090803146518566</v>
      </c>
      <c r="Q45" s="72">
        <f>O45/'2025'!$E$1757</f>
        <v>2.4699051603308412E-3</v>
      </c>
      <c r="R45" s="74"/>
    </row>
  </sheetData>
  <autoFilter ref="L3:Q45" xr:uid="{C79ECD21-289C-AE46-AE29-9FBDF16A7EC9}"/>
  <mergeCells count="24">
    <mergeCell ref="L32:L36"/>
    <mergeCell ref="B21:C21"/>
    <mergeCell ref="L37:L39"/>
    <mergeCell ref="L40:L45"/>
    <mergeCell ref="K25:K45"/>
    <mergeCell ref="L17:L21"/>
    <mergeCell ref="L22:L24"/>
    <mergeCell ref="L25:L31"/>
    <mergeCell ref="B2:D2"/>
    <mergeCell ref="F2:I2"/>
    <mergeCell ref="L4:L8"/>
    <mergeCell ref="L2:Q2"/>
    <mergeCell ref="K4:K24"/>
    <mergeCell ref="L9:L11"/>
    <mergeCell ref="L12:L16"/>
    <mergeCell ref="R25:R31"/>
    <mergeCell ref="R32:R36"/>
    <mergeCell ref="R37:R39"/>
    <mergeCell ref="R40:R45"/>
    <mergeCell ref="R4:R8"/>
    <mergeCell ref="R9:R11"/>
    <mergeCell ref="R12:R16"/>
    <mergeCell ref="R17:R21"/>
    <mergeCell ref="R22:R24"/>
  </mergeCells>
  <conditionalFormatting sqref="I4:I15">
    <cfRule type="iconSet" priority="3">
      <iconSet>
        <cfvo type="percent" val="0"/>
        <cfvo type="num" val="0.05"/>
        <cfvo type="num" val="0.1"/>
      </iconSet>
    </cfRule>
  </conditionalFormatting>
  <conditionalFormatting sqref="P4:P36">
    <cfRule type="iconSet" priority="4">
      <iconSet>
        <cfvo type="percent" val="0"/>
        <cfvo type="num" val="0.05"/>
        <cfvo type="num" val="0.1"/>
      </iconSet>
    </cfRule>
  </conditionalFormatting>
  <conditionalFormatting sqref="P37:P39">
    <cfRule type="iconSet" priority="1">
      <iconSet>
        <cfvo type="percent" val="0"/>
        <cfvo type="num" val="0.05"/>
        <cfvo type="num" val="0.1"/>
      </iconSet>
    </cfRule>
  </conditionalFormatting>
  <conditionalFormatting sqref="P40:P45">
    <cfRule type="iconSet" priority="2">
      <iconSet>
        <cfvo type="percent" val="0"/>
        <cfvo type="num" val="0.05"/>
        <cfvo type="num" val="0.1"/>
      </iconSet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20E4A9-AC7F-B646-AF50-1D8F84178356}">
          <x14:formula1>
            <xm:f>'2025'!$D$2:$D$1756</xm:f>
          </x14:formula1>
          <xm:sqref>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2024</vt:lpstr>
      <vt:lpstr>2025</vt:lpstr>
      <vt:lpstr>Detalle Vendedores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William Ruiz R</cp:lastModifiedBy>
  <dcterms:modified xsi:type="dcterms:W3CDTF">2026-03-18T14:57:58Z</dcterms:modified>
</cp:coreProperties>
</file>